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0028203\Documents\Gestão_OS\bases_os\"/>
    </mc:Choice>
  </mc:AlternateContent>
  <xr:revisionPtr revIDLastSave="0" documentId="13_ncr:1_{602B379D-7676-4355-9839-D40279D2ABF7}" xr6:coauthVersionLast="47" xr6:coauthVersionMax="47" xr10:uidLastSave="{00000000-0000-0000-0000-000000000000}"/>
  <bookViews>
    <workbookView xWindow="-120" yWindow="-120" windowWidth="29040" windowHeight="15720" xr2:uid="{FB59EE95-7BFF-4011-9C21-01F8303B666E}"/>
  </bookViews>
  <sheets>
    <sheet name="Planilha1" sheetId="1" r:id="rId1"/>
  </sheets>
  <definedNames>
    <definedName name="_xlnm._FilterDatabase" localSheetId="0" hidden="1">Planilha1!$A$1:$V$1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L221" i="1" l="1"/>
  <c r="Q221" i="1" s="1"/>
  <c r="P221" i="1" s="1"/>
  <c r="M221" i="1"/>
  <c r="O221" i="1" s="1"/>
  <c r="N221" i="1"/>
  <c r="S221" i="1"/>
  <c r="T221" i="1"/>
  <c r="U221" i="1"/>
  <c r="V221" i="1"/>
  <c r="L222" i="1"/>
  <c r="Q222" i="1" s="1"/>
  <c r="P222" i="1" s="1"/>
  <c r="M222" i="1"/>
  <c r="N222" i="1"/>
  <c r="S222" i="1"/>
  <c r="T222" i="1"/>
  <c r="U222" i="1"/>
  <c r="V222" i="1"/>
  <c r="L223" i="1"/>
  <c r="M223" i="1"/>
  <c r="N223" i="1"/>
  <c r="Q223" i="1"/>
  <c r="P223" i="1" s="1"/>
  <c r="S223" i="1"/>
  <c r="T223" i="1"/>
  <c r="U223" i="1"/>
  <c r="V223" i="1"/>
  <c r="L224" i="1"/>
  <c r="M224" i="1"/>
  <c r="O224" i="1" s="1"/>
  <c r="N224" i="1"/>
  <c r="Q224" i="1"/>
  <c r="P224" i="1" s="1"/>
  <c r="S224" i="1"/>
  <c r="T224" i="1"/>
  <c r="U224" i="1"/>
  <c r="V224" i="1"/>
  <c r="L225" i="1"/>
  <c r="Q225" i="1" s="1"/>
  <c r="P225" i="1" s="1"/>
  <c r="M225" i="1"/>
  <c r="O225" i="1" s="1"/>
  <c r="N225" i="1"/>
  <c r="S225" i="1"/>
  <c r="T225" i="1"/>
  <c r="U225" i="1"/>
  <c r="V225" i="1"/>
  <c r="L226" i="1"/>
  <c r="Q226" i="1" s="1"/>
  <c r="P226" i="1" s="1"/>
  <c r="M226" i="1"/>
  <c r="O226" i="1" s="1"/>
  <c r="N226" i="1"/>
  <c r="S226" i="1"/>
  <c r="T226" i="1"/>
  <c r="U226" i="1"/>
  <c r="V226" i="1"/>
  <c r="L227" i="1"/>
  <c r="M227" i="1"/>
  <c r="N227" i="1"/>
  <c r="Q227" i="1"/>
  <c r="P227" i="1" s="1"/>
  <c r="S227" i="1"/>
  <c r="T227" i="1"/>
  <c r="U227" i="1"/>
  <c r="V227" i="1"/>
  <c r="L228" i="1"/>
  <c r="M228" i="1"/>
  <c r="N228" i="1"/>
  <c r="P228" i="1"/>
  <c r="Q228" i="1"/>
  <c r="S228" i="1"/>
  <c r="T228" i="1"/>
  <c r="U228" i="1"/>
  <c r="V228" i="1"/>
  <c r="L229" i="1"/>
  <c r="Q229" i="1" s="1"/>
  <c r="P229" i="1" s="1"/>
  <c r="M229" i="1"/>
  <c r="N229" i="1"/>
  <c r="S229" i="1"/>
  <c r="T229" i="1"/>
  <c r="U229" i="1"/>
  <c r="V229" i="1"/>
  <c r="L230" i="1"/>
  <c r="Q230" i="1" s="1"/>
  <c r="P230" i="1" s="1"/>
  <c r="M230" i="1"/>
  <c r="O230" i="1" s="1"/>
  <c r="N230" i="1"/>
  <c r="S230" i="1"/>
  <c r="T230" i="1"/>
  <c r="U230" i="1"/>
  <c r="V230" i="1"/>
  <c r="L231" i="1"/>
  <c r="M231" i="1"/>
  <c r="N231" i="1"/>
  <c r="Q231" i="1"/>
  <c r="P231" i="1" s="1"/>
  <c r="S231" i="1"/>
  <c r="T231" i="1"/>
  <c r="U231" i="1"/>
  <c r="V231" i="1"/>
  <c r="L232" i="1"/>
  <c r="Q232" i="1" s="1"/>
  <c r="P232" i="1" s="1"/>
  <c r="M232" i="1"/>
  <c r="N232" i="1"/>
  <c r="S232" i="1"/>
  <c r="T232" i="1"/>
  <c r="U232" i="1"/>
  <c r="V232" i="1"/>
  <c r="L233" i="1"/>
  <c r="Q233" i="1" s="1"/>
  <c r="P233" i="1" s="1"/>
  <c r="M233" i="1"/>
  <c r="N233" i="1"/>
  <c r="S233" i="1"/>
  <c r="T233" i="1"/>
  <c r="U233" i="1"/>
  <c r="V233" i="1"/>
  <c r="L234" i="1"/>
  <c r="Q234" i="1" s="1"/>
  <c r="P234" i="1" s="1"/>
  <c r="M234" i="1"/>
  <c r="O234" i="1" s="1"/>
  <c r="N234" i="1"/>
  <c r="S234" i="1"/>
  <c r="T234" i="1"/>
  <c r="U234" i="1"/>
  <c r="V234" i="1"/>
  <c r="L235" i="1"/>
  <c r="Q235" i="1" s="1"/>
  <c r="P235" i="1" s="1"/>
  <c r="M235" i="1"/>
  <c r="O235" i="1" s="1"/>
  <c r="N235" i="1"/>
  <c r="S235" i="1"/>
  <c r="T235" i="1"/>
  <c r="U235" i="1"/>
  <c r="V235" i="1"/>
  <c r="L236" i="1"/>
  <c r="Q236" i="1" s="1"/>
  <c r="P236" i="1" s="1"/>
  <c r="M236" i="1"/>
  <c r="N236" i="1"/>
  <c r="S236" i="1"/>
  <c r="T236" i="1"/>
  <c r="U236" i="1"/>
  <c r="V236" i="1"/>
  <c r="L237" i="1"/>
  <c r="Q237" i="1" s="1"/>
  <c r="P237" i="1" s="1"/>
  <c r="M237" i="1"/>
  <c r="N237" i="1"/>
  <c r="S237" i="1"/>
  <c r="T237" i="1"/>
  <c r="U237" i="1"/>
  <c r="V237" i="1"/>
  <c r="L238" i="1"/>
  <c r="Q238" i="1" s="1"/>
  <c r="P238" i="1" s="1"/>
  <c r="M238" i="1"/>
  <c r="O238" i="1" s="1"/>
  <c r="N238" i="1"/>
  <c r="S238" i="1"/>
  <c r="T238" i="1"/>
  <c r="U238" i="1"/>
  <c r="V238" i="1"/>
  <c r="L239" i="1"/>
  <c r="Q239" i="1" s="1"/>
  <c r="P239" i="1" s="1"/>
  <c r="M239" i="1"/>
  <c r="O239" i="1" s="1"/>
  <c r="N239" i="1"/>
  <c r="S239" i="1"/>
  <c r="T239" i="1"/>
  <c r="U239" i="1"/>
  <c r="V239" i="1"/>
  <c r="L240" i="1"/>
  <c r="Q240" i="1" s="1"/>
  <c r="P240" i="1" s="1"/>
  <c r="M240" i="1"/>
  <c r="N240" i="1"/>
  <c r="S240" i="1"/>
  <c r="T240" i="1"/>
  <c r="U240" i="1"/>
  <c r="V240" i="1"/>
  <c r="L241" i="1"/>
  <c r="M241" i="1"/>
  <c r="N241" i="1"/>
  <c r="O241" i="1" s="1"/>
  <c r="Q241" i="1"/>
  <c r="P241" i="1" s="1"/>
  <c r="S241" i="1"/>
  <c r="T241" i="1"/>
  <c r="U241" i="1"/>
  <c r="V241" i="1"/>
  <c r="L242" i="1"/>
  <c r="Q242" i="1" s="1"/>
  <c r="P242" i="1" s="1"/>
  <c r="M242" i="1"/>
  <c r="N242" i="1"/>
  <c r="S242" i="1"/>
  <c r="T242" i="1"/>
  <c r="U242" i="1"/>
  <c r="V242" i="1"/>
  <c r="L243" i="1"/>
  <c r="Q243" i="1" s="1"/>
  <c r="P243" i="1" s="1"/>
  <c r="M243" i="1"/>
  <c r="O243" i="1" s="1"/>
  <c r="N243" i="1"/>
  <c r="S243" i="1"/>
  <c r="T243" i="1"/>
  <c r="U243" i="1"/>
  <c r="V243" i="1"/>
  <c r="L244" i="1"/>
  <c r="Q244" i="1" s="1"/>
  <c r="P244" i="1" s="1"/>
  <c r="M244" i="1"/>
  <c r="O244" i="1" s="1"/>
  <c r="N244" i="1"/>
  <c r="S244" i="1"/>
  <c r="T244" i="1"/>
  <c r="U244" i="1"/>
  <c r="V244" i="1"/>
  <c r="L245" i="1"/>
  <c r="M245" i="1"/>
  <c r="N245" i="1"/>
  <c r="O245" i="1" s="1"/>
  <c r="Q245" i="1"/>
  <c r="P245" i="1" s="1"/>
  <c r="S245" i="1"/>
  <c r="T245" i="1"/>
  <c r="U245" i="1"/>
  <c r="V245" i="1"/>
  <c r="L246" i="1"/>
  <c r="Q246" i="1" s="1"/>
  <c r="P246" i="1" s="1"/>
  <c r="M246" i="1"/>
  <c r="N246" i="1"/>
  <c r="S246" i="1"/>
  <c r="T246" i="1"/>
  <c r="U246" i="1"/>
  <c r="V246" i="1"/>
  <c r="L247" i="1"/>
  <c r="M247" i="1"/>
  <c r="N247" i="1"/>
  <c r="Q247" i="1"/>
  <c r="P247" i="1" s="1"/>
  <c r="S247" i="1"/>
  <c r="T247" i="1"/>
  <c r="U247" i="1"/>
  <c r="V247" i="1"/>
  <c r="L248" i="1"/>
  <c r="Q248" i="1" s="1"/>
  <c r="P248" i="1" s="1"/>
  <c r="M248" i="1"/>
  <c r="N248" i="1"/>
  <c r="O248" i="1"/>
  <c r="S248" i="1"/>
  <c r="T248" i="1"/>
  <c r="U248" i="1"/>
  <c r="V248" i="1"/>
  <c r="L249" i="1"/>
  <c r="Q249" i="1" s="1"/>
  <c r="P249" i="1" s="1"/>
  <c r="M249" i="1"/>
  <c r="N249" i="1"/>
  <c r="O249" i="1" s="1"/>
  <c r="S249" i="1"/>
  <c r="T249" i="1"/>
  <c r="U249" i="1"/>
  <c r="V249" i="1"/>
  <c r="L250" i="1"/>
  <c r="Q250" i="1" s="1"/>
  <c r="P250" i="1" s="1"/>
  <c r="M250" i="1"/>
  <c r="N250" i="1"/>
  <c r="S250" i="1"/>
  <c r="T250" i="1"/>
  <c r="U250" i="1"/>
  <c r="V250" i="1"/>
  <c r="L251" i="1"/>
  <c r="M251" i="1"/>
  <c r="N251" i="1"/>
  <c r="Q251" i="1"/>
  <c r="P251" i="1" s="1"/>
  <c r="S251" i="1"/>
  <c r="T251" i="1"/>
  <c r="U251" i="1"/>
  <c r="V251" i="1"/>
  <c r="L252" i="1"/>
  <c r="M252" i="1"/>
  <c r="N252" i="1"/>
  <c r="O252" i="1"/>
  <c r="Q252" i="1"/>
  <c r="P252" i="1" s="1"/>
  <c r="S252" i="1"/>
  <c r="T252" i="1"/>
  <c r="U252" i="1"/>
  <c r="V252" i="1"/>
  <c r="L253" i="1"/>
  <c r="Q253" i="1" s="1"/>
  <c r="P253" i="1" s="1"/>
  <c r="M253" i="1"/>
  <c r="N253" i="1"/>
  <c r="S253" i="1"/>
  <c r="T253" i="1"/>
  <c r="U253" i="1"/>
  <c r="V253" i="1"/>
  <c r="L254" i="1"/>
  <c r="Q254" i="1" s="1"/>
  <c r="P254" i="1" s="1"/>
  <c r="M254" i="1"/>
  <c r="N254" i="1"/>
  <c r="S254" i="1"/>
  <c r="T254" i="1"/>
  <c r="U254" i="1"/>
  <c r="V254" i="1"/>
  <c r="L255" i="1"/>
  <c r="Q255" i="1" s="1"/>
  <c r="P255" i="1" s="1"/>
  <c r="M255" i="1"/>
  <c r="N255" i="1"/>
  <c r="S255" i="1"/>
  <c r="T255" i="1"/>
  <c r="U255" i="1"/>
  <c r="V255" i="1"/>
  <c r="L256" i="1"/>
  <c r="M256" i="1"/>
  <c r="O256" i="1" s="1"/>
  <c r="N256" i="1"/>
  <c r="Q256" i="1"/>
  <c r="P256" i="1" s="1"/>
  <c r="S256" i="1"/>
  <c r="T256" i="1"/>
  <c r="U256" i="1"/>
  <c r="V256" i="1"/>
  <c r="L257" i="1"/>
  <c r="Q257" i="1" s="1"/>
  <c r="P257" i="1" s="1"/>
  <c r="M257" i="1"/>
  <c r="N257" i="1"/>
  <c r="S257" i="1"/>
  <c r="T257" i="1"/>
  <c r="U257" i="1"/>
  <c r="V257" i="1"/>
  <c r="L258" i="1"/>
  <c r="Q258" i="1" s="1"/>
  <c r="P258" i="1" s="1"/>
  <c r="M258" i="1"/>
  <c r="O258" i="1" s="1"/>
  <c r="N258" i="1"/>
  <c r="S258" i="1"/>
  <c r="T258" i="1"/>
  <c r="U258" i="1"/>
  <c r="V258" i="1"/>
  <c r="L259" i="1"/>
  <c r="M259" i="1"/>
  <c r="N259" i="1"/>
  <c r="Q259" i="1"/>
  <c r="P259" i="1" s="1"/>
  <c r="S259" i="1"/>
  <c r="T259" i="1"/>
  <c r="U259" i="1"/>
  <c r="V259" i="1"/>
  <c r="L260" i="1"/>
  <c r="Q260" i="1" s="1"/>
  <c r="P260" i="1" s="1"/>
  <c r="M260" i="1"/>
  <c r="N260" i="1"/>
  <c r="O260" i="1" s="1"/>
  <c r="S260" i="1"/>
  <c r="T260" i="1"/>
  <c r="U260" i="1"/>
  <c r="V260" i="1"/>
  <c r="L261" i="1"/>
  <c r="Q261" i="1" s="1"/>
  <c r="P261" i="1" s="1"/>
  <c r="M261" i="1"/>
  <c r="N261" i="1"/>
  <c r="O261" i="1" s="1"/>
  <c r="S261" i="1"/>
  <c r="T261" i="1"/>
  <c r="U261" i="1"/>
  <c r="V261" i="1"/>
  <c r="L262" i="1"/>
  <c r="Q262" i="1" s="1"/>
  <c r="P262" i="1" s="1"/>
  <c r="M262" i="1"/>
  <c r="N262" i="1"/>
  <c r="S262" i="1"/>
  <c r="T262" i="1"/>
  <c r="U262" i="1"/>
  <c r="V262" i="1"/>
  <c r="L263" i="1"/>
  <c r="Q263" i="1" s="1"/>
  <c r="P263" i="1" s="1"/>
  <c r="M263" i="1"/>
  <c r="O263" i="1" s="1"/>
  <c r="N263" i="1"/>
  <c r="S263" i="1"/>
  <c r="T263" i="1"/>
  <c r="U263" i="1"/>
  <c r="V263" i="1"/>
  <c r="L264" i="1"/>
  <c r="Q264" i="1" s="1"/>
  <c r="P264" i="1" s="1"/>
  <c r="M264" i="1"/>
  <c r="O264" i="1" s="1"/>
  <c r="N264" i="1"/>
  <c r="S264" i="1"/>
  <c r="T264" i="1"/>
  <c r="U264" i="1"/>
  <c r="V264" i="1"/>
  <c r="L265" i="1"/>
  <c r="Q265" i="1" s="1"/>
  <c r="P265" i="1" s="1"/>
  <c r="M265" i="1"/>
  <c r="N265" i="1"/>
  <c r="S265" i="1"/>
  <c r="T265" i="1"/>
  <c r="U265" i="1"/>
  <c r="V265" i="1"/>
  <c r="L266" i="1"/>
  <c r="Q266" i="1" s="1"/>
  <c r="P266" i="1" s="1"/>
  <c r="M266" i="1"/>
  <c r="N266" i="1"/>
  <c r="S266" i="1"/>
  <c r="T266" i="1"/>
  <c r="U266" i="1"/>
  <c r="V266" i="1"/>
  <c r="L267" i="1"/>
  <c r="Q267" i="1" s="1"/>
  <c r="P267" i="1" s="1"/>
  <c r="M267" i="1"/>
  <c r="N267" i="1"/>
  <c r="S267" i="1"/>
  <c r="T267" i="1"/>
  <c r="U267" i="1"/>
  <c r="V267" i="1"/>
  <c r="L268" i="1"/>
  <c r="Q268" i="1" s="1"/>
  <c r="P268" i="1" s="1"/>
  <c r="M268" i="1"/>
  <c r="O268" i="1" s="1"/>
  <c r="N268" i="1"/>
  <c r="S268" i="1"/>
  <c r="T268" i="1"/>
  <c r="U268" i="1"/>
  <c r="V268" i="1"/>
  <c r="L269" i="1"/>
  <c r="Q269" i="1" s="1"/>
  <c r="P269" i="1" s="1"/>
  <c r="M269" i="1"/>
  <c r="N269" i="1"/>
  <c r="S269" i="1"/>
  <c r="T269" i="1"/>
  <c r="U269" i="1"/>
  <c r="V269" i="1"/>
  <c r="L270" i="1"/>
  <c r="Q270" i="1" s="1"/>
  <c r="P270" i="1" s="1"/>
  <c r="M270" i="1"/>
  <c r="N270" i="1"/>
  <c r="S270" i="1"/>
  <c r="T270" i="1"/>
  <c r="U270" i="1"/>
  <c r="V270" i="1"/>
  <c r="L271" i="1"/>
  <c r="Q271" i="1" s="1"/>
  <c r="P271" i="1" s="1"/>
  <c r="M271" i="1"/>
  <c r="N271" i="1"/>
  <c r="S271" i="1"/>
  <c r="T271" i="1"/>
  <c r="U271" i="1"/>
  <c r="V271" i="1"/>
  <c r="L272" i="1"/>
  <c r="Q272" i="1" s="1"/>
  <c r="P272" i="1" s="1"/>
  <c r="M272" i="1"/>
  <c r="O272" i="1" s="1"/>
  <c r="N272" i="1"/>
  <c r="S272" i="1"/>
  <c r="T272" i="1"/>
  <c r="U272" i="1"/>
  <c r="V272" i="1"/>
  <c r="L273" i="1"/>
  <c r="Q273" i="1" s="1"/>
  <c r="P273" i="1" s="1"/>
  <c r="M273" i="1"/>
  <c r="N273" i="1"/>
  <c r="S273" i="1"/>
  <c r="T273" i="1"/>
  <c r="U273" i="1"/>
  <c r="V273" i="1"/>
  <c r="L274" i="1"/>
  <c r="Q274" i="1" s="1"/>
  <c r="P274" i="1" s="1"/>
  <c r="M274" i="1"/>
  <c r="N274" i="1"/>
  <c r="S274" i="1"/>
  <c r="T274" i="1"/>
  <c r="U274" i="1"/>
  <c r="V274" i="1"/>
  <c r="L275" i="1"/>
  <c r="Q275" i="1" s="1"/>
  <c r="P275" i="1" s="1"/>
  <c r="M275" i="1"/>
  <c r="N275" i="1"/>
  <c r="S275" i="1"/>
  <c r="T275" i="1"/>
  <c r="U275" i="1"/>
  <c r="V275" i="1"/>
  <c r="L276" i="1"/>
  <c r="Q276" i="1" s="1"/>
  <c r="P276" i="1" s="1"/>
  <c r="M276" i="1"/>
  <c r="N276" i="1"/>
  <c r="O276" i="1"/>
  <c r="S276" i="1"/>
  <c r="T276" i="1"/>
  <c r="U276" i="1"/>
  <c r="V276" i="1"/>
  <c r="L277" i="1"/>
  <c r="Q277" i="1" s="1"/>
  <c r="P277" i="1" s="1"/>
  <c r="M277" i="1"/>
  <c r="N277" i="1"/>
  <c r="O277" i="1"/>
  <c r="S277" i="1"/>
  <c r="T277" i="1"/>
  <c r="U277" i="1"/>
  <c r="V277" i="1"/>
  <c r="L278" i="1"/>
  <c r="Q278" i="1" s="1"/>
  <c r="P278" i="1" s="1"/>
  <c r="M278" i="1"/>
  <c r="N278" i="1"/>
  <c r="S278" i="1"/>
  <c r="T278" i="1"/>
  <c r="U278" i="1"/>
  <c r="V278" i="1"/>
  <c r="L279" i="1"/>
  <c r="M279" i="1"/>
  <c r="N279" i="1"/>
  <c r="Q279" i="1"/>
  <c r="P279" i="1" s="1"/>
  <c r="S279" i="1"/>
  <c r="T279" i="1"/>
  <c r="U279" i="1"/>
  <c r="V279" i="1"/>
  <c r="L280" i="1"/>
  <c r="Q280" i="1" s="1"/>
  <c r="P280" i="1" s="1"/>
  <c r="M280" i="1"/>
  <c r="N280" i="1"/>
  <c r="O280" i="1"/>
  <c r="S280" i="1"/>
  <c r="T280" i="1"/>
  <c r="U280" i="1"/>
  <c r="V280" i="1"/>
  <c r="L281" i="1"/>
  <c r="Q281" i="1" s="1"/>
  <c r="P281" i="1" s="1"/>
  <c r="M281" i="1"/>
  <c r="O281" i="1" s="1"/>
  <c r="N281" i="1"/>
  <c r="S281" i="1"/>
  <c r="T281" i="1"/>
  <c r="U281" i="1"/>
  <c r="V281" i="1"/>
  <c r="L282" i="1"/>
  <c r="Q282" i="1" s="1"/>
  <c r="P282" i="1" s="1"/>
  <c r="M282" i="1"/>
  <c r="N282" i="1"/>
  <c r="S282" i="1"/>
  <c r="T282" i="1"/>
  <c r="U282" i="1"/>
  <c r="V282" i="1"/>
  <c r="L283" i="1"/>
  <c r="M283" i="1"/>
  <c r="N283" i="1"/>
  <c r="Q283" i="1"/>
  <c r="P283" i="1" s="1"/>
  <c r="S283" i="1"/>
  <c r="T283" i="1"/>
  <c r="U283" i="1"/>
  <c r="V283" i="1"/>
  <c r="L284" i="1"/>
  <c r="Q284" i="1" s="1"/>
  <c r="P284" i="1" s="1"/>
  <c r="M284" i="1"/>
  <c r="O284" i="1" s="1"/>
  <c r="N284" i="1"/>
  <c r="S284" i="1"/>
  <c r="T284" i="1"/>
  <c r="U284" i="1"/>
  <c r="V284" i="1"/>
  <c r="L285" i="1"/>
  <c r="Q285" i="1" s="1"/>
  <c r="P285" i="1" s="1"/>
  <c r="M285" i="1"/>
  <c r="O285" i="1" s="1"/>
  <c r="N285" i="1"/>
  <c r="S285" i="1"/>
  <c r="T285" i="1"/>
  <c r="U285" i="1"/>
  <c r="V285" i="1"/>
  <c r="L286" i="1"/>
  <c r="Q286" i="1" s="1"/>
  <c r="P286" i="1" s="1"/>
  <c r="M286" i="1"/>
  <c r="N286" i="1"/>
  <c r="S286" i="1"/>
  <c r="T286" i="1"/>
  <c r="U286" i="1"/>
  <c r="V286" i="1"/>
  <c r="L287" i="1"/>
  <c r="Q287" i="1" s="1"/>
  <c r="P287" i="1" s="1"/>
  <c r="M287" i="1"/>
  <c r="N287" i="1"/>
  <c r="S287" i="1"/>
  <c r="T287" i="1"/>
  <c r="U287" i="1"/>
  <c r="V287" i="1"/>
  <c r="L288" i="1"/>
  <c r="Q288" i="1" s="1"/>
  <c r="P288" i="1" s="1"/>
  <c r="M288" i="1"/>
  <c r="O288" i="1" s="1"/>
  <c r="N288" i="1"/>
  <c r="S288" i="1"/>
  <c r="T288" i="1"/>
  <c r="U288" i="1"/>
  <c r="V288" i="1"/>
  <c r="L289" i="1"/>
  <c r="Q289" i="1" s="1"/>
  <c r="P289" i="1" s="1"/>
  <c r="M289" i="1"/>
  <c r="N289" i="1"/>
  <c r="S289" i="1"/>
  <c r="T289" i="1"/>
  <c r="U289" i="1"/>
  <c r="V289" i="1"/>
  <c r="L290" i="1"/>
  <c r="Q290" i="1" s="1"/>
  <c r="P290" i="1" s="1"/>
  <c r="M290" i="1"/>
  <c r="O290" i="1" s="1"/>
  <c r="N290" i="1"/>
  <c r="S290" i="1"/>
  <c r="T290" i="1"/>
  <c r="U290" i="1"/>
  <c r="V290" i="1"/>
  <c r="L291" i="1"/>
  <c r="Q291" i="1" s="1"/>
  <c r="P291" i="1" s="1"/>
  <c r="M291" i="1"/>
  <c r="N291" i="1"/>
  <c r="S291" i="1"/>
  <c r="T291" i="1"/>
  <c r="U291" i="1"/>
  <c r="V291" i="1"/>
  <c r="L292" i="1"/>
  <c r="Q292" i="1" s="1"/>
  <c r="P292" i="1" s="1"/>
  <c r="M292" i="1"/>
  <c r="N292" i="1"/>
  <c r="S292" i="1"/>
  <c r="T292" i="1"/>
  <c r="U292" i="1"/>
  <c r="V292" i="1"/>
  <c r="L293" i="1"/>
  <c r="Q293" i="1" s="1"/>
  <c r="P293" i="1" s="1"/>
  <c r="M293" i="1"/>
  <c r="O293" i="1" s="1"/>
  <c r="N293" i="1"/>
  <c r="S293" i="1"/>
  <c r="T293" i="1"/>
  <c r="U293" i="1"/>
  <c r="V293" i="1"/>
  <c r="L294" i="1"/>
  <c r="Q294" i="1" s="1"/>
  <c r="P294" i="1" s="1"/>
  <c r="M294" i="1"/>
  <c r="N294" i="1"/>
  <c r="S294" i="1"/>
  <c r="T294" i="1"/>
  <c r="U294" i="1"/>
  <c r="V294" i="1"/>
  <c r="L295" i="1"/>
  <c r="M295" i="1"/>
  <c r="N295" i="1"/>
  <c r="Q295" i="1"/>
  <c r="P295" i="1" s="1"/>
  <c r="S295" i="1"/>
  <c r="T295" i="1"/>
  <c r="U295" i="1"/>
  <c r="V295" i="1"/>
  <c r="L296" i="1"/>
  <c r="Q296" i="1" s="1"/>
  <c r="P296" i="1" s="1"/>
  <c r="M296" i="1"/>
  <c r="N296" i="1"/>
  <c r="S296" i="1"/>
  <c r="T296" i="1"/>
  <c r="U296" i="1"/>
  <c r="V296" i="1"/>
  <c r="L297" i="1"/>
  <c r="Q297" i="1" s="1"/>
  <c r="P297" i="1" s="1"/>
  <c r="M297" i="1"/>
  <c r="O297" i="1" s="1"/>
  <c r="N297" i="1"/>
  <c r="S297" i="1"/>
  <c r="T297" i="1"/>
  <c r="U297" i="1"/>
  <c r="V297" i="1"/>
  <c r="L298" i="1"/>
  <c r="Q298" i="1" s="1"/>
  <c r="P298" i="1" s="1"/>
  <c r="M298" i="1"/>
  <c r="N298" i="1"/>
  <c r="S298" i="1"/>
  <c r="T298" i="1"/>
  <c r="U298" i="1"/>
  <c r="V298" i="1"/>
  <c r="L299" i="1"/>
  <c r="Q299" i="1" s="1"/>
  <c r="P299" i="1" s="1"/>
  <c r="M299" i="1"/>
  <c r="N299" i="1"/>
  <c r="S299" i="1"/>
  <c r="T299" i="1"/>
  <c r="U299" i="1"/>
  <c r="V299" i="1"/>
  <c r="L300" i="1"/>
  <c r="Q300" i="1" s="1"/>
  <c r="P300" i="1" s="1"/>
  <c r="M300" i="1"/>
  <c r="O300" i="1" s="1"/>
  <c r="N300" i="1"/>
  <c r="S300" i="1"/>
  <c r="T300" i="1"/>
  <c r="U300" i="1"/>
  <c r="V300" i="1"/>
  <c r="L301" i="1"/>
  <c r="Q301" i="1" s="1"/>
  <c r="P301" i="1" s="1"/>
  <c r="M301" i="1"/>
  <c r="O301" i="1" s="1"/>
  <c r="N301" i="1"/>
  <c r="S301" i="1"/>
  <c r="T301" i="1"/>
  <c r="U301" i="1"/>
  <c r="V301" i="1"/>
  <c r="L302" i="1"/>
  <c r="Q302" i="1" s="1"/>
  <c r="P302" i="1" s="1"/>
  <c r="M302" i="1"/>
  <c r="O302" i="1" s="1"/>
  <c r="N302" i="1"/>
  <c r="S302" i="1"/>
  <c r="T302" i="1"/>
  <c r="U302" i="1"/>
  <c r="V302" i="1"/>
  <c r="L303" i="1"/>
  <c r="Q303" i="1" s="1"/>
  <c r="P303" i="1" s="1"/>
  <c r="M303" i="1"/>
  <c r="N303" i="1"/>
  <c r="S303" i="1"/>
  <c r="T303" i="1"/>
  <c r="U303" i="1"/>
  <c r="V303" i="1"/>
  <c r="L304" i="1"/>
  <c r="Q304" i="1" s="1"/>
  <c r="P304" i="1" s="1"/>
  <c r="M304" i="1"/>
  <c r="N304" i="1"/>
  <c r="S304" i="1"/>
  <c r="T304" i="1"/>
  <c r="U304" i="1"/>
  <c r="V304" i="1"/>
  <c r="L305" i="1"/>
  <c r="Q305" i="1" s="1"/>
  <c r="P305" i="1" s="1"/>
  <c r="M305" i="1"/>
  <c r="N305" i="1"/>
  <c r="O305" i="1"/>
  <c r="S305" i="1"/>
  <c r="T305" i="1"/>
  <c r="U305" i="1"/>
  <c r="V305" i="1"/>
  <c r="L306" i="1"/>
  <c r="Q306" i="1" s="1"/>
  <c r="P306" i="1" s="1"/>
  <c r="M306" i="1"/>
  <c r="N306" i="1"/>
  <c r="S306" i="1"/>
  <c r="T306" i="1"/>
  <c r="U306" i="1"/>
  <c r="V306" i="1"/>
  <c r="L307" i="1"/>
  <c r="Q307" i="1" s="1"/>
  <c r="P307" i="1" s="1"/>
  <c r="M307" i="1"/>
  <c r="N307" i="1"/>
  <c r="S307" i="1"/>
  <c r="T307" i="1"/>
  <c r="U307" i="1"/>
  <c r="V307" i="1"/>
  <c r="L308" i="1"/>
  <c r="Q308" i="1" s="1"/>
  <c r="P308" i="1" s="1"/>
  <c r="M308" i="1"/>
  <c r="N308" i="1"/>
  <c r="O308" i="1"/>
  <c r="S308" i="1"/>
  <c r="T308" i="1"/>
  <c r="U308" i="1"/>
  <c r="V308" i="1"/>
  <c r="L309" i="1"/>
  <c r="M309" i="1"/>
  <c r="N309" i="1"/>
  <c r="O309" i="1"/>
  <c r="Q309" i="1"/>
  <c r="P309" i="1" s="1"/>
  <c r="S309" i="1"/>
  <c r="T309" i="1"/>
  <c r="U309" i="1"/>
  <c r="V309" i="1"/>
  <c r="L310" i="1"/>
  <c r="Q310" i="1" s="1"/>
  <c r="P310" i="1" s="1"/>
  <c r="M310" i="1"/>
  <c r="N310" i="1"/>
  <c r="S310" i="1"/>
  <c r="T310" i="1"/>
  <c r="U310" i="1"/>
  <c r="V310" i="1"/>
  <c r="L311" i="1"/>
  <c r="M311" i="1"/>
  <c r="N311" i="1"/>
  <c r="Q311" i="1"/>
  <c r="P311" i="1" s="1"/>
  <c r="S311" i="1"/>
  <c r="T311" i="1"/>
  <c r="U311" i="1"/>
  <c r="V311" i="1"/>
  <c r="L312" i="1"/>
  <c r="M312" i="1"/>
  <c r="N312" i="1"/>
  <c r="O312" i="1"/>
  <c r="Q312" i="1"/>
  <c r="P312" i="1" s="1"/>
  <c r="S312" i="1"/>
  <c r="T312" i="1"/>
  <c r="U312" i="1"/>
  <c r="V312" i="1"/>
  <c r="L313" i="1"/>
  <c r="M313" i="1"/>
  <c r="O313" i="1" s="1"/>
  <c r="N313" i="1"/>
  <c r="Q313" i="1"/>
  <c r="P313" i="1" s="1"/>
  <c r="S313" i="1"/>
  <c r="T313" i="1"/>
  <c r="U313" i="1"/>
  <c r="V313" i="1"/>
  <c r="L314" i="1"/>
  <c r="Q314" i="1" s="1"/>
  <c r="P314" i="1" s="1"/>
  <c r="M314" i="1"/>
  <c r="N314" i="1"/>
  <c r="S314" i="1"/>
  <c r="T314" i="1"/>
  <c r="U314" i="1"/>
  <c r="V314" i="1"/>
  <c r="L315" i="1"/>
  <c r="M315" i="1"/>
  <c r="N315" i="1"/>
  <c r="Q315" i="1"/>
  <c r="P315" i="1" s="1"/>
  <c r="S315" i="1"/>
  <c r="T315" i="1"/>
  <c r="U315" i="1"/>
  <c r="V315" i="1"/>
  <c r="L316" i="1"/>
  <c r="M316" i="1"/>
  <c r="O316" i="1" s="1"/>
  <c r="N316" i="1"/>
  <c r="Q316" i="1"/>
  <c r="P316" i="1" s="1"/>
  <c r="S316" i="1"/>
  <c r="T316" i="1"/>
  <c r="U316" i="1"/>
  <c r="V316" i="1"/>
  <c r="L317" i="1"/>
  <c r="M317" i="1"/>
  <c r="O317" i="1" s="1"/>
  <c r="N317" i="1"/>
  <c r="Q317" i="1"/>
  <c r="P317" i="1" s="1"/>
  <c r="S317" i="1"/>
  <c r="T317" i="1"/>
  <c r="U317" i="1"/>
  <c r="V317" i="1"/>
  <c r="L318" i="1"/>
  <c r="Q318" i="1" s="1"/>
  <c r="P318" i="1" s="1"/>
  <c r="M318" i="1"/>
  <c r="N318" i="1"/>
  <c r="S318" i="1"/>
  <c r="T318" i="1"/>
  <c r="U318" i="1"/>
  <c r="V318" i="1"/>
  <c r="L319" i="1"/>
  <c r="M319" i="1"/>
  <c r="N319" i="1"/>
  <c r="Q319" i="1"/>
  <c r="P319" i="1" s="1"/>
  <c r="S319" i="1"/>
  <c r="T319" i="1"/>
  <c r="U319" i="1"/>
  <c r="V319" i="1"/>
  <c r="L320" i="1"/>
  <c r="M320" i="1"/>
  <c r="O320" i="1" s="1"/>
  <c r="N320" i="1"/>
  <c r="Q320" i="1"/>
  <c r="P320" i="1" s="1"/>
  <c r="S320" i="1"/>
  <c r="T320" i="1"/>
  <c r="U320" i="1"/>
  <c r="V320" i="1"/>
  <c r="L321" i="1"/>
  <c r="M321" i="1"/>
  <c r="N321" i="1"/>
  <c r="O321" i="1" s="1"/>
  <c r="Q321" i="1"/>
  <c r="P321" i="1" s="1"/>
  <c r="S321" i="1"/>
  <c r="T321" i="1"/>
  <c r="U321" i="1"/>
  <c r="V321" i="1"/>
  <c r="L322" i="1"/>
  <c r="Q322" i="1" s="1"/>
  <c r="P322" i="1" s="1"/>
  <c r="M322" i="1"/>
  <c r="N322" i="1"/>
  <c r="S322" i="1"/>
  <c r="T322" i="1"/>
  <c r="U322" i="1"/>
  <c r="V322" i="1"/>
  <c r="L323" i="1"/>
  <c r="M323" i="1"/>
  <c r="N323" i="1"/>
  <c r="Q323" i="1"/>
  <c r="P323" i="1" s="1"/>
  <c r="S323" i="1"/>
  <c r="T323" i="1"/>
  <c r="U323" i="1"/>
  <c r="V323" i="1"/>
  <c r="L324" i="1"/>
  <c r="M324" i="1"/>
  <c r="N324" i="1"/>
  <c r="Q324" i="1"/>
  <c r="P324" i="1" s="1"/>
  <c r="S324" i="1"/>
  <c r="T324" i="1"/>
  <c r="U324" i="1"/>
  <c r="V324" i="1"/>
  <c r="L325" i="1"/>
  <c r="Q325" i="1" s="1"/>
  <c r="P325" i="1" s="1"/>
  <c r="M325" i="1"/>
  <c r="O325" i="1" s="1"/>
  <c r="N325" i="1"/>
  <c r="S325" i="1"/>
  <c r="T325" i="1"/>
  <c r="U325" i="1"/>
  <c r="V325" i="1"/>
  <c r="L326" i="1"/>
  <c r="Q326" i="1" s="1"/>
  <c r="P326" i="1" s="1"/>
  <c r="M326" i="1"/>
  <c r="O326" i="1" s="1"/>
  <c r="N326" i="1"/>
  <c r="S326" i="1"/>
  <c r="T326" i="1"/>
  <c r="U326" i="1"/>
  <c r="V326" i="1"/>
  <c r="L327" i="1"/>
  <c r="Q327" i="1" s="1"/>
  <c r="P327" i="1" s="1"/>
  <c r="M327" i="1"/>
  <c r="N327" i="1"/>
  <c r="S327" i="1"/>
  <c r="T327" i="1"/>
  <c r="U327" i="1"/>
  <c r="V327" i="1"/>
  <c r="L328" i="1"/>
  <c r="Q328" i="1" s="1"/>
  <c r="P328" i="1" s="1"/>
  <c r="M328" i="1"/>
  <c r="N328" i="1"/>
  <c r="S328" i="1"/>
  <c r="T328" i="1"/>
  <c r="U328" i="1"/>
  <c r="V328" i="1"/>
  <c r="L329" i="1"/>
  <c r="Q329" i="1" s="1"/>
  <c r="P329" i="1" s="1"/>
  <c r="M329" i="1"/>
  <c r="N329" i="1"/>
  <c r="S329" i="1"/>
  <c r="T329" i="1"/>
  <c r="U329" i="1"/>
  <c r="V329" i="1"/>
  <c r="L330" i="1"/>
  <c r="Q330" i="1" s="1"/>
  <c r="P330" i="1" s="1"/>
  <c r="M330" i="1"/>
  <c r="O330" i="1" s="1"/>
  <c r="N330" i="1"/>
  <c r="S330" i="1"/>
  <c r="T330" i="1"/>
  <c r="U330" i="1"/>
  <c r="V330" i="1"/>
  <c r="L331" i="1"/>
  <c r="Q331" i="1" s="1"/>
  <c r="P331" i="1" s="1"/>
  <c r="M331" i="1"/>
  <c r="O331" i="1" s="1"/>
  <c r="N331" i="1"/>
  <c r="S331" i="1"/>
  <c r="T331" i="1"/>
  <c r="U331" i="1"/>
  <c r="V331" i="1"/>
  <c r="L332" i="1"/>
  <c r="Q332" i="1" s="1"/>
  <c r="P332" i="1" s="1"/>
  <c r="M332" i="1"/>
  <c r="N332" i="1"/>
  <c r="S332" i="1"/>
  <c r="T332" i="1"/>
  <c r="U332" i="1"/>
  <c r="V332" i="1"/>
  <c r="L333" i="1"/>
  <c r="Q333" i="1" s="1"/>
  <c r="P333" i="1" s="1"/>
  <c r="M333" i="1"/>
  <c r="N333" i="1"/>
  <c r="O333" i="1"/>
  <c r="S333" i="1"/>
  <c r="T333" i="1"/>
  <c r="U333" i="1"/>
  <c r="V333" i="1"/>
  <c r="L334" i="1"/>
  <c r="Q334" i="1" s="1"/>
  <c r="P334" i="1" s="1"/>
  <c r="M334" i="1"/>
  <c r="N334" i="1"/>
  <c r="O334" i="1"/>
  <c r="S334" i="1"/>
  <c r="T334" i="1"/>
  <c r="U334" i="1"/>
  <c r="V334" i="1"/>
  <c r="L335" i="1"/>
  <c r="M335" i="1"/>
  <c r="N335" i="1"/>
  <c r="Q335" i="1"/>
  <c r="P335" i="1" s="1"/>
  <c r="S335" i="1"/>
  <c r="T335" i="1"/>
  <c r="U335" i="1"/>
  <c r="V335" i="1"/>
  <c r="L336" i="1"/>
  <c r="Q336" i="1" s="1"/>
  <c r="P336" i="1" s="1"/>
  <c r="M336" i="1"/>
  <c r="N336" i="1"/>
  <c r="O336" i="1"/>
  <c r="S336" i="1"/>
  <c r="T336" i="1"/>
  <c r="U336" i="1"/>
  <c r="V336" i="1"/>
  <c r="L337" i="1"/>
  <c r="Q337" i="1" s="1"/>
  <c r="P337" i="1" s="1"/>
  <c r="M337" i="1"/>
  <c r="O337" i="1" s="1"/>
  <c r="N337" i="1"/>
  <c r="S337" i="1"/>
  <c r="T337" i="1"/>
  <c r="U337" i="1"/>
  <c r="V337" i="1"/>
  <c r="L338" i="1"/>
  <c r="Q338" i="1" s="1"/>
  <c r="P338" i="1" s="1"/>
  <c r="M338" i="1"/>
  <c r="N338" i="1"/>
  <c r="S338" i="1"/>
  <c r="T338" i="1"/>
  <c r="U338" i="1"/>
  <c r="V338" i="1"/>
  <c r="L339" i="1"/>
  <c r="M339" i="1"/>
  <c r="N339" i="1"/>
  <c r="Q339" i="1"/>
  <c r="P339" i="1" s="1"/>
  <c r="S339" i="1"/>
  <c r="T339" i="1"/>
  <c r="U339" i="1"/>
  <c r="V339" i="1"/>
  <c r="L340" i="1"/>
  <c r="Q340" i="1" s="1"/>
  <c r="P340" i="1" s="1"/>
  <c r="M340" i="1"/>
  <c r="O340" i="1" s="1"/>
  <c r="N340" i="1"/>
  <c r="S340" i="1"/>
  <c r="T340" i="1"/>
  <c r="U340" i="1"/>
  <c r="V340" i="1"/>
  <c r="L341" i="1"/>
  <c r="Q341" i="1" s="1"/>
  <c r="P341" i="1" s="1"/>
  <c r="M341" i="1"/>
  <c r="O341" i="1" s="1"/>
  <c r="N341" i="1"/>
  <c r="S341" i="1"/>
  <c r="T341" i="1"/>
  <c r="U341" i="1"/>
  <c r="V341" i="1"/>
  <c r="L342" i="1"/>
  <c r="Q342" i="1" s="1"/>
  <c r="P342" i="1" s="1"/>
  <c r="M342" i="1"/>
  <c r="N342" i="1"/>
  <c r="S342" i="1"/>
  <c r="T342" i="1"/>
  <c r="U342" i="1"/>
  <c r="V342" i="1"/>
  <c r="L343" i="1"/>
  <c r="Q343" i="1" s="1"/>
  <c r="P343" i="1" s="1"/>
  <c r="M343" i="1"/>
  <c r="N343" i="1"/>
  <c r="S343" i="1"/>
  <c r="T343" i="1"/>
  <c r="U343" i="1"/>
  <c r="V343" i="1"/>
  <c r="L344" i="1"/>
  <c r="Q344" i="1" s="1"/>
  <c r="P344" i="1" s="1"/>
  <c r="M344" i="1"/>
  <c r="N344" i="1"/>
  <c r="S344" i="1"/>
  <c r="T344" i="1"/>
  <c r="U344" i="1"/>
  <c r="V344" i="1"/>
  <c r="L345" i="1"/>
  <c r="Q345" i="1" s="1"/>
  <c r="P345" i="1" s="1"/>
  <c r="M345" i="1"/>
  <c r="O345" i="1" s="1"/>
  <c r="N345" i="1"/>
  <c r="S345" i="1"/>
  <c r="T345" i="1"/>
  <c r="U345" i="1"/>
  <c r="V345" i="1"/>
  <c r="L346" i="1"/>
  <c r="Q346" i="1" s="1"/>
  <c r="P346" i="1" s="1"/>
  <c r="M346" i="1"/>
  <c r="N346" i="1"/>
  <c r="S346" i="1"/>
  <c r="T346" i="1"/>
  <c r="U346" i="1"/>
  <c r="V346" i="1"/>
  <c r="L347" i="1"/>
  <c r="M347" i="1"/>
  <c r="N347" i="1"/>
  <c r="Q347" i="1"/>
  <c r="P347" i="1" s="1"/>
  <c r="S347" i="1"/>
  <c r="T347" i="1"/>
  <c r="U347" i="1"/>
  <c r="V347" i="1"/>
  <c r="L348" i="1"/>
  <c r="Q348" i="1" s="1"/>
  <c r="P348" i="1" s="1"/>
  <c r="M348" i="1"/>
  <c r="O348" i="1" s="1"/>
  <c r="N348" i="1"/>
  <c r="S348" i="1"/>
  <c r="T348" i="1"/>
  <c r="U348" i="1"/>
  <c r="V348" i="1"/>
  <c r="L349" i="1"/>
  <c r="Q349" i="1" s="1"/>
  <c r="P349" i="1" s="1"/>
  <c r="M349" i="1"/>
  <c r="N349" i="1"/>
  <c r="S349" i="1"/>
  <c r="T349" i="1"/>
  <c r="U349" i="1"/>
  <c r="V349" i="1"/>
  <c r="L350" i="1"/>
  <c r="Q350" i="1" s="1"/>
  <c r="P350" i="1" s="1"/>
  <c r="M350" i="1"/>
  <c r="N350" i="1"/>
  <c r="S350" i="1"/>
  <c r="T350" i="1"/>
  <c r="U350" i="1"/>
  <c r="V350" i="1"/>
  <c r="L351" i="1"/>
  <c r="Q351" i="1" s="1"/>
  <c r="P351" i="1" s="1"/>
  <c r="M351" i="1"/>
  <c r="O351" i="1" s="1"/>
  <c r="N351" i="1"/>
  <c r="S351" i="1"/>
  <c r="T351" i="1"/>
  <c r="U351" i="1"/>
  <c r="V351" i="1"/>
  <c r="L352" i="1"/>
  <c r="Q352" i="1" s="1"/>
  <c r="P352" i="1" s="1"/>
  <c r="M352" i="1"/>
  <c r="N352" i="1"/>
  <c r="S352" i="1"/>
  <c r="T352" i="1"/>
  <c r="U352" i="1"/>
  <c r="V352" i="1"/>
  <c r="L353" i="1"/>
  <c r="Q353" i="1" s="1"/>
  <c r="P353" i="1" s="1"/>
  <c r="M353" i="1"/>
  <c r="N353" i="1"/>
  <c r="O353" i="1"/>
  <c r="S353" i="1"/>
  <c r="T353" i="1"/>
  <c r="U353" i="1"/>
  <c r="V353" i="1"/>
  <c r="L354" i="1"/>
  <c r="Q354" i="1" s="1"/>
  <c r="P354" i="1" s="1"/>
  <c r="M354" i="1"/>
  <c r="N354" i="1"/>
  <c r="S354" i="1"/>
  <c r="T354" i="1"/>
  <c r="U354" i="1"/>
  <c r="V354" i="1"/>
  <c r="L355" i="1"/>
  <c r="Q355" i="1" s="1"/>
  <c r="P355" i="1" s="1"/>
  <c r="M355" i="1"/>
  <c r="N355" i="1"/>
  <c r="S355" i="1"/>
  <c r="T355" i="1"/>
  <c r="U355" i="1"/>
  <c r="V355" i="1"/>
  <c r="L356" i="1"/>
  <c r="Q356" i="1" s="1"/>
  <c r="P356" i="1" s="1"/>
  <c r="M356" i="1"/>
  <c r="O356" i="1" s="1"/>
  <c r="N356" i="1"/>
  <c r="S356" i="1"/>
  <c r="T356" i="1"/>
  <c r="U356" i="1"/>
  <c r="V356" i="1"/>
  <c r="L357" i="1"/>
  <c r="Q357" i="1" s="1"/>
  <c r="P357" i="1" s="1"/>
  <c r="M357" i="1"/>
  <c r="O357" i="1" s="1"/>
  <c r="N357" i="1"/>
  <c r="S357" i="1"/>
  <c r="T357" i="1"/>
  <c r="U357" i="1"/>
  <c r="V357" i="1"/>
  <c r="L358" i="1"/>
  <c r="Q358" i="1" s="1"/>
  <c r="P358" i="1" s="1"/>
  <c r="M358" i="1"/>
  <c r="N358" i="1"/>
  <c r="O358" i="1"/>
  <c r="S358" i="1"/>
  <c r="T358" i="1"/>
  <c r="U358" i="1"/>
  <c r="V358" i="1"/>
  <c r="L359" i="1"/>
  <c r="Q359" i="1" s="1"/>
  <c r="P359" i="1" s="1"/>
  <c r="M359" i="1"/>
  <c r="N359" i="1"/>
  <c r="S359" i="1"/>
  <c r="T359" i="1"/>
  <c r="U359" i="1"/>
  <c r="V359" i="1"/>
  <c r="L360" i="1"/>
  <c r="Q360" i="1" s="1"/>
  <c r="P360" i="1" s="1"/>
  <c r="M360" i="1"/>
  <c r="N360" i="1"/>
  <c r="O360" i="1"/>
  <c r="S360" i="1"/>
  <c r="T360" i="1"/>
  <c r="U360" i="1"/>
  <c r="V360" i="1"/>
  <c r="L361" i="1"/>
  <c r="M361" i="1"/>
  <c r="N361" i="1"/>
  <c r="O361" i="1" s="1"/>
  <c r="Q361" i="1"/>
  <c r="P361" i="1" s="1"/>
  <c r="S361" i="1"/>
  <c r="T361" i="1"/>
  <c r="U361" i="1"/>
  <c r="V361" i="1"/>
  <c r="L362" i="1"/>
  <c r="Q362" i="1" s="1"/>
  <c r="P362" i="1" s="1"/>
  <c r="M362" i="1"/>
  <c r="N362" i="1"/>
  <c r="S362" i="1"/>
  <c r="T362" i="1"/>
  <c r="U362" i="1"/>
  <c r="V362" i="1"/>
  <c r="L363" i="1"/>
  <c r="Q363" i="1" s="1"/>
  <c r="P363" i="1" s="1"/>
  <c r="M363" i="1"/>
  <c r="N363" i="1"/>
  <c r="S363" i="1"/>
  <c r="T363" i="1"/>
  <c r="U363" i="1"/>
  <c r="V363" i="1"/>
  <c r="L364" i="1"/>
  <c r="Q364" i="1" s="1"/>
  <c r="P364" i="1" s="1"/>
  <c r="M364" i="1"/>
  <c r="O364" i="1" s="1"/>
  <c r="N364" i="1"/>
  <c r="S364" i="1"/>
  <c r="T364" i="1"/>
  <c r="U364" i="1"/>
  <c r="V364" i="1"/>
  <c r="L365" i="1"/>
  <c r="M365" i="1"/>
  <c r="N365" i="1"/>
  <c r="O365" i="1"/>
  <c r="Q365" i="1"/>
  <c r="P365" i="1" s="1"/>
  <c r="S365" i="1"/>
  <c r="T365" i="1"/>
  <c r="U365" i="1"/>
  <c r="V365" i="1"/>
  <c r="L366" i="1"/>
  <c r="Q366" i="1" s="1"/>
  <c r="P366" i="1" s="1"/>
  <c r="M366" i="1"/>
  <c r="N366" i="1"/>
  <c r="S366" i="1"/>
  <c r="T366" i="1"/>
  <c r="U366" i="1"/>
  <c r="V366" i="1"/>
  <c r="L367" i="1"/>
  <c r="M367" i="1"/>
  <c r="N367" i="1"/>
  <c r="Q367" i="1"/>
  <c r="P367" i="1" s="1"/>
  <c r="S367" i="1"/>
  <c r="T367" i="1"/>
  <c r="U367" i="1"/>
  <c r="V367" i="1"/>
  <c r="L368" i="1"/>
  <c r="M368" i="1"/>
  <c r="N368" i="1"/>
  <c r="O368" i="1"/>
  <c r="Q368" i="1"/>
  <c r="P368" i="1" s="1"/>
  <c r="S368" i="1"/>
  <c r="T368" i="1"/>
  <c r="U368" i="1"/>
  <c r="V368" i="1"/>
  <c r="L369" i="1"/>
  <c r="Q369" i="1" s="1"/>
  <c r="P369" i="1" s="1"/>
  <c r="M369" i="1"/>
  <c r="N369" i="1"/>
  <c r="O369" i="1" s="1"/>
  <c r="S369" i="1"/>
  <c r="T369" i="1"/>
  <c r="U369" i="1"/>
  <c r="V369" i="1"/>
  <c r="O349" i="1" l="1"/>
  <c r="O347" i="1"/>
  <c r="O332" i="1"/>
  <c r="O303" i="1"/>
  <c r="O275" i="1"/>
  <c r="O266" i="1"/>
  <c r="O240" i="1"/>
  <c r="O232" i="1"/>
  <c r="O231" i="1"/>
  <c r="O350" i="1"/>
  <c r="O324" i="1"/>
  <c r="O322" i="1"/>
  <c r="O304" i="1"/>
  <c r="O296" i="1"/>
  <c r="O295" i="1"/>
  <c r="O253" i="1"/>
  <c r="O352" i="1"/>
  <c r="O307" i="1"/>
  <c r="O298" i="1"/>
  <c r="O328" i="1"/>
  <c r="O270" i="1"/>
  <c r="O236" i="1"/>
  <c r="O355" i="1"/>
  <c r="O342" i="1"/>
  <c r="O329" i="1"/>
  <c r="O289" i="1"/>
  <c r="O271" i="1"/>
  <c r="O344" i="1"/>
  <c r="O292" i="1"/>
  <c r="O273" i="1"/>
  <c r="O228" i="1"/>
  <c r="O223" i="1"/>
  <c r="O222" i="1"/>
  <c r="O367" i="1"/>
  <c r="O343" i="1"/>
  <c r="O318" i="1"/>
  <c r="O291" i="1"/>
  <c r="O259" i="1"/>
  <c r="O227" i="1"/>
  <c r="O319" i="1"/>
  <c r="O314" i="1"/>
  <c r="O287" i="1"/>
  <c r="O282" i="1"/>
  <c r="O339" i="1"/>
  <c r="O315" i="1"/>
  <c r="O278" i="1"/>
  <c r="O251" i="1"/>
  <c r="O354" i="1"/>
  <c r="O335" i="1"/>
  <c r="O311" i="1"/>
  <c r="O306" i="1"/>
  <c r="O279" i="1"/>
  <c r="O274" i="1"/>
  <c r="O269" i="1"/>
  <c r="O247" i="1"/>
  <c r="O242" i="1"/>
  <c r="O237" i="1"/>
  <c r="O366" i="1"/>
  <c r="O362" i="1"/>
  <c r="O323" i="1"/>
  <c r="O286" i="1"/>
  <c r="O254" i="1"/>
  <c r="O363" i="1"/>
  <c r="O338" i="1"/>
  <c r="O255" i="1"/>
  <c r="O250" i="1"/>
  <c r="O359" i="1"/>
  <c r="O310" i="1"/>
  <c r="O283" i="1"/>
  <c r="O246" i="1"/>
  <c r="O265" i="1"/>
  <c r="O233" i="1"/>
  <c r="O229" i="1"/>
  <c r="O346" i="1"/>
  <c r="O327" i="1"/>
  <c r="O299" i="1"/>
  <c r="O294" i="1"/>
  <c r="O267" i="1"/>
  <c r="O262" i="1"/>
  <c r="O257" i="1"/>
  <c r="V220" i="1"/>
  <c r="U220" i="1"/>
  <c r="T220" i="1"/>
  <c r="S220" i="1"/>
  <c r="N220" i="1"/>
  <c r="M220" i="1"/>
  <c r="L220" i="1"/>
  <c r="Q220" i="1" s="1"/>
  <c r="P220" i="1" s="1"/>
  <c r="V219" i="1"/>
  <c r="U219" i="1"/>
  <c r="T219" i="1"/>
  <c r="S219" i="1"/>
  <c r="N219" i="1"/>
  <c r="M219" i="1"/>
  <c r="L219" i="1"/>
  <c r="Q219" i="1" s="1"/>
  <c r="P219" i="1" s="1"/>
  <c r="V218" i="1"/>
  <c r="U218" i="1"/>
  <c r="T218" i="1"/>
  <c r="S218" i="1"/>
  <c r="N218" i="1"/>
  <c r="M218" i="1"/>
  <c r="O218" i="1" s="1"/>
  <c r="L218" i="1"/>
  <c r="Q218" i="1" s="1"/>
  <c r="P218" i="1" s="1"/>
  <c r="V217" i="1"/>
  <c r="U217" i="1"/>
  <c r="T217" i="1"/>
  <c r="S217" i="1"/>
  <c r="N217" i="1"/>
  <c r="M217" i="1"/>
  <c r="O217" i="1" s="1"/>
  <c r="L217" i="1"/>
  <c r="Q217" i="1" s="1"/>
  <c r="P217" i="1" s="1"/>
  <c r="V216" i="1"/>
  <c r="U216" i="1"/>
  <c r="T216" i="1"/>
  <c r="S216" i="1"/>
  <c r="N216" i="1"/>
  <c r="M216" i="1"/>
  <c r="L216" i="1"/>
  <c r="Q216" i="1" s="1"/>
  <c r="P216" i="1" s="1"/>
  <c r="V540" i="1"/>
  <c r="U540" i="1"/>
  <c r="T540" i="1"/>
  <c r="S540" i="1"/>
  <c r="N540" i="1"/>
  <c r="M540" i="1"/>
  <c r="L540" i="1"/>
  <c r="Q540" i="1" s="1"/>
  <c r="P540" i="1" s="1"/>
  <c r="V539" i="1"/>
  <c r="U539" i="1"/>
  <c r="T539" i="1"/>
  <c r="S539" i="1"/>
  <c r="N539" i="1"/>
  <c r="M539" i="1"/>
  <c r="L539" i="1"/>
  <c r="Q539" i="1" s="1"/>
  <c r="P539" i="1" s="1"/>
  <c r="V538" i="1"/>
  <c r="U538" i="1"/>
  <c r="T538" i="1"/>
  <c r="S538" i="1"/>
  <c r="N538" i="1"/>
  <c r="M538" i="1"/>
  <c r="L538" i="1"/>
  <c r="Q538" i="1" s="1"/>
  <c r="P538" i="1" s="1"/>
  <c r="V537" i="1"/>
  <c r="U537" i="1"/>
  <c r="T537" i="1"/>
  <c r="S537" i="1"/>
  <c r="N537" i="1"/>
  <c r="M537" i="1"/>
  <c r="L537" i="1"/>
  <c r="Q537" i="1" s="1"/>
  <c r="P537" i="1" s="1"/>
  <c r="V536" i="1"/>
  <c r="U536" i="1"/>
  <c r="T536" i="1"/>
  <c r="S536" i="1"/>
  <c r="N536" i="1"/>
  <c r="M536" i="1"/>
  <c r="L536" i="1"/>
  <c r="Q536" i="1" s="1"/>
  <c r="P536" i="1" s="1"/>
  <c r="V535" i="1"/>
  <c r="U535" i="1"/>
  <c r="T535" i="1"/>
  <c r="S535" i="1"/>
  <c r="N535" i="1"/>
  <c r="M535" i="1"/>
  <c r="L535" i="1"/>
  <c r="Q535" i="1" s="1"/>
  <c r="P535" i="1" s="1"/>
  <c r="V534" i="1"/>
  <c r="U534" i="1"/>
  <c r="T534" i="1"/>
  <c r="S534" i="1"/>
  <c r="N534" i="1"/>
  <c r="M534" i="1"/>
  <c r="L534" i="1"/>
  <c r="Q534" i="1" s="1"/>
  <c r="P534" i="1" s="1"/>
  <c r="V533" i="1"/>
  <c r="U533" i="1"/>
  <c r="T533" i="1"/>
  <c r="S533" i="1"/>
  <c r="N533" i="1"/>
  <c r="M533" i="1"/>
  <c r="O533" i="1" s="1"/>
  <c r="L533" i="1"/>
  <c r="Q533" i="1" s="1"/>
  <c r="P533" i="1" s="1"/>
  <c r="V532" i="1"/>
  <c r="U532" i="1"/>
  <c r="T532" i="1"/>
  <c r="S532" i="1"/>
  <c r="N532" i="1"/>
  <c r="M532" i="1"/>
  <c r="O532" i="1" s="1"/>
  <c r="L532" i="1"/>
  <c r="Q532" i="1" s="1"/>
  <c r="P532" i="1" s="1"/>
  <c r="V531" i="1"/>
  <c r="U531" i="1"/>
  <c r="T531" i="1"/>
  <c r="S531" i="1"/>
  <c r="N531" i="1"/>
  <c r="M531" i="1"/>
  <c r="O531" i="1" s="1"/>
  <c r="L531" i="1"/>
  <c r="Q531" i="1" s="1"/>
  <c r="P531" i="1" s="1"/>
  <c r="V530" i="1"/>
  <c r="U530" i="1"/>
  <c r="T530" i="1"/>
  <c r="S530" i="1"/>
  <c r="N530" i="1"/>
  <c r="M530" i="1"/>
  <c r="L530" i="1"/>
  <c r="Q530" i="1" s="1"/>
  <c r="P530" i="1" s="1"/>
  <c r="V529" i="1"/>
  <c r="U529" i="1"/>
  <c r="T529" i="1"/>
  <c r="S529" i="1"/>
  <c r="N529" i="1"/>
  <c r="M529" i="1"/>
  <c r="L529" i="1"/>
  <c r="Q529" i="1" s="1"/>
  <c r="P529" i="1" s="1"/>
  <c r="V528" i="1"/>
  <c r="U528" i="1"/>
  <c r="T528" i="1"/>
  <c r="S528" i="1"/>
  <c r="N528" i="1"/>
  <c r="M528" i="1"/>
  <c r="O528" i="1" s="1"/>
  <c r="L528" i="1"/>
  <c r="Q528" i="1" s="1"/>
  <c r="P528" i="1" s="1"/>
  <c r="V527" i="1"/>
  <c r="U527" i="1"/>
  <c r="T527" i="1"/>
  <c r="S527" i="1"/>
  <c r="N527" i="1"/>
  <c r="M527" i="1"/>
  <c r="O527" i="1" s="1"/>
  <c r="L527" i="1"/>
  <c r="Q527" i="1" s="1"/>
  <c r="P527" i="1" s="1"/>
  <c r="V526" i="1"/>
  <c r="U526" i="1"/>
  <c r="T526" i="1"/>
  <c r="S526" i="1"/>
  <c r="N526" i="1"/>
  <c r="M526" i="1"/>
  <c r="L526" i="1"/>
  <c r="Q526" i="1" s="1"/>
  <c r="P526" i="1" s="1"/>
  <c r="V525" i="1"/>
  <c r="U525" i="1"/>
  <c r="T525" i="1"/>
  <c r="S525" i="1"/>
  <c r="N525" i="1"/>
  <c r="M525" i="1"/>
  <c r="L525" i="1"/>
  <c r="Q525" i="1" s="1"/>
  <c r="P525" i="1" s="1"/>
  <c r="V524" i="1"/>
  <c r="U524" i="1"/>
  <c r="T524" i="1"/>
  <c r="S524" i="1"/>
  <c r="N524" i="1"/>
  <c r="O524" i="1" s="1"/>
  <c r="M524" i="1"/>
  <c r="L524" i="1"/>
  <c r="Q524" i="1" s="1"/>
  <c r="P524" i="1" s="1"/>
  <c r="V523" i="1"/>
  <c r="U523" i="1"/>
  <c r="T523" i="1"/>
  <c r="S523" i="1"/>
  <c r="Q523" i="1"/>
  <c r="P523" i="1" s="1"/>
  <c r="N523" i="1"/>
  <c r="O523" i="1" s="1"/>
  <c r="M523" i="1"/>
  <c r="L523" i="1"/>
  <c r="V522" i="1"/>
  <c r="U522" i="1"/>
  <c r="T522" i="1"/>
  <c r="S522" i="1"/>
  <c r="Q522" i="1"/>
  <c r="P522" i="1" s="1"/>
  <c r="N522" i="1"/>
  <c r="M522" i="1"/>
  <c r="L522" i="1"/>
  <c r="V521" i="1"/>
  <c r="U521" i="1"/>
  <c r="T521" i="1"/>
  <c r="S521" i="1"/>
  <c r="Q521" i="1"/>
  <c r="P521" i="1" s="1"/>
  <c r="N521" i="1"/>
  <c r="M521" i="1"/>
  <c r="L521" i="1"/>
  <c r="V520" i="1"/>
  <c r="U520" i="1"/>
  <c r="T520" i="1"/>
  <c r="S520" i="1"/>
  <c r="Q520" i="1"/>
  <c r="P520" i="1" s="1"/>
  <c r="N520" i="1"/>
  <c r="M520" i="1"/>
  <c r="L520" i="1"/>
  <c r="V519" i="1"/>
  <c r="U519" i="1"/>
  <c r="T519" i="1"/>
  <c r="S519" i="1"/>
  <c r="Q519" i="1"/>
  <c r="P519" i="1" s="1"/>
  <c r="N519" i="1"/>
  <c r="M519" i="1"/>
  <c r="L519" i="1"/>
  <c r="V518" i="1"/>
  <c r="U518" i="1"/>
  <c r="T518" i="1"/>
  <c r="S518" i="1"/>
  <c r="Q518" i="1"/>
  <c r="P518" i="1" s="1"/>
  <c r="N518" i="1"/>
  <c r="M518" i="1"/>
  <c r="L518" i="1"/>
  <c r="V517" i="1"/>
  <c r="U517" i="1"/>
  <c r="T517" i="1"/>
  <c r="S517" i="1"/>
  <c r="Q517" i="1"/>
  <c r="P517" i="1" s="1"/>
  <c r="O517" i="1"/>
  <c r="N517" i="1"/>
  <c r="M517" i="1"/>
  <c r="L517" i="1"/>
  <c r="V516" i="1"/>
  <c r="U516" i="1"/>
  <c r="T516" i="1"/>
  <c r="S516" i="1"/>
  <c r="Q516" i="1"/>
  <c r="P516" i="1" s="1"/>
  <c r="N516" i="1"/>
  <c r="M516" i="1"/>
  <c r="L516" i="1"/>
  <c r="V515" i="1"/>
  <c r="U515" i="1"/>
  <c r="T515" i="1"/>
  <c r="S515" i="1"/>
  <c r="Q515" i="1"/>
  <c r="P515" i="1" s="1"/>
  <c r="N515" i="1"/>
  <c r="O515" i="1" s="1"/>
  <c r="M515" i="1"/>
  <c r="L515" i="1"/>
  <c r="V514" i="1"/>
  <c r="U514" i="1"/>
  <c r="T514" i="1"/>
  <c r="S514" i="1"/>
  <c r="Q514" i="1"/>
  <c r="P514" i="1" s="1"/>
  <c r="N514" i="1"/>
  <c r="M514" i="1"/>
  <c r="L514" i="1"/>
  <c r="V513" i="1"/>
  <c r="U513" i="1"/>
  <c r="T513" i="1"/>
  <c r="S513" i="1"/>
  <c r="Q513" i="1"/>
  <c r="P513" i="1" s="1"/>
  <c r="N513" i="1"/>
  <c r="M513" i="1"/>
  <c r="L513" i="1"/>
  <c r="V512" i="1"/>
  <c r="U512" i="1"/>
  <c r="T512" i="1"/>
  <c r="S512" i="1"/>
  <c r="O512" i="1"/>
  <c r="N512" i="1"/>
  <c r="M512" i="1"/>
  <c r="L512" i="1"/>
  <c r="Q512" i="1" s="1"/>
  <c r="P512" i="1" s="1"/>
  <c r="V511" i="1"/>
  <c r="U511" i="1"/>
  <c r="T511" i="1"/>
  <c r="S511" i="1"/>
  <c r="N511" i="1"/>
  <c r="M511" i="1"/>
  <c r="L511" i="1"/>
  <c r="Q511" i="1" s="1"/>
  <c r="P511" i="1" s="1"/>
  <c r="V510" i="1"/>
  <c r="U510" i="1"/>
  <c r="T510" i="1"/>
  <c r="S510" i="1"/>
  <c r="N510" i="1"/>
  <c r="M510" i="1"/>
  <c r="L510" i="1"/>
  <c r="Q510" i="1" s="1"/>
  <c r="P510" i="1" s="1"/>
  <c r="V509" i="1"/>
  <c r="U509" i="1"/>
  <c r="T509" i="1"/>
  <c r="S509" i="1"/>
  <c r="N509" i="1"/>
  <c r="M509" i="1"/>
  <c r="O509" i="1" s="1"/>
  <c r="L509" i="1"/>
  <c r="Q509" i="1" s="1"/>
  <c r="P509" i="1" s="1"/>
  <c r="V508" i="1"/>
  <c r="U508" i="1"/>
  <c r="T508" i="1"/>
  <c r="S508" i="1"/>
  <c r="N508" i="1"/>
  <c r="M508" i="1"/>
  <c r="L508" i="1"/>
  <c r="Q508" i="1" s="1"/>
  <c r="P508" i="1" s="1"/>
  <c r="V507" i="1"/>
  <c r="U507" i="1"/>
  <c r="T507" i="1"/>
  <c r="S507" i="1"/>
  <c r="N507" i="1"/>
  <c r="M507" i="1"/>
  <c r="L507" i="1"/>
  <c r="Q507" i="1" s="1"/>
  <c r="P507" i="1" s="1"/>
  <c r="V506" i="1"/>
  <c r="U506" i="1"/>
  <c r="T506" i="1"/>
  <c r="S506" i="1"/>
  <c r="N506" i="1"/>
  <c r="M506" i="1"/>
  <c r="L506" i="1"/>
  <c r="Q506" i="1" s="1"/>
  <c r="P506" i="1" s="1"/>
  <c r="V505" i="1"/>
  <c r="U505" i="1"/>
  <c r="T505" i="1"/>
  <c r="S505" i="1"/>
  <c r="N505" i="1"/>
  <c r="M505" i="1"/>
  <c r="L505" i="1"/>
  <c r="Q505" i="1" s="1"/>
  <c r="P505" i="1" s="1"/>
  <c r="V504" i="1"/>
  <c r="U504" i="1"/>
  <c r="T504" i="1"/>
  <c r="S504" i="1"/>
  <c r="N504" i="1"/>
  <c r="M504" i="1"/>
  <c r="L504" i="1"/>
  <c r="Q504" i="1" s="1"/>
  <c r="P504" i="1" s="1"/>
  <c r="V503" i="1"/>
  <c r="U503" i="1"/>
  <c r="T503" i="1"/>
  <c r="S503" i="1"/>
  <c r="N503" i="1"/>
  <c r="M503" i="1"/>
  <c r="L503" i="1"/>
  <c r="Q503" i="1" s="1"/>
  <c r="P503" i="1" s="1"/>
  <c r="V502" i="1"/>
  <c r="U502" i="1"/>
  <c r="T502" i="1"/>
  <c r="S502" i="1"/>
  <c r="N502" i="1"/>
  <c r="M502" i="1"/>
  <c r="L502" i="1"/>
  <c r="Q502" i="1" s="1"/>
  <c r="P502" i="1" s="1"/>
  <c r="V501" i="1"/>
  <c r="U501" i="1"/>
  <c r="T501" i="1"/>
  <c r="S501" i="1"/>
  <c r="N501" i="1"/>
  <c r="M501" i="1"/>
  <c r="O501" i="1" s="1"/>
  <c r="L501" i="1"/>
  <c r="Q501" i="1" s="1"/>
  <c r="P501" i="1" s="1"/>
  <c r="V500" i="1"/>
  <c r="U500" i="1"/>
  <c r="T500" i="1"/>
  <c r="S500" i="1"/>
  <c r="N500" i="1"/>
  <c r="M500" i="1"/>
  <c r="O500" i="1" s="1"/>
  <c r="L500" i="1"/>
  <c r="Q500" i="1" s="1"/>
  <c r="P500" i="1" s="1"/>
  <c r="V499" i="1"/>
  <c r="U499" i="1"/>
  <c r="T499" i="1"/>
  <c r="S499" i="1"/>
  <c r="Q499" i="1"/>
  <c r="P499" i="1" s="1"/>
  <c r="N499" i="1"/>
  <c r="M499" i="1"/>
  <c r="L499" i="1"/>
  <c r="V498" i="1"/>
  <c r="U498" i="1"/>
  <c r="T498" i="1"/>
  <c r="S498" i="1"/>
  <c r="Q498" i="1"/>
  <c r="P498" i="1" s="1"/>
  <c r="N498" i="1"/>
  <c r="M498" i="1"/>
  <c r="L498" i="1"/>
  <c r="V497" i="1"/>
  <c r="U497" i="1"/>
  <c r="T497" i="1"/>
  <c r="S497" i="1"/>
  <c r="Q497" i="1"/>
  <c r="P497" i="1" s="1"/>
  <c r="N497" i="1"/>
  <c r="M497" i="1"/>
  <c r="L497" i="1"/>
  <c r="V496" i="1"/>
  <c r="U496" i="1"/>
  <c r="T496" i="1"/>
  <c r="S496" i="1"/>
  <c r="Q496" i="1"/>
  <c r="P496" i="1" s="1"/>
  <c r="N496" i="1"/>
  <c r="M496" i="1"/>
  <c r="L496" i="1"/>
  <c r="V495" i="1"/>
  <c r="U495" i="1"/>
  <c r="T495" i="1"/>
  <c r="S495" i="1"/>
  <c r="Q495" i="1"/>
  <c r="P495" i="1" s="1"/>
  <c r="N495" i="1"/>
  <c r="M495" i="1"/>
  <c r="L495" i="1"/>
  <c r="V494" i="1"/>
  <c r="U494" i="1"/>
  <c r="T494" i="1"/>
  <c r="S494" i="1"/>
  <c r="Q494" i="1"/>
  <c r="P494" i="1" s="1"/>
  <c r="N494" i="1"/>
  <c r="M494" i="1"/>
  <c r="L494" i="1"/>
  <c r="V1843" i="1"/>
  <c r="U1843" i="1"/>
  <c r="T1843" i="1"/>
  <c r="S1843" i="1"/>
  <c r="Q1843" i="1"/>
  <c r="P1843" i="1" s="1"/>
  <c r="O1843" i="1"/>
  <c r="N1843" i="1"/>
  <c r="M1843" i="1"/>
  <c r="L1843" i="1"/>
  <c r="V1842" i="1"/>
  <c r="U1842" i="1"/>
  <c r="T1842" i="1"/>
  <c r="S1842" i="1"/>
  <c r="Q1842" i="1"/>
  <c r="P1842" i="1" s="1"/>
  <c r="N1842" i="1"/>
  <c r="M1842" i="1"/>
  <c r="L1842" i="1"/>
  <c r="V1841" i="1"/>
  <c r="U1841" i="1"/>
  <c r="T1841" i="1"/>
  <c r="S1841" i="1"/>
  <c r="Q1841" i="1"/>
  <c r="P1841" i="1" s="1"/>
  <c r="N1841" i="1"/>
  <c r="M1841" i="1"/>
  <c r="L1841" i="1"/>
  <c r="V493" i="1"/>
  <c r="U493" i="1"/>
  <c r="T493" i="1"/>
  <c r="S493" i="1"/>
  <c r="Q493" i="1"/>
  <c r="P493" i="1" s="1"/>
  <c r="N493" i="1"/>
  <c r="M493" i="1"/>
  <c r="L493" i="1"/>
  <c r="V492" i="1"/>
  <c r="U492" i="1"/>
  <c r="T492" i="1"/>
  <c r="S492" i="1"/>
  <c r="Q492" i="1"/>
  <c r="P492" i="1" s="1"/>
  <c r="N492" i="1"/>
  <c r="O492" i="1" s="1"/>
  <c r="M492" i="1"/>
  <c r="L492" i="1"/>
  <c r="V491" i="1"/>
  <c r="U491" i="1"/>
  <c r="T491" i="1"/>
  <c r="S491" i="1"/>
  <c r="Q491" i="1"/>
  <c r="P491" i="1" s="1"/>
  <c r="N491" i="1"/>
  <c r="M491" i="1"/>
  <c r="L491" i="1"/>
  <c r="V490" i="1"/>
  <c r="U490" i="1"/>
  <c r="T490" i="1"/>
  <c r="S490" i="1"/>
  <c r="Q490" i="1"/>
  <c r="P490" i="1" s="1"/>
  <c r="N490" i="1"/>
  <c r="M490" i="1"/>
  <c r="L490" i="1"/>
  <c r="V489" i="1"/>
  <c r="U489" i="1"/>
  <c r="T489" i="1"/>
  <c r="S489" i="1"/>
  <c r="Q489" i="1"/>
  <c r="P489" i="1" s="1"/>
  <c r="N489" i="1"/>
  <c r="M489" i="1"/>
  <c r="L489" i="1"/>
  <c r="V488" i="1"/>
  <c r="U488" i="1"/>
  <c r="T488" i="1"/>
  <c r="S488" i="1"/>
  <c r="O488" i="1"/>
  <c r="N488" i="1"/>
  <c r="M488" i="1"/>
  <c r="L488" i="1"/>
  <c r="Q488" i="1" s="1"/>
  <c r="P488" i="1" s="1"/>
  <c r="V487" i="1"/>
  <c r="U487" i="1"/>
  <c r="T487" i="1"/>
  <c r="S487" i="1"/>
  <c r="N487" i="1"/>
  <c r="M487" i="1"/>
  <c r="L487" i="1"/>
  <c r="Q487" i="1" s="1"/>
  <c r="P487" i="1" s="1"/>
  <c r="V486" i="1"/>
  <c r="U486" i="1"/>
  <c r="T486" i="1"/>
  <c r="S486" i="1"/>
  <c r="N486" i="1"/>
  <c r="M486" i="1"/>
  <c r="O486" i="1" s="1"/>
  <c r="L486" i="1"/>
  <c r="Q486" i="1" s="1"/>
  <c r="P486" i="1" s="1"/>
  <c r="V485" i="1"/>
  <c r="U485" i="1"/>
  <c r="T485" i="1"/>
  <c r="S485" i="1"/>
  <c r="N485" i="1"/>
  <c r="M485" i="1"/>
  <c r="O485" i="1" s="1"/>
  <c r="L485" i="1"/>
  <c r="Q485" i="1" s="1"/>
  <c r="P485" i="1" s="1"/>
  <c r="V484" i="1"/>
  <c r="U484" i="1"/>
  <c r="T484" i="1"/>
  <c r="S484" i="1"/>
  <c r="N484" i="1"/>
  <c r="M484" i="1"/>
  <c r="L484" i="1"/>
  <c r="Q484" i="1" s="1"/>
  <c r="P484" i="1" s="1"/>
  <c r="V483" i="1"/>
  <c r="U483" i="1"/>
  <c r="T483" i="1"/>
  <c r="S483" i="1"/>
  <c r="N483" i="1"/>
  <c r="M483" i="1"/>
  <c r="L483" i="1"/>
  <c r="Q483" i="1" s="1"/>
  <c r="P483" i="1" s="1"/>
  <c r="V482" i="1"/>
  <c r="U482" i="1"/>
  <c r="T482" i="1"/>
  <c r="S482" i="1"/>
  <c r="N482" i="1"/>
  <c r="M482" i="1"/>
  <c r="L482" i="1"/>
  <c r="Q482" i="1" s="1"/>
  <c r="P482" i="1" s="1"/>
  <c r="V481" i="1"/>
  <c r="U481" i="1"/>
  <c r="T481" i="1"/>
  <c r="S481" i="1"/>
  <c r="N481" i="1"/>
  <c r="M481" i="1"/>
  <c r="L481" i="1"/>
  <c r="Q481" i="1" s="1"/>
  <c r="P481" i="1" s="1"/>
  <c r="V480" i="1"/>
  <c r="U480" i="1"/>
  <c r="T480" i="1"/>
  <c r="S480" i="1"/>
  <c r="O480" i="1"/>
  <c r="N480" i="1"/>
  <c r="M480" i="1"/>
  <c r="L480" i="1"/>
  <c r="Q480" i="1" s="1"/>
  <c r="P480" i="1" s="1"/>
  <c r="V479" i="1"/>
  <c r="U479" i="1"/>
  <c r="T479" i="1"/>
  <c r="S479" i="1"/>
  <c r="N479" i="1"/>
  <c r="M479" i="1"/>
  <c r="O479" i="1" s="1"/>
  <c r="L479" i="1"/>
  <c r="Q479" i="1" s="1"/>
  <c r="P479" i="1" s="1"/>
  <c r="V478" i="1"/>
  <c r="U478" i="1"/>
  <c r="T478" i="1"/>
  <c r="S478" i="1"/>
  <c r="N478" i="1"/>
  <c r="M478" i="1"/>
  <c r="L478" i="1"/>
  <c r="Q478" i="1" s="1"/>
  <c r="P478" i="1" s="1"/>
  <c r="V477" i="1"/>
  <c r="U477" i="1"/>
  <c r="T477" i="1"/>
  <c r="S477" i="1"/>
  <c r="N477" i="1"/>
  <c r="M477" i="1"/>
  <c r="L477" i="1"/>
  <c r="Q477" i="1" s="1"/>
  <c r="P477" i="1" s="1"/>
  <c r="V476" i="1"/>
  <c r="U476" i="1"/>
  <c r="T476" i="1"/>
  <c r="S476" i="1"/>
  <c r="Q476" i="1"/>
  <c r="P476" i="1" s="1"/>
  <c r="N476" i="1"/>
  <c r="M476" i="1"/>
  <c r="O476" i="1" s="1"/>
  <c r="L476" i="1"/>
  <c r="V475" i="1"/>
  <c r="U475" i="1"/>
  <c r="T475" i="1"/>
  <c r="S475" i="1"/>
  <c r="N475" i="1"/>
  <c r="M475" i="1"/>
  <c r="L475" i="1"/>
  <c r="Q475" i="1" s="1"/>
  <c r="P475" i="1" s="1"/>
  <c r="V474" i="1"/>
  <c r="U474" i="1"/>
  <c r="T474" i="1"/>
  <c r="S474" i="1"/>
  <c r="N474" i="1"/>
  <c r="M474" i="1"/>
  <c r="L474" i="1"/>
  <c r="Q474" i="1" s="1"/>
  <c r="P474" i="1" s="1"/>
  <c r="V473" i="1"/>
  <c r="U473" i="1"/>
  <c r="T473" i="1"/>
  <c r="S473" i="1"/>
  <c r="N473" i="1"/>
  <c r="M473" i="1"/>
  <c r="L473" i="1"/>
  <c r="Q473" i="1" s="1"/>
  <c r="P473" i="1" s="1"/>
  <c r="V472" i="1"/>
  <c r="U472" i="1"/>
  <c r="T472" i="1"/>
  <c r="S472" i="1"/>
  <c r="Q472" i="1"/>
  <c r="P472" i="1" s="1"/>
  <c r="N472" i="1"/>
  <c r="M472" i="1"/>
  <c r="L472" i="1"/>
  <c r="V471" i="1"/>
  <c r="U471" i="1"/>
  <c r="T471" i="1"/>
  <c r="S471" i="1"/>
  <c r="Q471" i="1"/>
  <c r="P471" i="1" s="1"/>
  <c r="N471" i="1"/>
  <c r="O471" i="1" s="1"/>
  <c r="M471" i="1"/>
  <c r="L471" i="1"/>
  <c r="V470" i="1"/>
  <c r="U470" i="1"/>
  <c r="T470" i="1"/>
  <c r="S470" i="1"/>
  <c r="Q470" i="1"/>
  <c r="P470" i="1" s="1"/>
  <c r="N470" i="1"/>
  <c r="M470" i="1"/>
  <c r="L470" i="1"/>
  <c r="V469" i="1"/>
  <c r="U469" i="1"/>
  <c r="T469" i="1"/>
  <c r="S469" i="1"/>
  <c r="Q469" i="1"/>
  <c r="P469" i="1" s="1"/>
  <c r="N469" i="1"/>
  <c r="M469" i="1"/>
  <c r="L469" i="1"/>
  <c r="V468" i="1"/>
  <c r="U468" i="1"/>
  <c r="T468" i="1"/>
  <c r="S468" i="1"/>
  <c r="O468" i="1"/>
  <c r="N468" i="1"/>
  <c r="M468" i="1"/>
  <c r="L468" i="1"/>
  <c r="Q468" i="1" s="1"/>
  <c r="P468" i="1" s="1"/>
  <c r="V467" i="1"/>
  <c r="U467" i="1"/>
  <c r="T467" i="1"/>
  <c r="S467" i="1"/>
  <c r="N467" i="1"/>
  <c r="M467" i="1"/>
  <c r="L467" i="1"/>
  <c r="Q467" i="1" s="1"/>
  <c r="P467" i="1" s="1"/>
  <c r="V466" i="1"/>
  <c r="U466" i="1"/>
  <c r="T466" i="1"/>
  <c r="S466" i="1"/>
  <c r="N466" i="1"/>
  <c r="M466" i="1"/>
  <c r="O466" i="1" s="1"/>
  <c r="L466" i="1"/>
  <c r="Q466" i="1" s="1"/>
  <c r="P466" i="1" s="1"/>
  <c r="V465" i="1"/>
  <c r="U465" i="1"/>
  <c r="T465" i="1"/>
  <c r="S465" i="1"/>
  <c r="N465" i="1"/>
  <c r="M465" i="1"/>
  <c r="O465" i="1" s="1"/>
  <c r="L465" i="1"/>
  <c r="Q465" i="1" s="1"/>
  <c r="P465" i="1" s="1"/>
  <c r="V464" i="1"/>
  <c r="U464" i="1"/>
  <c r="T464" i="1"/>
  <c r="S464" i="1"/>
  <c r="N464" i="1"/>
  <c r="M464" i="1"/>
  <c r="L464" i="1"/>
  <c r="Q464" i="1" s="1"/>
  <c r="P464" i="1" s="1"/>
  <c r="V463" i="1"/>
  <c r="U463" i="1"/>
  <c r="T463" i="1"/>
  <c r="S463" i="1"/>
  <c r="O463" i="1"/>
  <c r="N463" i="1"/>
  <c r="M463" i="1"/>
  <c r="L463" i="1"/>
  <c r="Q463" i="1" s="1"/>
  <c r="P463" i="1" s="1"/>
  <c r="V462" i="1"/>
  <c r="U462" i="1"/>
  <c r="T462" i="1"/>
  <c r="S462" i="1"/>
  <c r="Q462" i="1"/>
  <c r="P462" i="1" s="1"/>
  <c r="N462" i="1"/>
  <c r="M462" i="1"/>
  <c r="L462" i="1"/>
  <c r="V461" i="1"/>
  <c r="U461" i="1"/>
  <c r="T461" i="1"/>
  <c r="S461" i="1"/>
  <c r="Q461" i="1"/>
  <c r="P461" i="1" s="1"/>
  <c r="N461" i="1"/>
  <c r="M461" i="1"/>
  <c r="L461" i="1"/>
  <c r="V460" i="1"/>
  <c r="U460" i="1"/>
  <c r="T460" i="1"/>
  <c r="S460" i="1"/>
  <c r="Q460" i="1"/>
  <c r="P460" i="1" s="1"/>
  <c r="O460" i="1"/>
  <c r="N460" i="1"/>
  <c r="M460" i="1"/>
  <c r="L460" i="1"/>
  <c r="V459" i="1"/>
  <c r="U459" i="1"/>
  <c r="T459" i="1"/>
  <c r="S459" i="1"/>
  <c r="Q459" i="1"/>
  <c r="P459" i="1" s="1"/>
  <c r="N459" i="1"/>
  <c r="M459" i="1"/>
  <c r="O459" i="1" s="1"/>
  <c r="L459" i="1"/>
  <c r="V458" i="1"/>
  <c r="U458" i="1"/>
  <c r="T458" i="1"/>
  <c r="S458" i="1"/>
  <c r="N458" i="1"/>
  <c r="M458" i="1"/>
  <c r="O458" i="1" s="1"/>
  <c r="L458" i="1"/>
  <c r="Q458" i="1" s="1"/>
  <c r="P458" i="1" s="1"/>
  <c r="V457" i="1"/>
  <c r="U457" i="1"/>
  <c r="T457" i="1"/>
  <c r="S457" i="1"/>
  <c r="N457" i="1"/>
  <c r="M457" i="1"/>
  <c r="L457" i="1"/>
  <c r="Q457" i="1" s="1"/>
  <c r="P457" i="1" s="1"/>
  <c r="V456" i="1"/>
  <c r="U456" i="1"/>
  <c r="T456" i="1"/>
  <c r="S456" i="1"/>
  <c r="Q456" i="1"/>
  <c r="P456" i="1" s="1"/>
  <c r="N456" i="1"/>
  <c r="M456" i="1"/>
  <c r="L456" i="1"/>
  <c r="V455" i="1"/>
  <c r="U455" i="1"/>
  <c r="T455" i="1"/>
  <c r="S455" i="1"/>
  <c r="Q455" i="1"/>
  <c r="P455" i="1" s="1"/>
  <c r="N455" i="1"/>
  <c r="O455" i="1" s="1"/>
  <c r="M455" i="1"/>
  <c r="L455" i="1"/>
  <c r="V454" i="1"/>
  <c r="U454" i="1"/>
  <c r="T454" i="1"/>
  <c r="S454" i="1"/>
  <c r="Q454" i="1"/>
  <c r="P454" i="1" s="1"/>
  <c r="N454" i="1"/>
  <c r="M454" i="1"/>
  <c r="L454" i="1"/>
  <c r="V453" i="1"/>
  <c r="U453" i="1"/>
  <c r="T453" i="1"/>
  <c r="S453" i="1"/>
  <c r="Q453" i="1"/>
  <c r="P453" i="1" s="1"/>
  <c r="N453" i="1"/>
  <c r="M453" i="1"/>
  <c r="L453" i="1"/>
  <c r="V452" i="1"/>
  <c r="U452" i="1"/>
  <c r="T452" i="1"/>
  <c r="S452" i="1"/>
  <c r="O452" i="1"/>
  <c r="N452" i="1"/>
  <c r="M452" i="1"/>
  <c r="L452" i="1"/>
  <c r="Q452" i="1" s="1"/>
  <c r="P452" i="1" s="1"/>
  <c r="V451" i="1"/>
  <c r="U451" i="1"/>
  <c r="T451" i="1"/>
  <c r="S451" i="1"/>
  <c r="Q451" i="1"/>
  <c r="P451" i="1" s="1"/>
  <c r="N451" i="1"/>
  <c r="M451" i="1"/>
  <c r="L451" i="1"/>
  <c r="V450" i="1"/>
  <c r="U450" i="1"/>
  <c r="T450" i="1"/>
  <c r="S450" i="1"/>
  <c r="N450" i="1"/>
  <c r="M450" i="1"/>
  <c r="L450" i="1"/>
  <c r="Q450" i="1" s="1"/>
  <c r="P450" i="1" s="1"/>
  <c r="V449" i="1"/>
  <c r="U449" i="1"/>
  <c r="T449" i="1"/>
  <c r="S449" i="1"/>
  <c r="N449" i="1"/>
  <c r="M449" i="1"/>
  <c r="O449" i="1" s="1"/>
  <c r="L449" i="1"/>
  <c r="Q449" i="1" s="1"/>
  <c r="P449" i="1" s="1"/>
  <c r="V448" i="1"/>
  <c r="U448" i="1"/>
  <c r="T448" i="1"/>
  <c r="S448" i="1"/>
  <c r="N448" i="1"/>
  <c r="M448" i="1"/>
  <c r="L448" i="1"/>
  <c r="Q448" i="1" s="1"/>
  <c r="P448" i="1" s="1"/>
  <c r="V447" i="1"/>
  <c r="U447" i="1"/>
  <c r="T447" i="1"/>
  <c r="S447" i="1"/>
  <c r="O447" i="1"/>
  <c r="N447" i="1"/>
  <c r="M447" i="1"/>
  <c r="L447" i="1"/>
  <c r="Q447" i="1" s="1"/>
  <c r="P447" i="1" s="1"/>
  <c r="V446" i="1"/>
  <c r="U446" i="1"/>
  <c r="T446" i="1"/>
  <c r="S446" i="1"/>
  <c r="N446" i="1"/>
  <c r="M446" i="1"/>
  <c r="L446" i="1"/>
  <c r="Q446" i="1" s="1"/>
  <c r="P446" i="1" s="1"/>
  <c r="V445" i="1"/>
  <c r="U445" i="1"/>
  <c r="T445" i="1"/>
  <c r="S445" i="1"/>
  <c r="N445" i="1"/>
  <c r="M445" i="1"/>
  <c r="L445" i="1"/>
  <c r="Q445" i="1" s="1"/>
  <c r="P445" i="1" s="1"/>
  <c r="V444" i="1"/>
  <c r="U444" i="1"/>
  <c r="T444" i="1"/>
  <c r="S444" i="1"/>
  <c r="N444" i="1"/>
  <c r="M444" i="1"/>
  <c r="O444" i="1" s="1"/>
  <c r="L444" i="1"/>
  <c r="Q444" i="1" s="1"/>
  <c r="P444" i="1" s="1"/>
  <c r="V443" i="1"/>
  <c r="U443" i="1"/>
  <c r="T443" i="1"/>
  <c r="S443" i="1"/>
  <c r="N443" i="1"/>
  <c r="M443" i="1"/>
  <c r="O443" i="1" s="1"/>
  <c r="L443" i="1"/>
  <c r="Q443" i="1" s="1"/>
  <c r="P443" i="1" s="1"/>
  <c r="V442" i="1"/>
  <c r="U442" i="1"/>
  <c r="T442" i="1"/>
  <c r="S442" i="1"/>
  <c r="N442" i="1"/>
  <c r="M442" i="1"/>
  <c r="L442" i="1"/>
  <c r="Q442" i="1" s="1"/>
  <c r="P442" i="1" s="1"/>
  <c r="V441" i="1"/>
  <c r="U441" i="1"/>
  <c r="T441" i="1"/>
  <c r="S441" i="1"/>
  <c r="N441" i="1"/>
  <c r="M441" i="1"/>
  <c r="L441" i="1"/>
  <c r="Q441" i="1" s="1"/>
  <c r="P441" i="1" s="1"/>
  <c r="V440" i="1"/>
  <c r="U440" i="1"/>
  <c r="T440" i="1"/>
  <c r="S440" i="1"/>
  <c r="Q440" i="1"/>
  <c r="P440" i="1" s="1"/>
  <c r="N440" i="1"/>
  <c r="M440" i="1"/>
  <c r="O440" i="1" s="1"/>
  <c r="L440" i="1"/>
  <c r="V439" i="1"/>
  <c r="U439" i="1"/>
  <c r="T439" i="1"/>
  <c r="S439" i="1"/>
  <c r="Q439" i="1"/>
  <c r="P439" i="1" s="1"/>
  <c r="N439" i="1"/>
  <c r="M439" i="1"/>
  <c r="L439" i="1"/>
  <c r="V438" i="1"/>
  <c r="U438" i="1"/>
  <c r="T438" i="1"/>
  <c r="S438" i="1"/>
  <c r="Q438" i="1"/>
  <c r="P438" i="1" s="1"/>
  <c r="N438" i="1"/>
  <c r="M438" i="1"/>
  <c r="L438" i="1"/>
  <c r="V437" i="1"/>
  <c r="U437" i="1"/>
  <c r="T437" i="1"/>
  <c r="S437" i="1"/>
  <c r="Q437" i="1"/>
  <c r="P437" i="1" s="1"/>
  <c r="N437" i="1"/>
  <c r="M437" i="1"/>
  <c r="L437" i="1"/>
  <c r="V436" i="1"/>
  <c r="U436" i="1"/>
  <c r="T436" i="1"/>
  <c r="S436" i="1"/>
  <c r="O436" i="1"/>
  <c r="N436" i="1"/>
  <c r="M436" i="1"/>
  <c r="L436" i="1"/>
  <c r="Q436" i="1" s="1"/>
  <c r="P436" i="1" s="1"/>
  <c r="V435" i="1"/>
  <c r="U435" i="1"/>
  <c r="T435" i="1"/>
  <c r="S435" i="1"/>
  <c r="Q435" i="1"/>
  <c r="P435" i="1" s="1"/>
  <c r="N435" i="1"/>
  <c r="M435" i="1"/>
  <c r="L435" i="1"/>
  <c r="V434" i="1"/>
  <c r="U434" i="1"/>
  <c r="T434" i="1"/>
  <c r="S434" i="1"/>
  <c r="Q434" i="1"/>
  <c r="P434" i="1" s="1"/>
  <c r="N434" i="1"/>
  <c r="M434" i="1"/>
  <c r="L434" i="1"/>
  <c r="V433" i="1"/>
  <c r="U433" i="1"/>
  <c r="T433" i="1"/>
  <c r="S433" i="1"/>
  <c r="Q433" i="1"/>
  <c r="P433" i="1" s="1"/>
  <c r="N433" i="1"/>
  <c r="M433" i="1"/>
  <c r="L433" i="1"/>
  <c r="V432" i="1"/>
  <c r="U432" i="1"/>
  <c r="T432" i="1"/>
  <c r="S432" i="1"/>
  <c r="Q432" i="1"/>
  <c r="P432" i="1" s="1"/>
  <c r="N432" i="1"/>
  <c r="M432" i="1"/>
  <c r="O432" i="1" s="1"/>
  <c r="L432" i="1"/>
  <c r="V431" i="1"/>
  <c r="U431" i="1"/>
  <c r="T431" i="1"/>
  <c r="S431" i="1"/>
  <c r="N431" i="1"/>
  <c r="M431" i="1"/>
  <c r="L431" i="1"/>
  <c r="Q431" i="1" s="1"/>
  <c r="P431" i="1" s="1"/>
  <c r="V430" i="1"/>
  <c r="U430" i="1"/>
  <c r="T430" i="1"/>
  <c r="S430" i="1"/>
  <c r="N430" i="1"/>
  <c r="M430" i="1"/>
  <c r="L430" i="1"/>
  <c r="Q430" i="1" s="1"/>
  <c r="P430" i="1" s="1"/>
  <c r="V429" i="1"/>
  <c r="U429" i="1"/>
  <c r="T429" i="1"/>
  <c r="S429" i="1"/>
  <c r="N429" i="1"/>
  <c r="M429" i="1"/>
  <c r="L429" i="1"/>
  <c r="Q429" i="1" s="1"/>
  <c r="P429" i="1" s="1"/>
  <c r="V428" i="1"/>
  <c r="U428" i="1"/>
  <c r="T428" i="1"/>
  <c r="S428" i="1"/>
  <c r="O428" i="1"/>
  <c r="N428" i="1"/>
  <c r="M428" i="1"/>
  <c r="L428" i="1"/>
  <c r="Q428" i="1" s="1"/>
  <c r="P428" i="1" s="1"/>
  <c r="V427" i="1"/>
  <c r="U427" i="1"/>
  <c r="T427" i="1"/>
  <c r="S427" i="1"/>
  <c r="Q427" i="1"/>
  <c r="P427" i="1" s="1"/>
  <c r="N427" i="1"/>
  <c r="M427" i="1"/>
  <c r="O427" i="1" s="1"/>
  <c r="L427" i="1"/>
  <c r="V426" i="1"/>
  <c r="U426" i="1"/>
  <c r="T426" i="1"/>
  <c r="S426" i="1"/>
  <c r="N426" i="1"/>
  <c r="M426" i="1"/>
  <c r="L426" i="1"/>
  <c r="Q426" i="1" s="1"/>
  <c r="P426" i="1" s="1"/>
  <c r="V425" i="1"/>
  <c r="U425" i="1"/>
  <c r="T425" i="1"/>
  <c r="S425" i="1"/>
  <c r="N425" i="1"/>
  <c r="M425" i="1"/>
  <c r="L425" i="1"/>
  <c r="Q425" i="1" s="1"/>
  <c r="P425" i="1" s="1"/>
  <c r="V424" i="1"/>
  <c r="U424" i="1"/>
  <c r="T424" i="1"/>
  <c r="S424" i="1"/>
  <c r="N424" i="1"/>
  <c r="M424" i="1"/>
  <c r="O424" i="1" s="1"/>
  <c r="L424" i="1"/>
  <c r="Q424" i="1" s="1"/>
  <c r="P424" i="1" s="1"/>
  <c r="V423" i="1"/>
  <c r="U423" i="1"/>
  <c r="T423" i="1"/>
  <c r="S423" i="1"/>
  <c r="N423" i="1"/>
  <c r="M423" i="1"/>
  <c r="O423" i="1" s="1"/>
  <c r="L423" i="1"/>
  <c r="Q423" i="1" s="1"/>
  <c r="P423" i="1" s="1"/>
  <c r="V422" i="1"/>
  <c r="U422" i="1"/>
  <c r="T422" i="1"/>
  <c r="S422" i="1"/>
  <c r="N422" i="1"/>
  <c r="M422" i="1"/>
  <c r="O422" i="1" s="1"/>
  <c r="L422" i="1"/>
  <c r="Q422" i="1" s="1"/>
  <c r="P422" i="1" s="1"/>
  <c r="V421" i="1"/>
  <c r="U421" i="1"/>
  <c r="T421" i="1"/>
  <c r="S421" i="1"/>
  <c r="N421" i="1"/>
  <c r="M421" i="1"/>
  <c r="L421" i="1"/>
  <c r="Q421" i="1" s="1"/>
  <c r="P421" i="1" s="1"/>
  <c r="V420" i="1"/>
  <c r="U420" i="1"/>
  <c r="T420" i="1"/>
  <c r="S420" i="1"/>
  <c r="N420" i="1"/>
  <c r="M420" i="1"/>
  <c r="L420" i="1"/>
  <c r="Q420" i="1" s="1"/>
  <c r="P420" i="1" s="1"/>
  <c r="V419" i="1"/>
  <c r="U419" i="1"/>
  <c r="T419" i="1"/>
  <c r="S419" i="1"/>
  <c r="N419" i="1"/>
  <c r="M419" i="1"/>
  <c r="O419" i="1" s="1"/>
  <c r="L419" i="1"/>
  <c r="Q419" i="1" s="1"/>
  <c r="P419" i="1" s="1"/>
  <c r="V418" i="1"/>
  <c r="U418" i="1"/>
  <c r="T418" i="1"/>
  <c r="S418" i="1"/>
  <c r="N418" i="1"/>
  <c r="M418" i="1"/>
  <c r="L418" i="1"/>
  <c r="Q418" i="1" s="1"/>
  <c r="P418" i="1" s="1"/>
  <c r="V417" i="1"/>
  <c r="U417" i="1"/>
  <c r="T417" i="1"/>
  <c r="S417" i="1"/>
  <c r="N417" i="1"/>
  <c r="M417" i="1"/>
  <c r="L417" i="1"/>
  <c r="Q417" i="1" s="1"/>
  <c r="P417" i="1" s="1"/>
  <c r="V416" i="1"/>
  <c r="U416" i="1"/>
  <c r="T416" i="1"/>
  <c r="S416" i="1"/>
  <c r="N416" i="1"/>
  <c r="M416" i="1"/>
  <c r="L416" i="1"/>
  <c r="Q416" i="1" s="1"/>
  <c r="P416" i="1" s="1"/>
  <c r="V415" i="1"/>
  <c r="U415" i="1"/>
  <c r="T415" i="1"/>
  <c r="S415" i="1"/>
  <c r="N415" i="1"/>
  <c r="M415" i="1"/>
  <c r="O415" i="1" s="1"/>
  <c r="L415" i="1"/>
  <c r="Q415" i="1" s="1"/>
  <c r="P415" i="1" s="1"/>
  <c r="V1177" i="1"/>
  <c r="U1177" i="1"/>
  <c r="T1177" i="1"/>
  <c r="S1177" i="1"/>
  <c r="N1177" i="1"/>
  <c r="M1177" i="1"/>
  <c r="L1177" i="1"/>
  <c r="Q1177" i="1" s="1"/>
  <c r="P1177" i="1" s="1"/>
  <c r="V1176" i="1"/>
  <c r="U1176" i="1"/>
  <c r="T1176" i="1"/>
  <c r="S1176" i="1"/>
  <c r="N1176" i="1"/>
  <c r="M1176" i="1"/>
  <c r="O1176" i="1" s="1"/>
  <c r="L1176" i="1"/>
  <c r="Q1176" i="1" s="1"/>
  <c r="P1176" i="1" s="1"/>
  <c r="V1175" i="1"/>
  <c r="U1175" i="1"/>
  <c r="T1175" i="1"/>
  <c r="S1175" i="1"/>
  <c r="N1175" i="1"/>
  <c r="M1175" i="1"/>
  <c r="L1175" i="1"/>
  <c r="Q1175" i="1" s="1"/>
  <c r="P1175" i="1" s="1"/>
  <c r="V1174" i="1"/>
  <c r="U1174" i="1"/>
  <c r="T1174" i="1"/>
  <c r="S1174" i="1"/>
  <c r="N1174" i="1"/>
  <c r="M1174" i="1"/>
  <c r="L1174" i="1"/>
  <c r="Q1174" i="1" s="1"/>
  <c r="P1174" i="1" s="1"/>
  <c r="V1173" i="1"/>
  <c r="U1173" i="1"/>
  <c r="T1173" i="1"/>
  <c r="S1173" i="1"/>
  <c r="O1173" i="1"/>
  <c r="N1173" i="1"/>
  <c r="M1173" i="1"/>
  <c r="L1173" i="1"/>
  <c r="Q1173" i="1" s="1"/>
  <c r="P1173" i="1" s="1"/>
  <c r="V1172" i="1"/>
  <c r="U1172" i="1"/>
  <c r="T1172" i="1"/>
  <c r="S1172" i="1"/>
  <c r="Q1172" i="1"/>
  <c r="P1172" i="1" s="1"/>
  <c r="N1172" i="1"/>
  <c r="M1172" i="1"/>
  <c r="L1172" i="1"/>
  <c r="V1171" i="1"/>
  <c r="U1171" i="1"/>
  <c r="T1171" i="1"/>
  <c r="S1171" i="1"/>
  <c r="Q1171" i="1"/>
  <c r="P1171" i="1" s="1"/>
  <c r="N1171" i="1"/>
  <c r="M1171" i="1"/>
  <c r="L1171" i="1"/>
  <c r="V1170" i="1"/>
  <c r="U1170" i="1"/>
  <c r="T1170" i="1"/>
  <c r="S1170" i="1"/>
  <c r="N1170" i="1"/>
  <c r="O1170" i="1" s="1"/>
  <c r="M1170" i="1"/>
  <c r="L1170" i="1"/>
  <c r="Q1170" i="1" s="1"/>
  <c r="P1170" i="1" s="1"/>
  <c r="V1169" i="1"/>
  <c r="U1169" i="1"/>
  <c r="T1169" i="1"/>
  <c r="S1169" i="1"/>
  <c r="N1169" i="1"/>
  <c r="M1169" i="1"/>
  <c r="L1169" i="1"/>
  <c r="Q1169" i="1" s="1"/>
  <c r="P1169" i="1" s="1"/>
  <c r="V1168" i="1"/>
  <c r="U1168" i="1"/>
  <c r="T1168" i="1"/>
  <c r="S1168" i="1"/>
  <c r="N1168" i="1"/>
  <c r="O1168" i="1" s="1"/>
  <c r="M1168" i="1"/>
  <c r="L1168" i="1"/>
  <c r="Q1168" i="1" s="1"/>
  <c r="P1168" i="1" s="1"/>
  <c r="V1167" i="1"/>
  <c r="U1167" i="1"/>
  <c r="T1167" i="1"/>
  <c r="S1167" i="1"/>
  <c r="N1167" i="1"/>
  <c r="M1167" i="1"/>
  <c r="L1167" i="1"/>
  <c r="Q1167" i="1" s="1"/>
  <c r="P1167" i="1" s="1"/>
  <c r="V1166" i="1"/>
  <c r="U1166" i="1"/>
  <c r="T1166" i="1"/>
  <c r="S1166" i="1"/>
  <c r="N1166" i="1"/>
  <c r="M1166" i="1"/>
  <c r="O1166" i="1" s="1"/>
  <c r="L1166" i="1"/>
  <c r="Q1166" i="1" s="1"/>
  <c r="P1166" i="1" s="1"/>
  <c r="V1165" i="1"/>
  <c r="U1165" i="1"/>
  <c r="T1165" i="1"/>
  <c r="S1165" i="1"/>
  <c r="Q1165" i="1"/>
  <c r="P1165" i="1" s="1"/>
  <c r="N1165" i="1"/>
  <c r="M1165" i="1"/>
  <c r="L1165" i="1"/>
  <c r="V1164" i="1"/>
  <c r="U1164" i="1"/>
  <c r="T1164" i="1"/>
  <c r="S1164" i="1"/>
  <c r="O1164" i="1"/>
  <c r="N1164" i="1"/>
  <c r="M1164" i="1"/>
  <c r="L1164" i="1"/>
  <c r="Q1164" i="1" s="1"/>
  <c r="P1164" i="1" s="1"/>
  <c r="V1163" i="1"/>
  <c r="U1163" i="1"/>
  <c r="T1163" i="1"/>
  <c r="S1163" i="1"/>
  <c r="Q1163" i="1"/>
  <c r="P1163" i="1" s="1"/>
  <c r="N1163" i="1"/>
  <c r="M1163" i="1"/>
  <c r="O1163" i="1" s="1"/>
  <c r="L1163" i="1"/>
  <c r="V1162" i="1"/>
  <c r="U1162" i="1"/>
  <c r="T1162" i="1"/>
  <c r="S1162" i="1"/>
  <c r="Q1162" i="1"/>
  <c r="P1162" i="1" s="1"/>
  <c r="N1162" i="1"/>
  <c r="M1162" i="1"/>
  <c r="O1162" i="1" s="1"/>
  <c r="L1162" i="1"/>
  <c r="V1161" i="1"/>
  <c r="U1161" i="1"/>
  <c r="T1161" i="1"/>
  <c r="S1161" i="1"/>
  <c r="N1161" i="1"/>
  <c r="M1161" i="1"/>
  <c r="L1161" i="1"/>
  <c r="Q1161" i="1" s="1"/>
  <c r="P1161" i="1" s="1"/>
  <c r="V1160" i="1"/>
  <c r="U1160" i="1"/>
  <c r="T1160" i="1"/>
  <c r="S1160" i="1"/>
  <c r="N1160" i="1"/>
  <c r="M1160" i="1"/>
  <c r="L1160" i="1"/>
  <c r="Q1160" i="1" s="1"/>
  <c r="P1160" i="1" s="1"/>
  <c r="V1159" i="1"/>
  <c r="U1159" i="1"/>
  <c r="T1159" i="1"/>
  <c r="S1159" i="1"/>
  <c r="N1159" i="1"/>
  <c r="M1159" i="1"/>
  <c r="O1159" i="1" s="1"/>
  <c r="L1159" i="1"/>
  <c r="Q1159" i="1" s="1"/>
  <c r="P1159" i="1" s="1"/>
  <c r="V1158" i="1"/>
  <c r="U1158" i="1"/>
  <c r="T1158" i="1"/>
  <c r="S1158" i="1"/>
  <c r="N1158" i="1"/>
  <c r="M1158" i="1"/>
  <c r="L1158" i="1"/>
  <c r="Q1158" i="1" s="1"/>
  <c r="P1158" i="1" s="1"/>
  <c r="V1157" i="1"/>
  <c r="U1157" i="1"/>
  <c r="T1157" i="1"/>
  <c r="S1157" i="1"/>
  <c r="Q1157" i="1"/>
  <c r="P1157" i="1" s="1"/>
  <c r="O1157" i="1"/>
  <c r="N1157" i="1"/>
  <c r="M1157" i="1"/>
  <c r="L1157" i="1"/>
  <c r="V1156" i="1"/>
  <c r="U1156" i="1"/>
  <c r="T1156" i="1"/>
  <c r="S1156" i="1"/>
  <c r="O1156" i="1"/>
  <c r="N1156" i="1"/>
  <c r="M1156" i="1"/>
  <c r="L1156" i="1"/>
  <c r="Q1156" i="1" s="1"/>
  <c r="P1156" i="1" s="1"/>
  <c r="V1155" i="1"/>
  <c r="U1155" i="1"/>
  <c r="T1155" i="1"/>
  <c r="S1155" i="1"/>
  <c r="N1155" i="1"/>
  <c r="M1155" i="1"/>
  <c r="L1155" i="1"/>
  <c r="Q1155" i="1" s="1"/>
  <c r="P1155" i="1" s="1"/>
  <c r="V1154" i="1"/>
  <c r="U1154" i="1"/>
  <c r="T1154" i="1"/>
  <c r="S1154" i="1"/>
  <c r="N1154" i="1"/>
  <c r="M1154" i="1"/>
  <c r="L1154" i="1"/>
  <c r="Q1154" i="1" s="1"/>
  <c r="P1154" i="1" s="1"/>
  <c r="V1153" i="1"/>
  <c r="U1153" i="1"/>
  <c r="T1153" i="1"/>
  <c r="S1153" i="1"/>
  <c r="N1153" i="1"/>
  <c r="M1153" i="1"/>
  <c r="O1153" i="1" s="1"/>
  <c r="L1153" i="1"/>
  <c r="Q1153" i="1" s="1"/>
  <c r="P1153" i="1" s="1"/>
  <c r="V1152" i="1"/>
  <c r="U1152" i="1"/>
  <c r="T1152" i="1"/>
  <c r="S1152" i="1"/>
  <c r="N1152" i="1"/>
  <c r="M1152" i="1"/>
  <c r="L1152" i="1"/>
  <c r="Q1152" i="1" s="1"/>
  <c r="P1152" i="1" s="1"/>
  <c r="V1151" i="1"/>
  <c r="U1151" i="1"/>
  <c r="T1151" i="1"/>
  <c r="S1151" i="1"/>
  <c r="N1151" i="1"/>
  <c r="M1151" i="1"/>
  <c r="L1151" i="1"/>
  <c r="Q1151" i="1" s="1"/>
  <c r="P1151" i="1" s="1"/>
  <c r="V1150" i="1"/>
  <c r="U1150" i="1"/>
  <c r="T1150" i="1"/>
  <c r="S1150" i="1"/>
  <c r="Q1150" i="1"/>
  <c r="P1150" i="1" s="1"/>
  <c r="N1150" i="1"/>
  <c r="M1150" i="1"/>
  <c r="L1150" i="1"/>
  <c r="V1149" i="1"/>
  <c r="U1149" i="1"/>
  <c r="T1149" i="1"/>
  <c r="S1149" i="1"/>
  <c r="Q1149" i="1"/>
  <c r="P1149" i="1" s="1"/>
  <c r="N1149" i="1"/>
  <c r="M1149" i="1"/>
  <c r="L1149" i="1"/>
  <c r="V1148" i="1"/>
  <c r="U1148" i="1"/>
  <c r="T1148" i="1"/>
  <c r="S1148" i="1"/>
  <c r="N1148" i="1"/>
  <c r="M1148" i="1"/>
  <c r="L1148" i="1"/>
  <c r="Q1148" i="1" s="1"/>
  <c r="P1148" i="1" s="1"/>
  <c r="V1147" i="1"/>
  <c r="U1147" i="1"/>
  <c r="T1147" i="1"/>
  <c r="S1147" i="1"/>
  <c r="N1147" i="1"/>
  <c r="M1147" i="1"/>
  <c r="O1147" i="1" s="1"/>
  <c r="L1147" i="1"/>
  <c r="Q1147" i="1" s="1"/>
  <c r="P1147" i="1" s="1"/>
  <c r="V1146" i="1"/>
  <c r="U1146" i="1"/>
  <c r="T1146" i="1"/>
  <c r="S1146" i="1"/>
  <c r="N1146" i="1"/>
  <c r="M1146" i="1"/>
  <c r="O1146" i="1" s="1"/>
  <c r="L1146" i="1"/>
  <c r="Q1146" i="1" s="1"/>
  <c r="P1146" i="1" s="1"/>
  <c r="V1145" i="1"/>
  <c r="U1145" i="1"/>
  <c r="T1145" i="1"/>
  <c r="S1145" i="1"/>
  <c r="Q1145" i="1"/>
  <c r="P1145" i="1" s="1"/>
  <c r="N1145" i="1"/>
  <c r="M1145" i="1"/>
  <c r="L1145" i="1"/>
  <c r="V1144" i="1"/>
  <c r="U1144" i="1"/>
  <c r="T1144" i="1"/>
  <c r="S1144" i="1"/>
  <c r="Q1144" i="1"/>
  <c r="P1144" i="1" s="1"/>
  <c r="N1144" i="1"/>
  <c r="M1144" i="1"/>
  <c r="O1144" i="1" s="1"/>
  <c r="L1144" i="1"/>
  <c r="V1143" i="1"/>
  <c r="U1143" i="1"/>
  <c r="T1143" i="1"/>
  <c r="S1143" i="1"/>
  <c r="O1143" i="1"/>
  <c r="N1143" i="1"/>
  <c r="M1143" i="1"/>
  <c r="L1143" i="1"/>
  <c r="Q1143" i="1" s="1"/>
  <c r="P1143" i="1" s="1"/>
  <c r="V1142" i="1"/>
  <c r="U1142" i="1"/>
  <c r="T1142" i="1"/>
  <c r="S1142" i="1"/>
  <c r="Q1142" i="1"/>
  <c r="P1142" i="1" s="1"/>
  <c r="N1142" i="1"/>
  <c r="M1142" i="1"/>
  <c r="L1142" i="1"/>
  <c r="V1141" i="1"/>
  <c r="U1141" i="1"/>
  <c r="T1141" i="1"/>
  <c r="S1141" i="1"/>
  <c r="Q1141" i="1"/>
  <c r="P1141" i="1" s="1"/>
  <c r="N1141" i="1"/>
  <c r="M1141" i="1"/>
  <c r="L1141" i="1"/>
  <c r="V1140" i="1"/>
  <c r="U1140" i="1"/>
  <c r="T1140" i="1"/>
  <c r="S1140" i="1"/>
  <c r="Q1140" i="1"/>
  <c r="P1140" i="1" s="1"/>
  <c r="N1140" i="1"/>
  <c r="M1140" i="1"/>
  <c r="L1140" i="1"/>
  <c r="V1139" i="1"/>
  <c r="U1139" i="1"/>
  <c r="T1139" i="1"/>
  <c r="S1139" i="1"/>
  <c r="Q1139" i="1"/>
  <c r="P1139" i="1" s="1"/>
  <c r="N1139" i="1"/>
  <c r="M1139" i="1"/>
  <c r="L1139" i="1"/>
  <c r="V1138" i="1"/>
  <c r="U1138" i="1"/>
  <c r="T1138" i="1"/>
  <c r="S1138" i="1"/>
  <c r="O1138" i="1"/>
  <c r="N1138" i="1"/>
  <c r="M1138" i="1"/>
  <c r="L1138" i="1"/>
  <c r="Q1138" i="1" s="1"/>
  <c r="P1138" i="1" s="1"/>
  <c r="V1137" i="1"/>
  <c r="U1137" i="1"/>
  <c r="T1137" i="1"/>
  <c r="S1137" i="1"/>
  <c r="Q1137" i="1"/>
  <c r="P1137" i="1" s="1"/>
  <c r="N1137" i="1"/>
  <c r="M1137" i="1"/>
  <c r="L1137" i="1"/>
  <c r="V1136" i="1"/>
  <c r="U1136" i="1"/>
  <c r="T1136" i="1"/>
  <c r="S1136" i="1"/>
  <c r="N1136" i="1"/>
  <c r="O1136" i="1" s="1"/>
  <c r="M1136" i="1"/>
  <c r="L1136" i="1"/>
  <c r="Q1136" i="1" s="1"/>
  <c r="P1136" i="1" s="1"/>
  <c r="V1135" i="1"/>
  <c r="U1135" i="1"/>
  <c r="T1135" i="1"/>
  <c r="S1135" i="1"/>
  <c r="N1135" i="1"/>
  <c r="M1135" i="1"/>
  <c r="O1135" i="1" s="1"/>
  <c r="L1135" i="1"/>
  <c r="Q1135" i="1" s="1"/>
  <c r="P1135" i="1" s="1"/>
  <c r="V1134" i="1"/>
  <c r="U1134" i="1"/>
  <c r="T1134" i="1"/>
  <c r="S1134" i="1"/>
  <c r="N1134" i="1"/>
  <c r="M1134" i="1"/>
  <c r="L1134" i="1"/>
  <c r="Q1134" i="1" s="1"/>
  <c r="P1134" i="1" s="1"/>
  <c r="V1133" i="1"/>
  <c r="U1133" i="1"/>
  <c r="T1133" i="1"/>
  <c r="S1133" i="1"/>
  <c r="N1133" i="1"/>
  <c r="M1133" i="1"/>
  <c r="O1133" i="1" s="1"/>
  <c r="L1133" i="1"/>
  <c r="Q1133" i="1" s="1"/>
  <c r="P1133" i="1" s="1"/>
  <c r="V1132" i="1"/>
  <c r="U1132" i="1"/>
  <c r="T1132" i="1"/>
  <c r="S1132" i="1"/>
  <c r="N1132" i="1"/>
  <c r="M1132" i="1"/>
  <c r="L1132" i="1"/>
  <c r="Q1132" i="1" s="1"/>
  <c r="P1132" i="1" s="1"/>
  <c r="V1131" i="1"/>
  <c r="U1131" i="1"/>
  <c r="T1131" i="1"/>
  <c r="S1131" i="1"/>
  <c r="N1131" i="1"/>
  <c r="M1131" i="1"/>
  <c r="L1131" i="1"/>
  <c r="Q1131" i="1" s="1"/>
  <c r="P1131" i="1" s="1"/>
  <c r="V1130" i="1"/>
  <c r="U1130" i="1"/>
  <c r="T1130" i="1"/>
  <c r="S1130" i="1"/>
  <c r="N1130" i="1"/>
  <c r="M1130" i="1"/>
  <c r="L1130" i="1"/>
  <c r="Q1130" i="1" s="1"/>
  <c r="P1130" i="1" s="1"/>
  <c r="V1129" i="1"/>
  <c r="U1129" i="1"/>
  <c r="T1129" i="1"/>
  <c r="S1129" i="1"/>
  <c r="N1129" i="1"/>
  <c r="M1129" i="1"/>
  <c r="L1129" i="1"/>
  <c r="Q1129" i="1" s="1"/>
  <c r="P1129" i="1" s="1"/>
  <c r="V1128" i="1"/>
  <c r="U1128" i="1"/>
  <c r="T1128" i="1"/>
  <c r="S1128" i="1"/>
  <c r="N1128" i="1"/>
  <c r="M1128" i="1"/>
  <c r="O1128" i="1" s="1"/>
  <c r="L1128" i="1"/>
  <c r="Q1128" i="1" s="1"/>
  <c r="P1128" i="1" s="1"/>
  <c r="V1127" i="1"/>
  <c r="U1127" i="1"/>
  <c r="T1127" i="1"/>
  <c r="S1127" i="1"/>
  <c r="N1127" i="1"/>
  <c r="O1127" i="1" s="1"/>
  <c r="M1127" i="1"/>
  <c r="L1127" i="1"/>
  <c r="Q1127" i="1" s="1"/>
  <c r="P1127" i="1" s="1"/>
  <c r="V1126" i="1"/>
  <c r="U1126" i="1"/>
  <c r="T1126" i="1"/>
  <c r="S1126" i="1"/>
  <c r="N1126" i="1"/>
  <c r="M1126" i="1"/>
  <c r="L1126" i="1"/>
  <c r="Q1126" i="1" s="1"/>
  <c r="P1126" i="1" s="1"/>
  <c r="V1125" i="1"/>
  <c r="U1125" i="1"/>
  <c r="T1125" i="1"/>
  <c r="S1125" i="1"/>
  <c r="N1125" i="1"/>
  <c r="M1125" i="1"/>
  <c r="L1125" i="1"/>
  <c r="Q1125" i="1" s="1"/>
  <c r="P1125" i="1" s="1"/>
  <c r="V1124" i="1"/>
  <c r="U1124" i="1"/>
  <c r="T1124" i="1"/>
  <c r="S1124" i="1"/>
  <c r="N1124" i="1"/>
  <c r="M1124" i="1"/>
  <c r="L1124" i="1"/>
  <c r="Q1124" i="1" s="1"/>
  <c r="P1124" i="1" s="1"/>
  <c r="V1123" i="1"/>
  <c r="U1123" i="1"/>
  <c r="T1123" i="1"/>
  <c r="S1123" i="1"/>
  <c r="N1123" i="1"/>
  <c r="M1123" i="1"/>
  <c r="L1123" i="1"/>
  <c r="Q1123" i="1" s="1"/>
  <c r="P1123" i="1" s="1"/>
  <c r="V1122" i="1"/>
  <c r="U1122" i="1"/>
  <c r="T1122" i="1"/>
  <c r="S1122" i="1"/>
  <c r="N1122" i="1"/>
  <c r="M1122" i="1"/>
  <c r="L1122" i="1"/>
  <c r="Q1122" i="1" s="1"/>
  <c r="P1122" i="1" s="1"/>
  <c r="V1121" i="1"/>
  <c r="U1121" i="1"/>
  <c r="T1121" i="1"/>
  <c r="S1121" i="1"/>
  <c r="N1121" i="1"/>
  <c r="M1121" i="1"/>
  <c r="O1121" i="1" s="1"/>
  <c r="L1121" i="1"/>
  <c r="Q1121" i="1" s="1"/>
  <c r="P1121" i="1" s="1"/>
  <c r="V1120" i="1"/>
  <c r="U1120" i="1"/>
  <c r="T1120" i="1"/>
  <c r="S1120" i="1"/>
  <c r="N1120" i="1"/>
  <c r="M1120" i="1"/>
  <c r="L1120" i="1"/>
  <c r="Q1120" i="1" s="1"/>
  <c r="P1120" i="1" s="1"/>
  <c r="V1119" i="1"/>
  <c r="U1119" i="1"/>
  <c r="T1119" i="1"/>
  <c r="S1119" i="1"/>
  <c r="N1119" i="1"/>
  <c r="M1119" i="1"/>
  <c r="L1119" i="1"/>
  <c r="Q1119" i="1" s="1"/>
  <c r="P1119" i="1" s="1"/>
  <c r="V1118" i="1"/>
  <c r="U1118" i="1"/>
  <c r="T1118" i="1"/>
  <c r="S1118" i="1"/>
  <c r="N1118" i="1"/>
  <c r="M1118" i="1"/>
  <c r="L1118" i="1"/>
  <c r="Q1118" i="1" s="1"/>
  <c r="P1118" i="1" s="1"/>
  <c r="V1117" i="1"/>
  <c r="U1117" i="1"/>
  <c r="T1117" i="1"/>
  <c r="S1117" i="1"/>
  <c r="N1117" i="1"/>
  <c r="M1117" i="1"/>
  <c r="L1117" i="1"/>
  <c r="Q1117" i="1" s="1"/>
  <c r="P1117" i="1" s="1"/>
  <c r="V1116" i="1"/>
  <c r="U1116" i="1"/>
  <c r="T1116" i="1"/>
  <c r="S1116" i="1"/>
  <c r="N1116" i="1"/>
  <c r="M1116" i="1"/>
  <c r="L1116" i="1"/>
  <c r="Q1116" i="1" s="1"/>
  <c r="P1116" i="1" s="1"/>
  <c r="V1115" i="1"/>
  <c r="U1115" i="1"/>
  <c r="T1115" i="1"/>
  <c r="S1115" i="1"/>
  <c r="N1115" i="1"/>
  <c r="M1115" i="1"/>
  <c r="L1115" i="1"/>
  <c r="Q1115" i="1" s="1"/>
  <c r="P1115" i="1" s="1"/>
  <c r="V1114" i="1"/>
  <c r="U1114" i="1"/>
  <c r="T1114" i="1"/>
  <c r="S1114" i="1"/>
  <c r="N1114" i="1"/>
  <c r="M1114" i="1"/>
  <c r="L1114" i="1"/>
  <c r="Q1114" i="1" s="1"/>
  <c r="P1114" i="1" s="1"/>
  <c r="V1113" i="1"/>
  <c r="U1113" i="1"/>
  <c r="T1113" i="1"/>
  <c r="S1113" i="1"/>
  <c r="N1113" i="1"/>
  <c r="M1113" i="1"/>
  <c r="L1113" i="1"/>
  <c r="Q1113" i="1" s="1"/>
  <c r="P1113" i="1" s="1"/>
  <c r="V1112" i="1"/>
  <c r="U1112" i="1"/>
  <c r="T1112" i="1"/>
  <c r="S1112" i="1"/>
  <c r="N1112" i="1"/>
  <c r="M1112" i="1"/>
  <c r="L1112" i="1"/>
  <c r="Q1112" i="1" s="1"/>
  <c r="P1112" i="1" s="1"/>
  <c r="V1111" i="1"/>
  <c r="U1111" i="1"/>
  <c r="T1111" i="1"/>
  <c r="S1111" i="1"/>
  <c r="Q1111" i="1"/>
  <c r="P1111" i="1" s="1"/>
  <c r="N1111" i="1"/>
  <c r="M1111" i="1"/>
  <c r="L1111" i="1"/>
  <c r="V1110" i="1"/>
  <c r="U1110" i="1"/>
  <c r="T1110" i="1"/>
  <c r="S1110" i="1"/>
  <c r="N1110" i="1"/>
  <c r="M1110" i="1"/>
  <c r="L1110" i="1"/>
  <c r="Q1110" i="1" s="1"/>
  <c r="P1110" i="1" s="1"/>
  <c r="V1109" i="1"/>
  <c r="U1109" i="1"/>
  <c r="T1109" i="1"/>
  <c r="S1109" i="1"/>
  <c r="N1109" i="1"/>
  <c r="M1109" i="1"/>
  <c r="L1109" i="1"/>
  <c r="Q1109" i="1" s="1"/>
  <c r="P1109" i="1" s="1"/>
  <c r="V1108" i="1"/>
  <c r="U1108" i="1"/>
  <c r="T1108" i="1"/>
  <c r="S1108" i="1"/>
  <c r="N1108" i="1"/>
  <c r="M1108" i="1"/>
  <c r="L1108" i="1"/>
  <c r="Q1108" i="1" s="1"/>
  <c r="P1108" i="1" s="1"/>
  <c r="V1107" i="1"/>
  <c r="U1107" i="1"/>
  <c r="T1107" i="1"/>
  <c r="S1107" i="1"/>
  <c r="N1107" i="1"/>
  <c r="M1107" i="1"/>
  <c r="L1107" i="1"/>
  <c r="Q1107" i="1" s="1"/>
  <c r="P1107" i="1" s="1"/>
  <c r="V1106" i="1"/>
  <c r="U1106" i="1"/>
  <c r="T1106" i="1"/>
  <c r="S1106" i="1"/>
  <c r="N1106" i="1"/>
  <c r="O1106" i="1" s="1"/>
  <c r="M1106" i="1"/>
  <c r="L1106" i="1"/>
  <c r="Q1106" i="1" s="1"/>
  <c r="P1106" i="1" s="1"/>
  <c r="V1105" i="1"/>
  <c r="U1105" i="1"/>
  <c r="T1105" i="1"/>
  <c r="S1105" i="1"/>
  <c r="N1105" i="1"/>
  <c r="M1105" i="1"/>
  <c r="L1105" i="1"/>
  <c r="Q1105" i="1" s="1"/>
  <c r="P1105" i="1" s="1"/>
  <c r="V1104" i="1"/>
  <c r="U1104" i="1"/>
  <c r="T1104" i="1"/>
  <c r="S1104" i="1"/>
  <c r="N1104" i="1"/>
  <c r="M1104" i="1"/>
  <c r="L1104" i="1"/>
  <c r="Q1104" i="1" s="1"/>
  <c r="P1104" i="1" s="1"/>
  <c r="V1103" i="1"/>
  <c r="U1103" i="1"/>
  <c r="T1103" i="1"/>
  <c r="S1103" i="1"/>
  <c r="N1103" i="1"/>
  <c r="M1103" i="1"/>
  <c r="L1103" i="1"/>
  <c r="Q1103" i="1" s="1"/>
  <c r="P1103" i="1" s="1"/>
  <c r="V1102" i="1"/>
  <c r="U1102" i="1"/>
  <c r="T1102" i="1"/>
  <c r="S1102" i="1"/>
  <c r="N1102" i="1"/>
  <c r="M1102" i="1"/>
  <c r="L1102" i="1"/>
  <c r="Q1102" i="1" s="1"/>
  <c r="P1102" i="1" s="1"/>
  <c r="V1101" i="1"/>
  <c r="U1101" i="1"/>
  <c r="T1101" i="1"/>
  <c r="S1101" i="1"/>
  <c r="N1101" i="1"/>
  <c r="M1101" i="1"/>
  <c r="L1101" i="1"/>
  <c r="Q1101" i="1" s="1"/>
  <c r="P1101" i="1" s="1"/>
  <c r="V1100" i="1"/>
  <c r="U1100" i="1"/>
  <c r="T1100" i="1"/>
  <c r="S1100" i="1"/>
  <c r="N1100" i="1"/>
  <c r="M1100" i="1"/>
  <c r="L1100" i="1"/>
  <c r="Q1100" i="1" s="1"/>
  <c r="P1100" i="1" s="1"/>
  <c r="V1099" i="1"/>
  <c r="U1099" i="1"/>
  <c r="T1099" i="1"/>
  <c r="S1099" i="1"/>
  <c r="N1099" i="1"/>
  <c r="M1099" i="1"/>
  <c r="O1099" i="1" s="1"/>
  <c r="L1099" i="1"/>
  <c r="Q1099" i="1" s="1"/>
  <c r="P1099" i="1" s="1"/>
  <c r="V1098" i="1"/>
  <c r="U1098" i="1"/>
  <c r="T1098" i="1"/>
  <c r="S1098" i="1"/>
  <c r="N1098" i="1"/>
  <c r="M1098" i="1"/>
  <c r="L1098" i="1"/>
  <c r="Q1098" i="1" s="1"/>
  <c r="P1098" i="1" s="1"/>
  <c r="V1097" i="1"/>
  <c r="U1097" i="1"/>
  <c r="T1097" i="1"/>
  <c r="S1097" i="1"/>
  <c r="N1097" i="1"/>
  <c r="M1097" i="1"/>
  <c r="L1097" i="1"/>
  <c r="Q1097" i="1" s="1"/>
  <c r="P1097" i="1" s="1"/>
  <c r="V1096" i="1"/>
  <c r="U1096" i="1"/>
  <c r="T1096" i="1"/>
  <c r="S1096" i="1"/>
  <c r="N1096" i="1"/>
  <c r="M1096" i="1"/>
  <c r="O1096" i="1" s="1"/>
  <c r="L1096" i="1"/>
  <c r="Q1096" i="1" s="1"/>
  <c r="P1096" i="1" s="1"/>
  <c r="V1095" i="1"/>
  <c r="U1095" i="1"/>
  <c r="T1095" i="1"/>
  <c r="S1095" i="1"/>
  <c r="O1095" i="1"/>
  <c r="N1095" i="1"/>
  <c r="M1095" i="1"/>
  <c r="L1095" i="1"/>
  <c r="Q1095" i="1" s="1"/>
  <c r="P1095" i="1" s="1"/>
  <c r="V1094" i="1"/>
  <c r="U1094" i="1"/>
  <c r="T1094" i="1"/>
  <c r="S1094" i="1"/>
  <c r="Q1094" i="1"/>
  <c r="P1094" i="1" s="1"/>
  <c r="N1094" i="1"/>
  <c r="M1094" i="1"/>
  <c r="L1094" i="1"/>
  <c r="V1093" i="1"/>
  <c r="U1093" i="1"/>
  <c r="T1093" i="1"/>
  <c r="S1093" i="1"/>
  <c r="Q1093" i="1"/>
  <c r="P1093" i="1" s="1"/>
  <c r="N1093" i="1"/>
  <c r="M1093" i="1"/>
  <c r="L1093" i="1"/>
  <c r="V1092" i="1"/>
  <c r="U1092" i="1"/>
  <c r="T1092" i="1"/>
  <c r="S1092" i="1"/>
  <c r="Q1092" i="1"/>
  <c r="P1092" i="1" s="1"/>
  <c r="N1092" i="1"/>
  <c r="M1092" i="1"/>
  <c r="L1092" i="1"/>
  <c r="V1091" i="1"/>
  <c r="U1091" i="1"/>
  <c r="T1091" i="1"/>
  <c r="S1091" i="1"/>
  <c r="Q1091" i="1"/>
  <c r="P1091" i="1" s="1"/>
  <c r="N1091" i="1"/>
  <c r="M1091" i="1"/>
  <c r="L1091" i="1"/>
  <c r="V1090" i="1"/>
  <c r="U1090" i="1"/>
  <c r="T1090" i="1"/>
  <c r="S1090" i="1"/>
  <c r="Q1090" i="1"/>
  <c r="P1090" i="1" s="1"/>
  <c r="N1090" i="1"/>
  <c r="M1090" i="1"/>
  <c r="L1090" i="1"/>
  <c r="V1089" i="1"/>
  <c r="U1089" i="1"/>
  <c r="T1089" i="1"/>
  <c r="S1089" i="1"/>
  <c r="Q1089" i="1"/>
  <c r="P1089" i="1" s="1"/>
  <c r="N1089" i="1"/>
  <c r="O1089" i="1" s="1"/>
  <c r="M1089" i="1"/>
  <c r="L1089" i="1"/>
  <c r="V1088" i="1"/>
  <c r="U1088" i="1"/>
  <c r="T1088" i="1"/>
  <c r="S1088" i="1"/>
  <c r="O1088" i="1"/>
  <c r="N1088" i="1"/>
  <c r="M1088" i="1"/>
  <c r="L1088" i="1"/>
  <c r="Q1088" i="1" s="1"/>
  <c r="P1088" i="1" s="1"/>
  <c r="V1087" i="1"/>
  <c r="U1087" i="1"/>
  <c r="T1087" i="1"/>
  <c r="S1087" i="1"/>
  <c r="Q1087" i="1"/>
  <c r="P1087" i="1" s="1"/>
  <c r="N1087" i="1"/>
  <c r="M1087" i="1"/>
  <c r="O1087" i="1" s="1"/>
  <c r="L1087" i="1"/>
  <c r="V1086" i="1"/>
  <c r="U1086" i="1"/>
  <c r="T1086" i="1"/>
  <c r="S1086" i="1"/>
  <c r="N1086" i="1"/>
  <c r="M1086" i="1"/>
  <c r="L1086" i="1"/>
  <c r="Q1086" i="1" s="1"/>
  <c r="P1086" i="1" s="1"/>
  <c r="V1085" i="1"/>
  <c r="U1085" i="1"/>
  <c r="T1085" i="1"/>
  <c r="S1085" i="1"/>
  <c r="N1085" i="1"/>
  <c r="M1085" i="1"/>
  <c r="O1085" i="1" s="1"/>
  <c r="L1085" i="1"/>
  <c r="Q1085" i="1" s="1"/>
  <c r="P1085" i="1" s="1"/>
  <c r="V1084" i="1"/>
  <c r="U1084" i="1"/>
  <c r="T1084" i="1"/>
  <c r="S1084" i="1"/>
  <c r="N1084" i="1"/>
  <c r="M1084" i="1"/>
  <c r="L1084" i="1"/>
  <c r="Q1084" i="1" s="1"/>
  <c r="P1084" i="1" s="1"/>
  <c r="V1083" i="1"/>
  <c r="U1083" i="1"/>
  <c r="T1083" i="1"/>
  <c r="S1083" i="1"/>
  <c r="N1083" i="1"/>
  <c r="M1083" i="1"/>
  <c r="L1083" i="1"/>
  <c r="Q1083" i="1" s="1"/>
  <c r="P1083" i="1" s="1"/>
  <c r="V1082" i="1"/>
  <c r="U1082" i="1"/>
  <c r="T1082" i="1"/>
  <c r="S1082" i="1"/>
  <c r="Q1082" i="1"/>
  <c r="P1082" i="1" s="1"/>
  <c r="N1082" i="1"/>
  <c r="M1082" i="1"/>
  <c r="L1082" i="1"/>
  <c r="V1081" i="1"/>
  <c r="U1081" i="1"/>
  <c r="T1081" i="1"/>
  <c r="S1081" i="1"/>
  <c r="Q1081" i="1"/>
  <c r="P1081" i="1" s="1"/>
  <c r="N1081" i="1"/>
  <c r="M1081" i="1"/>
  <c r="L1081" i="1"/>
  <c r="V1080" i="1"/>
  <c r="U1080" i="1"/>
  <c r="T1080" i="1"/>
  <c r="S1080" i="1"/>
  <c r="Q1080" i="1"/>
  <c r="P1080" i="1" s="1"/>
  <c r="N1080" i="1"/>
  <c r="M1080" i="1"/>
  <c r="L1080" i="1"/>
  <c r="V1079" i="1"/>
  <c r="U1079" i="1"/>
  <c r="T1079" i="1"/>
  <c r="S1079" i="1"/>
  <c r="O1079" i="1"/>
  <c r="N1079" i="1"/>
  <c r="M1079" i="1"/>
  <c r="L1079" i="1"/>
  <c r="Q1079" i="1" s="1"/>
  <c r="P1079" i="1" s="1"/>
  <c r="V1078" i="1"/>
  <c r="U1078" i="1"/>
  <c r="T1078" i="1"/>
  <c r="S1078" i="1"/>
  <c r="Q1078" i="1"/>
  <c r="P1078" i="1" s="1"/>
  <c r="N1078" i="1"/>
  <c r="M1078" i="1"/>
  <c r="L1078" i="1"/>
  <c r="V1077" i="1"/>
  <c r="U1077" i="1"/>
  <c r="T1077" i="1"/>
  <c r="S1077" i="1"/>
  <c r="Q1077" i="1"/>
  <c r="P1077" i="1" s="1"/>
  <c r="N1077" i="1"/>
  <c r="M1077" i="1"/>
  <c r="L1077" i="1"/>
  <c r="V1076" i="1"/>
  <c r="U1076" i="1"/>
  <c r="T1076" i="1"/>
  <c r="S1076" i="1"/>
  <c r="Q1076" i="1"/>
  <c r="P1076" i="1" s="1"/>
  <c r="N1076" i="1"/>
  <c r="M1076" i="1"/>
  <c r="L1076" i="1"/>
  <c r="V1075" i="1"/>
  <c r="U1075" i="1"/>
  <c r="T1075" i="1"/>
  <c r="S1075" i="1"/>
  <c r="Q1075" i="1"/>
  <c r="P1075" i="1" s="1"/>
  <c r="N1075" i="1"/>
  <c r="M1075" i="1"/>
  <c r="L1075" i="1"/>
  <c r="V1074" i="1"/>
  <c r="U1074" i="1"/>
  <c r="T1074" i="1"/>
  <c r="S1074" i="1"/>
  <c r="Q1074" i="1"/>
  <c r="P1074" i="1" s="1"/>
  <c r="O1074" i="1"/>
  <c r="N1074" i="1"/>
  <c r="M1074" i="1"/>
  <c r="L1074" i="1"/>
  <c r="V1073" i="1"/>
  <c r="U1073" i="1"/>
  <c r="T1073" i="1"/>
  <c r="S1073" i="1"/>
  <c r="N1073" i="1"/>
  <c r="M1073" i="1"/>
  <c r="L1073" i="1"/>
  <c r="Q1073" i="1" s="1"/>
  <c r="P1073" i="1" s="1"/>
  <c r="V1072" i="1"/>
  <c r="U1072" i="1"/>
  <c r="T1072" i="1"/>
  <c r="S1072" i="1"/>
  <c r="N1072" i="1"/>
  <c r="O1072" i="1" s="1"/>
  <c r="M1072" i="1"/>
  <c r="L1072" i="1"/>
  <c r="Q1072" i="1" s="1"/>
  <c r="P1072" i="1" s="1"/>
  <c r="V1071" i="1"/>
  <c r="U1071" i="1"/>
  <c r="T1071" i="1"/>
  <c r="S1071" i="1"/>
  <c r="Q1071" i="1"/>
  <c r="P1071" i="1" s="1"/>
  <c r="O1071" i="1"/>
  <c r="N1071" i="1"/>
  <c r="M1071" i="1"/>
  <c r="L1071" i="1"/>
  <c r="V1070" i="1"/>
  <c r="U1070" i="1"/>
  <c r="T1070" i="1"/>
  <c r="S1070" i="1"/>
  <c r="N1070" i="1"/>
  <c r="M1070" i="1"/>
  <c r="L1070" i="1"/>
  <c r="Q1070" i="1" s="1"/>
  <c r="P1070" i="1" s="1"/>
  <c r="V1069" i="1"/>
  <c r="U1069" i="1"/>
  <c r="T1069" i="1"/>
  <c r="S1069" i="1"/>
  <c r="N1069" i="1"/>
  <c r="M1069" i="1"/>
  <c r="L1069" i="1"/>
  <c r="Q1069" i="1" s="1"/>
  <c r="P1069" i="1" s="1"/>
  <c r="V1068" i="1"/>
  <c r="U1068" i="1"/>
  <c r="T1068" i="1"/>
  <c r="S1068" i="1"/>
  <c r="N1068" i="1"/>
  <c r="M1068" i="1"/>
  <c r="L1068" i="1"/>
  <c r="Q1068" i="1" s="1"/>
  <c r="P1068" i="1" s="1"/>
  <c r="V1067" i="1"/>
  <c r="U1067" i="1"/>
  <c r="T1067" i="1"/>
  <c r="S1067" i="1"/>
  <c r="N1067" i="1"/>
  <c r="M1067" i="1"/>
  <c r="L1067" i="1"/>
  <c r="Q1067" i="1" s="1"/>
  <c r="P1067" i="1" s="1"/>
  <c r="V1066" i="1"/>
  <c r="U1066" i="1"/>
  <c r="T1066" i="1"/>
  <c r="S1066" i="1"/>
  <c r="O1066" i="1"/>
  <c r="N1066" i="1"/>
  <c r="M1066" i="1"/>
  <c r="L1066" i="1"/>
  <c r="Q1066" i="1" s="1"/>
  <c r="P1066" i="1" s="1"/>
  <c r="V1065" i="1"/>
  <c r="U1065" i="1"/>
  <c r="T1065" i="1"/>
  <c r="S1065" i="1"/>
  <c r="N1065" i="1"/>
  <c r="M1065" i="1"/>
  <c r="L1065" i="1"/>
  <c r="Q1065" i="1" s="1"/>
  <c r="P1065" i="1" s="1"/>
  <c r="V1064" i="1"/>
  <c r="U1064" i="1"/>
  <c r="T1064" i="1"/>
  <c r="S1064" i="1"/>
  <c r="N1064" i="1"/>
  <c r="M1064" i="1"/>
  <c r="L1064" i="1"/>
  <c r="Q1064" i="1" s="1"/>
  <c r="P1064" i="1" s="1"/>
  <c r="V1063" i="1"/>
  <c r="U1063" i="1"/>
  <c r="T1063" i="1"/>
  <c r="S1063" i="1"/>
  <c r="O1063" i="1"/>
  <c r="N1063" i="1"/>
  <c r="M1063" i="1"/>
  <c r="L1063" i="1"/>
  <c r="Q1063" i="1" s="1"/>
  <c r="P1063" i="1" s="1"/>
  <c r="V1062" i="1"/>
  <c r="U1062" i="1"/>
  <c r="T1062" i="1"/>
  <c r="S1062" i="1"/>
  <c r="N1062" i="1"/>
  <c r="M1062" i="1"/>
  <c r="L1062" i="1"/>
  <c r="Q1062" i="1" s="1"/>
  <c r="P1062" i="1" s="1"/>
  <c r="V1061" i="1"/>
  <c r="U1061" i="1"/>
  <c r="T1061" i="1"/>
  <c r="S1061" i="1"/>
  <c r="N1061" i="1"/>
  <c r="M1061" i="1"/>
  <c r="L1061" i="1"/>
  <c r="Q1061" i="1" s="1"/>
  <c r="P1061" i="1" s="1"/>
  <c r="V1060" i="1"/>
  <c r="U1060" i="1"/>
  <c r="T1060" i="1"/>
  <c r="S1060" i="1"/>
  <c r="N1060" i="1"/>
  <c r="M1060" i="1"/>
  <c r="L1060" i="1"/>
  <c r="Q1060" i="1" s="1"/>
  <c r="P1060" i="1" s="1"/>
  <c r="V1059" i="1"/>
  <c r="U1059" i="1"/>
  <c r="T1059" i="1"/>
  <c r="S1059" i="1"/>
  <c r="N1059" i="1"/>
  <c r="M1059" i="1"/>
  <c r="L1059" i="1"/>
  <c r="Q1059" i="1" s="1"/>
  <c r="P1059" i="1" s="1"/>
  <c r="V1058" i="1"/>
  <c r="U1058" i="1"/>
  <c r="T1058" i="1"/>
  <c r="S1058" i="1"/>
  <c r="N1058" i="1"/>
  <c r="M1058" i="1"/>
  <c r="L1058" i="1"/>
  <c r="Q1058" i="1" s="1"/>
  <c r="P1058" i="1" s="1"/>
  <c r="V1057" i="1"/>
  <c r="U1057" i="1"/>
  <c r="T1057" i="1"/>
  <c r="S1057" i="1"/>
  <c r="N1057" i="1"/>
  <c r="M1057" i="1"/>
  <c r="O1057" i="1" s="1"/>
  <c r="L1057" i="1"/>
  <c r="Q1057" i="1" s="1"/>
  <c r="P1057" i="1" s="1"/>
  <c r="V1056" i="1"/>
  <c r="U1056" i="1"/>
  <c r="T1056" i="1"/>
  <c r="S1056" i="1"/>
  <c r="N1056" i="1"/>
  <c r="M1056" i="1"/>
  <c r="O1056" i="1" s="1"/>
  <c r="L1056" i="1"/>
  <c r="Q1056" i="1" s="1"/>
  <c r="P1056" i="1" s="1"/>
  <c r="V1055" i="1"/>
  <c r="U1055" i="1"/>
  <c r="T1055" i="1"/>
  <c r="S1055" i="1"/>
  <c r="N1055" i="1"/>
  <c r="O1055" i="1" s="1"/>
  <c r="M1055" i="1"/>
  <c r="L1055" i="1"/>
  <c r="Q1055" i="1" s="1"/>
  <c r="P1055" i="1" s="1"/>
  <c r="V1054" i="1"/>
  <c r="U1054" i="1"/>
  <c r="T1054" i="1"/>
  <c r="S1054" i="1"/>
  <c r="N1054" i="1"/>
  <c r="M1054" i="1"/>
  <c r="L1054" i="1"/>
  <c r="Q1054" i="1" s="1"/>
  <c r="P1054" i="1" s="1"/>
  <c r="V1053" i="1"/>
  <c r="U1053" i="1"/>
  <c r="T1053" i="1"/>
  <c r="S1053" i="1"/>
  <c r="N1053" i="1"/>
  <c r="M1053" i="1"/>
  <c r="L1053" i="1"/>
  <c r="Q1053" i="1" s="1"/>
  <c r="P1053" i="1" s="1"/>
  <c r="V1052" i="1"/>
  <c r="U1052" i="1"/>
  <c r="T1052" i="1"/>
  <c r="S1052" i="1"/>
  <c r="N1052" i="1"/>
  <c r="M1052" i="1"/>
  <c r="L1052" i="1"/>
  <c r="Q1052" i="1" s="1"/>
  <c r="P1052" i="1" s="1"/>
  <c r="V1051" i="1"/>
  <c r="U1051" i="1"/>
  <c r="T1051" i="1"/>
  <c r="S1051" i="1"/>
  <c r="N1051" i="1"/>
  <c r="M1051" i="1"/>
  <c r="L1051" i="1"/>
  <c r="Q1051" i="1" s="1"/>
  <c r="P1051" i="1" s="1"/>
  <c r="V1050" i="1"/>
  <c r="U1050" i="1"/>
  <c r="T1050" i="1"/>
  <c r="S1050" i="1"/>
  <c r="N1050" i="1"/>
  <c r="M1050" i="1"/>
  <c r="L1050" i="1"/>
  <c r="Q1050" i="1" s="1"/>
  <c r="P1050" i="1" s="1"/>
  <c r="V1049" i="1"/>
  <c r="U1049" i="1"/>
  <c r="T1049" i="1"/>
  <c r="S1049" i="1"/>
  <c r="N1049" i="1"/>
  <c r="M1049" i="1"/>
  <c r="L1049" i="1"/>
  <c r="Q1049" i="1" s="1"/>
  <c r="P1049" i="1" s="1"/>
  <c r="V1048" i="1"/>
  <c r="U1048" i="1"/>
  <c r="T1048" i="1"/>
  <c r="S1048" i="1"/>
  <c r="N1048" i="1"/>
  <c r="O1048" i="1" s="1"/>
  <c r="M1048" i="1"/>
  <c r="L1048" i="1"/>
  <c r="Q1048" i="1" s="1"/>
  <c r="P1048" i="1" s="1"/>
  <c r="V1047" i="1"/>
  <c r="U1047" i="1"/>
  <c r="T1047" i="1"/>
  <c r="S1047" i="1"/>
  <c r="N1047" i="1"/>
  <c r="M1047" i="1"/>
  <c r="L1047" i="1"/>
  <c r="Q1047" i="1" s="1"/>
  <c r="P1047" i="1" s="1"/>
  <c r="V1046" i="1"/>
  <c r="U1046" i="1"/>
  <c r="T1046" i="1"/>
  <c r="S1046" i="1"/>
  <c r="N1046" i="1"/>
  <c r="M1046" i="1"/>
  <c r="L1046" i="1"/>
  <c r="Q1046" i="1" s="1"/>
  <c r="P1046" i="1" s="1"/>
  <c r="V1045" i="1"/>
  <c r="U1045" i="1"/>
  <c r="T1045" i="1"/>
  <c r="S1045" i="1"/>
  <c r="N1045" i="1"/>
  <c r="M1045" i="1"/>
  <c r="L1045" i="1"/>
  <c r="Q1045" i="1" s="1"/>
  <c r="P1045" i="1" s="1"/>
  <c r="V1044" i="1"/>
  <c r="U1044" i="1"/>
  <c r="T1044" i="1"/>
  <c r="S1044" i="1"/>
  <c r="N1044" i="1"/>
  <c r="M1044" i="1"/>
  <c r="L1044" i="1"/>
  <c r="Q1044" i="1" s="1"/>
  <c r="P1044" i="1" s="1"/>
  <c r="V1043" i="1"/>
  <c r="U1043" i="1"/>
  <c r="T1043" i="1"/>
  <c r="S1043" i="1"/>
  <c r="N1043" i="1"/>
  <c r="M1043" i="1"/>
  <c r="L1043" i="1"/>
  <c r="Q1043" i="1" s="1"/>
  <c r="P1043" i="1" s="1"/>
  <c r="V1042" i="1"/>
  <c r="U1042" i="1"/>
  <c r="T1042" i="1"/>
  <c r="S1042" i="1"/>
  <c r="N1042" i="1"/>
  <c r="O1042" i="1" s="1"/>
  <c r="M1042" i="1"/>
  <c r="L1042" i="1"/>
  <c r="Q1042" i="1" s="1"/>
  <c r="P1042" i="1" s="1"/>
  <c r="V1041" i="1"/>
  <c r="U1041" i="1"/>
  <c r="T1041" i="1"/>
  <c r="S1041" i="1"/>
  <c r="N1041" i="1"/>
  <c r="M1041" i="1"/>
  <c r="O1041" i="1" s="1"/>
  <c r="L1041" i="1"/>
  <c r="Q1041" i="1" s="1"/>
  <c r="P1041" i="1" s="1"/>
  <c r="V1040" i="1"/>
  <c r="U1040" i="1"/>
  <c r="T1040" i="1"/>
  <c r="S1040" i="1"/>
  <c r="Q1040" i="1"/>
  <c r="P1040" i="1" s="1"/>
  <c r="N1040" i="1"/>
  <c r="M1040" i="1"/>
  <c r="O1040" i="1" s="1"/>
  <c r="L1040" i="1"/>
  <c r="V1039" i="1"/>
  <c r="U1039" i="1"/>
  <c r="T1039" i="1"/>
  <c r="S1039" i="1"/>
  <c r="N1039" i="1"/>
  <c r="O1039" i="1" s="1"/>
  <c r="M1039" i="1"/>
  <c r="L1039" i="1"/>
  <c r="Q1039" i="1" s="1"/>
  <c r="P1039" i="1" s="1"/>
  <c r="V1038" i="1"/>
  <c r="U1038" i="1"/>
  <c r="T1038" i="1"/>
  <c r="S1038" i="1"/>
  <c r="N1038" i="1"/>
  <c r="M1038" i="1"/>
  <c r="L1038" i="1"/>
  <c r="Q1038" i="1" s="1"/>
  <c r="P1038" i="1" s="1"/>
  <c r="V1037" i="1"/>
  <c r="U1037" i="1"/>
  <c r="T1037" i="1"/>
  <c r="S1037" i="1"/>
  <c r="N1037" i="1"/>
  <c r="M1037" i="1"/>
  <c r="L1037" i="1"/>
  <c r="Q1037" i="1" s="1"/>
  <c r="P1037" i="1" s="1"/>
  <c r="V1036" i="1"/>
  <c r="U1036" i="1"/>
  <c r="T1036" i="1"/>
  <c r="S1036" i="1"/>
  <c r="N1036" i="1"/>
  <c r="M1036" i="1"/>
  <c r="L1036" i="1"/>
  <c r="Q1036" i="1" s="1"/>
  <c r="P1036" i="1" s="1"/>
  <c r="V1035" i="1"/>
  <c r="U1035" i="1"/>
  <c r="T1035" i="1"/>
  <c r="S1035" i="1"/>
  <c r="N1035" i="1"/>
  <c r="M1035" i="1"/>
  <c r="O1035" i="1" s="1"/>
  <c r="L1035" i="1"/>
  <c r="Q1035" i="1" s="1"/>
  <c r="P1035" i="1" s="1"/>
  <c r="V1034" i="1"/>
  <c r="U1034" i="1"/>
  <c r="T1034" i="1"/>
  <c r="S1034" i="1"/>
  <c r="N1034" i="1"/>
  <c r="M1034" i="1"/>
  <c r="O1034" i="1" s="1"/>
  <c r="L1034" i="1"/>
  <c r="Q1034" i="1" s="1"/>
  <c r="P1034" i="1" s="1"/>
  <c r="V1033" i="1"/>
  <c r="U1033" i="1"/>
  <c r="T1033" i="1"/>
  <c r="S1033" i="1"/>
  <c r="N1033" i="1"/>
  <c r="M1033" i="1"/>
  <c r="L1033" i="1"/>
  <c r="Q1033" i="1" s="1"/>
  <c r="P1033" i="1" s="1"/>
  <c r="V1032" i="1"/>
  <c r="U1032" i="1"/>
  <c r="T1032" i="1"/>
  <c r="S1032" i="1"/>
  <c r="O1032" i="1"/>
  <c r="N1032" i="1"/>
  <c r="M1032" i="1"/>
  <c r="L1032" i="1"/>
  <c r="Q1032" i="1" s="1"/>
  <c r="P1032" i="1" s="1"/>
  <c r="V1031" i="1"/>
  <c r="U1031" i="1"/>
  <c r="T1031" i="1"/>
  <c r="S1031" i="1"/>
  <c r="N1031" i="1"/>
  <c r="M1031" i="1"/>
  <c r="L1031" i="1"/>
  <c r="Q1031" i="1" s="1"/>
  <c r="P1031" i="1" s="1"/>
  <c r="V1030" i="1"/>
  <c r="U1030" i="1"/>
  <c r="T1030" i="1"/>
  <c r="S1030" i="1"/>
  <c r="N1030" i="1"/>
  <c r="M1030" i="1"/>
  <c r="L1030" i="1"/>
  <c r="Q1030" i="1" s="1"/>
  <c r="P1030" i="1" s="1"/>
  <c r="V1029" i="1"/>
  <c r="U1029" i="1"/>
  <c r="T1029" i="1"/>
  <c r="S1029" i="1"/>
  <c r="N1029" i="1"/>
  <c r="M1029" i="1"/>
  <c r="L1029" i="1"/>
  <c r="Q1029" i="1" s="1"/>
  <c r="P1029" i="1" s="1"/>
  <c r="V1028" i="1"/>
  <c r="U1028" i="1"/>
  <c r="T1028" i="1"/>
  <c r="S1028" i="1"/>
  <c r="N1028" i="1"/>
  <c r="M1028" i="1"/>
  <c r="L1028" i="1"/>
  <c r="Q1028" i="1" s="1"/>
  <c r="P1028" i="1" s="1"/>
  <c r="V1027" i="1"/>
  <c r="U1027" i="1"/>
  <c r="T1027" i="1"/>
  <c r="S1027" i="1"/>
  <c r="N1027" i="1"/>
  <c r="M1027" i="1"/>
  <c r="L1027" i="1"/>
  <c r="Q1027" i="1" s="1"/>
  <c r="P1027" i="1" s="1"/>
  <c r="V1026" i="1"/>
  <c r="U1026" i="1"/>
  <c r="T1026" i="1"/>
  <c r="S1026" i="1"/>
  <c r="N1026" i="1"/>
  <c r="M1026" i="1"/>
  <c r="L1026" i="1"/>
  <c r="Q1026" i="1" s="1"/>
  <c r="P1026" i="1" s="1"/>
  <c r="V1025" i="1"/>
  <c r="U1025" i="1"/>
  <c r="T1025" i="1"/>
  <c r="S1025" i="1"/>
  <c r="N1025" i="1"/>
  <c r="M1025" i="1"/>
  <c r="L1025" i="1"/>
  <c r="Q1025" i="1" s="1"/>
  <c r="P1025" i="1" s="1"/>
  <c r="V1024" i="1"/>
  <c r="U1024" i="1"/>
  <c r="T1024" i="1"/>
  <c r="S1024" i="1"/>
  <c r="O1024" i="1"/>
  <c r="N1024" i="1"/>
  <c r="M1024" i="1"/>
  <c r="L1024" i="1"/>
  <c r="Q1024" i="1" s="1"/>
  <c r="P1024" i="1" s="1"/>
  <c r="V1023" i="1"/>
  <c r="U1023" i="1"/>
  <c r="T1023" i="1"/>
  <c r="S1023" i="1"/>
  <c r="Q1023" i="1"/>
  <c r="P1023" i="1" s="1"/>
  <c r="N1023" i="1"/>
  <c r="M1023" i="1"/>
  <c r="O1023" i="1" s="1"/>
  <c r="L1023" i="1"/>
  <c r="V1022" i="1"/>
  <c r="U1022" i="1"/>
  <c r="T1022" i="1"/>
  <c r="S1022" i="1"/>
  <c r="N1022" i="1"/>
  <c r="M1022" i="1"/>
  <c r="L1022" i="1"/>
  <c r="Q1022" i="1" s="1"/>
  <c r="P1022" i="1" s="1"/>
  <c r="V1021" i="1"/>
  <c r="U1021" i="1"/>
  <c r="T1021" i="1"/>
  <c r="S1021" i="1"/>
  <c r="N1021" i="1"/>
  <c r="M1021" i="1"/>
  <c r="O1021" i="1" s="1"/>
  <c r="L1021" i="1"/>
  <c r="Q1021" i="1" s="1"/>
  <c r="P1021" i="1" s="1"/>
  <c r="V1020" i="1"/>
  <c r="U1020" i="1"/>
  <c r="T1020" i="1"/>
  <c r="S1020" i="1"/>
  <c r="N1020" i="1"/>
  <c r="O1020" i="1" s="1"/>
  <c r="M1020" i="1"/>
  <c r="L1020" i="1"/>
  <c r="Q1020" i="1" s="1"/>
  <c r="P1020" i="1" s="1"/>
  <c r="V1019" i="1"/>
  <c r="U1019" i="1"/>
  <c r="T1019" i="1"/>
  <c r="S1019" i="1"/>
  <c r="N1019" i="1"/>
  <c r="M1019" i="1"/>
  <c r="O1019" i="1" s="1"/>
  <c r="L1019" i="1"/>
  <c r="Q1019" i="1" s="1"/>
  <c r="P1019" i="1" s="1"/>
  <c r="V1018" i="1"/>
  <c r="U1018" i="1"/>
  <c r="T1018" i="1"/>
  <c r="S1018" i="1"/>
  <c r="Q1018" i="1"/>
  <c r="P1018" i="1" s="1"/>
  <c r="N1018" i="1"/>
  <c r="M1018" i="1"/>
  <c r="O1018" i="1" s="1"/>
  <c r="L1018" i="1"/>
  <c r="V1017" i="1"/>
  <c r="U1017" i="1"/>
  <c r="T1017" i="1"/>
  <c r="S1017" i="1"/>
  <c r="Q1017" i="1"/>
  <c r="P1017" i="1" s="1"/>
  <c r="N1017" i="1"/>
  <c r="M1017" i="1"/>
  <c r="O1017" i="1" s="1"/>
  <c r="L1017" i="1"/>
  <c r="V1016" i="1"/>
  <c r="U1016" i="1"/>
  <c r="T1016" i="1"/>
  <c r="S1016" i="1"/>
  <c r="Q1016" i="1"/>
  <c r="P1016" i="1" s="1"/>
  <c r="N1016" i="1"/>
  <c r="M1016" i="1"/>
  <c r="L1016" i="1"/>
  <c r="V1015" i="1"/>
  <c r="U1015" i="1"/>
  <c r="T1015" i="1"/>
  <c r="S1015" i="1"/>
  <c r="N1015" i="1"/>
  <c r="M1015" i="1"/>
  <c r="O1015" i="1" s="1"/>
  <c r="L1015" i="1"/>
  <c r="Q1015" i="1" s="1"/>
  <c r="P1015" i="1" s="1"/>
  <c r="V1014" i="1"/>
  <c r="U1014" i="1"/>
  <c r="T1014" i="1"/>
  <c r="S1014" i="1"/>
  <c r="Q1014" i="1"/>
  <c r="P1014" i="1" s="1"/>
  <c r="N1014" i="1"/>
  <c r="M1014" i="1"/>
  <c r="O1014" i="1" s="1"/>
  <c r="L1014" i="1"/>
  <c r="V1013" i="1"/>
  <c r="U1013" i="1"/>
  <c r="T1013" i="1"/>
  <c r="S1013" i="1"/>
  <c r="Q1013" i="1"/>
  <c r="P1013" i="1" s="1"/>
  <c r="N1013" i="1"/>
  <c r="M1013" i="1"/>
  <c r="O1013" i="1" s="1"/>
  <c r="L1013" i="1"/>
  <c r="V1012" i="1"/>
  <c r="U1012" i="1"/>
  <c r="T1012" i="1"/>
  <c r="S1012" i="1"/>
  <c r="Q1012" i="1"/>
  <c r="P1012" i="1" s="1"/>
  <c r="N1012" i="1"/>
  <c r="M1012" i="1"/>
  <c r="O1012" i="1" s="1"/>
  <c r="L1012" i="1"/>
  <c r="V1011" i="1"/>
  <c r="U1011" i="1"/>
  <c r="T1011" i="1"/>
  <c r="S1011" i="1"/>
  <c r="Q1011" i="1"/>
  <c r="P1011" i="1" s="1"/>
  <c r="N1011" i="1"/>
  <c r="M1011" i="1"/>
  <c r="O1011" i="1" s="1"/>
  <c r="L1011" i="1"/>
  <c r="V1010" i="1"/>
  <c r="U1010" i="1"/>
  <c r="T1010" i="1"/>
  <c r="S1010" i="1"/>
  <c r="Q1010" i="1"/>
  <c r="P1010" i="1" s="1"/>
  <c r="N1010" i="1"/>
  <c r="M1010" i="1"/>
  <c r="O1010" i="1" s="1"/>
  <c r="L1010" i="1"/>
  <c r="V1009" i="1"/>
  <c r="U1009" i="1"/>
  <c r="T1009" i="1"/>
  <c r="S1009" i="1"/>
  <c r="N1009" i="1"/>
  <c r="M1009" i="1"/>
  <c r="O1009" i="1" s="1"/>
  <c r="L1009" i="1"/>
  <c r="Q1009" i="1" s="1"/>
  <c r="P1009" i="1" s="1"/>
  <c r="V1008" i="1"/>
  <c r="U1008" i="1"/>
  <c r="T1008" i="1"/>
  <c r="S1008" i="1"/>
  <c r="N1008" i="1"/>
  <c r="M1008" i="1"/>
  <c r="O1008" i="1" s="1"/>
  <c r="L1008" i="1"/>
  <c r="Q1008" i="1" s="1"/>
  <c r="P1008" i="1" s="1"/>
  <c r="V1007" i="1"/>
  <c r="U1007" i="1"/>
  <c r="T1007" i="1"/>
  <c r="S1007" i="1"/>
  <c r="Q1007" i="1"/>
  <c r="P1007" i="1" s="1"/>
  <c r="N1007" i="1"/>
  <c r="M1007" i="1"/>
  <c r="O1007" i="1" s="1"/>
  <c r="L1007" i="1"/>
  <c r="V1006" i="1"/>
  <c r="U1006" i="1"/>
  <c r="T1006" i="1"/>
  <c r="S1006" i="1"/>
  <c r="N1006" i="1"/>
  <c r="M1006" i="1"/>
  <c r="L1006" i="1"/>
  <c r="Q1006" i="1" s="1"/>
  <c r="P1006" i="1" s="1"/>
  <c r="V1005" i="1"/>
  <c r="U1005" i="1"/>
  <c r="T1005" i="1"/>
  <c r="S1005" i="1"/>
  <c r="N1005" i="1"/>
  <c r="M1005" i="1"/>
  <c r="O1005" i="1" s="1"/>
  <c r="L1005" i="1"/>
  <c r="Q1005" i="1" s="1"/>
  <c r="P1005" i="1" s="1"/>
  <c r="V1004" i="1"/>
  <c r="U1004" i="1"/>
  <c r="T1004" i="1"/>
  <c r="S1004" i="1"/>
  <c r="N1004" i="1"/>
  <c r="M1004" i="1"/>
  <c r="L1004" i="1"/>
  <c r="Q1004" i="1" s="1"/>
  <c r="P1004" i="1" s="1"/>
  <c r="V1003" i="1"/>
  <c r="U1003" i="1"/>
  <c r="T1003" i="1"/>
  <c r="S1003" i="1"/>
  <c r="N1003" i="1"/>
  <c r="M1003" i="1"/>
  <c r="L1003" i="1"/>
  <c r="Q1003" i="1" s="1"/>
  <c r="P1003" i="1" s="1"/>
  <c r="V1002" i="1"/>
  <c r="U1002" i="1"/>
  <c r="T1002" i="1"/>
  <c r="S1002" i="1"/>
  <c r="Q1002" i="1"/>
  <c r="P1002" i="1" s="1"/>
  <c r="N1002" i="1"/>
  <c r="M1002" i="1"/>
  <c r="O1002" i="1" s="1"/>
  <c r="L1002" i="1"/>
  <c r="V1001" i="1"/>
  <c r="U1001" i="1"/>
  <c r="T1001" i="1"/>
  <c r="S1001" i="1"/>
  <c r="Q1001" i="1"/>
  <c r="P1001" i="1" s="1"/>
  <c r="N1001" i="1"/>
  <c r="M1001" i="1"/>
  <c r="O1001" i="1" s="1"/>
  <c r="L1001" i="1"/>
  <c r="V1000" i="1"/>
  <c r="U1000" i="1"/>
  <c r="T1000" i="1"/>
  <c r="S1000" i="1"/>
  <c r="Q1000" i="1"/>
  <c r="P1000" i="1" s="1"/>
  <c r="N1000" i="1"/>
  <c r="M1000" i="1"/>
  <c r="O1000" i="1" s="1"/>
  <c r="L1000" i="1"/>
  <c r="V999" i="1"/>
  <c r="U999" i="1"/>
  <c r="T999" i="1"/>
  <c r="S999" i="1"/>
  <c r="N999" i="1"/>
  <c r="M999" i="1"/>
  <c r="L999" i="1"/>
  <c r="Q999" i="1" s="1"/>
  <c r="P999" i="1" s="1"/>
  <c r="V998" i="1"/>
  <c r="U998" i="1"/>
  <c r="T998" i="1"/>
  <c r="S998" i="1"/>
  <c r="N998" i="1"/>
  <c r="M998" i="1"/>
  <c r="L998" i="1"/>
  <c r="Q998" i="1" s="1"/>
  <c r="P998" i="1" s="1"/>
  <c r="V997" i="1"/>
  <c r="U997" i="1"/>
  <c r="T997" i="1"/>
  <c r="S997" i="1"/>
  <c r="N997" i="1"/>
  <c r="M997" i="1"/>
  <c r="L997" i="1"/>
  <c r="Q997" i="1" s="1"/>
  <c r="P997" i="1" s="1"/>
  <c r="V996" i="1"/>
  <c r="U996" i="1"/>
  <c r="T996" i="1"/>
  <c r="S996" i="1"/>
  <c r="N996" i="1"/>
  <c r="M996" i="1"/>
  <c r="L996" i="1"/>
  <c r="Q996" i="1" s="1"/>
  <c r="P996" i="1" s="1"/>
  <c r="V995" i="1"/>
  <c r="U995" i="1"/>
  <c r="T995" i="1"/>
  <c r="S995" i="1"/>
  <c r="N995" i="1"/>
  <c r="M995" i="1"/>
  <c r="L995" i="1"/>
  <c r="Q995" i="1" s="1"/>
  <c r="P995" i="1" s="1"/>
  <c r="V994" i="1"/>
  <c r="U994" i="1"/>
  <c r="T994" i="1"/>
  <c r="S994" i="1"/>
  <c r="N994" i="1"/>
  <c r="M994" i="1"/>
  <c r="L994" i="1"/>
  <c r="Q994" i="1" s="1"/>
  <c r="P994" i="1" s="1"/>
  <c r="V993" i="1"/>
  <c r="U993" i="1"/>
  <c r="T993" i="1"/>
  <c r="S993" i="1"/>
  <c r="N993" i="1"/>
  <c r="M993" i="1"/>
  <c r="L993" i="1"/>
  <c r="Q993" i="1" s="1"/>
  <c r="P993" i="1" s="1"/>
  <c r="V992" i="1"/>
  <c r="U992" i="1"/>
  <c r="T992" i="1"/>
  <c r="S992" i="1"/>
  <c r="N992" i="1"/>
  <c r="M992" i="1"/>
  <c r="O992" i="1" s="1"/>
  <c r="L992" i="1"/>
  <c r="Q992" i="1" s="1"/>
  <c r="P992" i="1" s="1"/>
  <c r="V991" i="1"/>
  <c r="U991" i="1"/>
  <c r="T991" i="1"/>
  <c r="S991" i="1"/>
  <c r="N991" i="1"/>
  <c r="M991" i="1"/>
  <c r="O991" i="1" s="1"/>
  <c r="L991" i="1"/>
  <c r="Q991" i="1" s="1"/>
  <c r="P991" i="1" s="1"/>
  <c r="V990" i="1"/>
  <c r="U990" i="1"/>
  <c r="T990" i="1"/>
  <c r="S990" i="1"/>
  <c r="N990" i="1"/>
  <c r="M990" i="1"/>
  <c r="O990" i="1" s="1"/>
  <c r="L990" i="1"/>
  <c r="Q990" i="1" s="1"/>
  <c r="P990" i="1" s="1"/>
  <c r="V989" i="1"/>
  <c r="U989" i="1"/>
  <c r="T989" i="1"/>
  <c r="S989" i="1"/>
  <c r="N989" i="1"/>
  <c r="M989" i="1"/>
  <c r="L989" i="1"/>
  <c r="Q989" i="1" s="1"/>
  <c r="P989" i="1" s="1"/>
  <c r="V988" i="1"/>
  <c r="U988" i="1"/>
  <c r="T988" i="1"/>
  <c r="S988" i="1"/>
  <c r="N988" i="1"/>
  <c r="M988" i="1"/>
  <c r="L988" i="1"/>
  <c r="Q988" i="1" s="1"/>
  <c r="P988" i="1" s="1"/>
  <c r="V987" i="1"/>
  <c r="U987" i="1"/>
  <c r="T987" i="1"/>
  <c r="S987" i="1"/>
  <c r="N987" i="1"/>
  <c r="M987" i="1"/>
  <c r="L987" i="1"/>
  <c r="Q987" i="1" s="1"/>
  <c r="P987" i="1" s="1"/>
  <c r="V986" i="1"/>
  <c r="U986" i="1"/>
  <c r="T986" i="1"/>
  <c r="S986" i="1"/>
  <c r="N986" i="1"/>
  <c r="M986" i="1"/>
  <c r="L986" i="1"/>
  <c r="Q986" i="1" s="1"/>
  <c r="P986" i="1" s="1"/>
  <c r="V985" i="1"/>
  <c r="U985" i="1"/>
  <c r="T985" i="1"/>
  <c r="S985" i="1"/>
  <c r="N985" i="1"/>
  <c r="M985" i="1"/>
  <c r="L985" i="1"/>
  <c r="Q985" i="1" s="1"/>
  <c r="P985" i="1" s="1"/>
  <c r="V984" i="1"/>
  <c r="U984" i="1"/>
  <c r="T984" i="1"/>
  <c r="S984" i="1"/>
  <c r="Q984" i="1"/>
  <c r="P984" i="1" s="1"/>
  <c r="N984" i="1"/>
  <c r="M984" i="1"/>
  <c r="O984" i="1" s="1"/>
  <c r="L984" i="1"/>
  <c r="V983" i="1"/>
  <c r="U983" i="1"/>
  <c r="T983" i="1"/>
  <c r="S983" i="1"/>
  <c r="N983" i="1"/>
  <c r="M983" i="1"/>
  <c r="L983" i="1"/>
  <c r="Q983" i="1" s="1"/>
  <c r="P983" i="1" s="1"/>
  <c r="V982" i="1"/>
  <c r="U982" i="1"/>
  <c r="T982" i="1"/>
  <c r="S982" i="1"/>
  <c r="N982" i="1"/>
  <c r="M982" i="1"/>
  <c r="L982" i="1"/>
  <c r="Q982" i="1" s="1"/>
  <c r="P982" i="1" s="1"/>
  <c r="V981" i="1"/>
  <c r="U981" i="1"/>
  <c r="T981" i="1"/>
  <c r="S981" i="1"/>
  <c r="N981" i="1"/>
  <c r="M981" i="1"/>
  <c r="L981" i="1"/>
  <c r="Q981" i="1" s="1"/>
  <c r="P981" i="1" s="1"/>
  <c r="V980" i="1"/>
  <c r="U980" i="1"/>
  <c r="T980" i="1"/>
  <c r="S980" i="1"/>
  <c r="N980" i="1"/>
  <c r="M980" i="1"/>
  <c r="L980" i="1"/>
  <c r="Q980" i="1" s="1"/>
  <c r="P980" i="1" s="1"/>
  <c r="V979" i="1"/>
  <c r="U979" i="1"/>
  <c r="T979" i="1"/>
  <c r="S979" i="1"/>
  <c r="N979" i="1"/>
  <c r="M979" i="1"/>
  <c r="L979" i="1"/>
  <c r="Q979" i="1" s="1"/>
  <c r="P979" i="1" s="1"/>
  <c r="V978" i="1"/>
  <c r="U978" i="1"/>
  <c r="T978" i="1"/>
  <c r="S978" i="1"/>
  <c r="N978" i="1"/>
  <c r="O978" i="1" s="1"/>
  <c r="M978" i="1"/>
  <c r="L978" i="1"/>
  <c r="Q978" i="1" s="1"/>
  <c r="P978" i="1" s="1"/>
  <c r="V977" i="1"/>
  <c r="U977" i="1"/>
  <c r="T977" i="1"/>
  <c r="S977" i="1"/>
  <c r="N977" i="1"/>
  <c r="M977" i="1"/>
  <c r="L977" i="1"/>
  <c r="Q977" i="1" s="1"/>
  <c r="P977" i="1" s="1"/>
  <c r="V976" i="1"/>
  <c r="U976" i="1"/>
  <c r="T976" i="1"/>
  <c r="S976" i="1"/>
  <c r="N976" i="1"/>
  <c r="M976" i="1"/>
  <c r="L976" i="1"/>
  <c r="Q976" i="1" s="1"/>
  <c r="P976" i="1" s="1"/>
  <c r="V975" i="1"/>
  <c r="U975" i="1"/>
  <c r="T975" i="1"/>
  <c r="S975" i="1"/>
  <c r="Q975" i="1"/>
  <c r="P975" i="1" s="1"/>
  <c r="N975" i="1"/>
  <c r="M975" i="1"/>
  <c r="O975" i="1" s="1"/>
  <c r="L975" i="1"/>
  <c r="V974" i="1"/>
  <c r="U974" i="1"/>
  <c r="T974" i="1"/>
  <c r="S974" i="1"/>
  <c r="Q974" i="1"/>
  <c r="P974" i="1" s="1"/>
  <c r="N974" i="1"/>
  <c r="M974" i="1"/>
  <c r="O974" i="1" s="1"/>
  <c r="L974" i="1"/>
  <c r="V973" i="1"/>
  <c r="U973" i="1"/>
  <c r="T973" i="1"/>
  <c r="S973" i="1"/>
  <c r="N973" i="1"/>
  <c r="M973" i="1"/>
  <c r="L973" i="1"/>
  <c r="Q973" i="1" s="1"/>
  <c r="P973" i="1" s="1"/>
  <c r="V972" i="1"/>
  <c r="U972" i="1"/>
  <c r="T972" i="1"/>
  <c r="S972" i="1"/>
  <c r="N972" i="1"/>
  <c r="M972" i="1"/>
  <c r="L972" i="1"/>
  <c r="Q972" i="1" s="1"/>
  <c r="P972" i="1" s="1"/>
  <c r="V971" i="1"/>
  <c r="U971" i="1"/>
  <c r="T971" i="1"/>
  <c r="S971" i="1"/>
  <c r="N971" i="1"/>
  <c r="M971" i="1"/>
  <c r="L971" i="1"/>
  <c r="Q971" i="1" s="1"/>
  <c r="P971" i="1" s="1"/>
  <c r="V970" i="1"/>
  <c r="U970" i="1"/>
  <c r="T970" i="1"/>
  <c r="S970" i="1"/>
  <c r="O970" i="1"/>
  <c r="N970" i="1"/>
  <c r="M970" i="1"/>
  <c r="L970" i="1"/>
  <c r="Q970" i="1" s="1"/>
  <c r="P970" i="1" s="1"/>
  <c r="V969" i="1"/>
  <c r="U969" i="1"/>
  <c r="T969" i="1"/>
  <c r="S969" i="1"/>
  <c r="Q969" i="1"/>
  <c r="P969" i="1" s="1"/>
  <c r="N969" i="1"/>
  <c r="M969" i="1"/>
  <c r="O969" i="1" s="1"/>
  <c r="L969" i="1"/>
  <c r="V968" i="1"/>
  <c r="U968" i="1"/>
  <c r="T968" i="1"/>
  <c r="S968" i="1"/>
  <c r="N968" i="1"/>
  <c r="M968" i="1"/>
  <c r="L968" i="1"/>
  <c r="Q968" i="1" s="1"/>
  <c r="P968" i="1" s="1"/>
  <c r="V967" i="1"/>
  <c r="U967" i="1"/>
  <c r="T967" i="1"/>
  <c r="S967" i="1"/>
  <c r="O967" i="1"/>
  <c r="N967" i="1"/>
  <c r="M967" i="1"/>
  <c r="L967" i="1"/>
  <c r="Q967" i="1" s="1"/>
  <c r="P967" i="1" s="1"/>
  <c r="V966" i="1"/>
  <c r="U966" i="1"/>
  <c r="T966" i="1"/>
  <c r="S966" i="1"/>
  <c r="N966" i="1"/>
  <c r="O966" i="1" s="1"/>
  <c r="M966" i="1"/>
  <c r="L966" i="1"/>
  <c r="Q966" i="1" s="1"/>
  <c r="P966" i="1" s="1"/>
  <c r="V965" i="1"/>
  <c r="U965" i="1"/>
  <c r="T965" i="1"/>
  <c r="S965" i="1"/>
  <c r="N965" i="1"/>
  <c r="M965" i="1"/>
  <c r="L965" i="1"/>
  <c r="Q965" i="1" s="1"/>
  <c r="P965" i="1" s="1"/>
  <c r="V964" i="1"/>
  <c r="U964" i="1"/>
  <c r="T964" i="1"/>
  <c r="S964" i="1"/>
  <c r="N964" i="1"/>
  <c r="M964" i="1"/>
  <c r="L964" i="1"/>
  <c r="Q964" i="1" s="1"/>
  <c r="P964" i="1" s="1"/>
  <c r="V963" i="1"/>
  <c r="U963" i="1"/>
  <c r="T963" i="1"/>
  <c r="S963" i="1"/>
  <c r="N963" i="1"/>
  <c r="M963" i="1"/>
  <c r="L963" i="1"/>
  <c r="Q963" i="1" s="1"/>
  <c r="P963" i="1" s="1"/>
  <c r="V962" i="1"/>
  <c r="U962" i="1"/>
  <c r="T962" i="1"/>
  <c r="S962" i="1"/>
  <c r="Q962" i="1"/>
  <c r="P962" i="1" s="1"/>
  <c r="N962" i="1"/>
  <c r="M962" i="1"/>
  <c r="O962" i="1" s="1"/>
  <c r="L962" i="1"/>
  <c r="V961" i="1"/>
  <c r="U961" i="1"/>
  <c r="T961" i="1"/>
  <c r="S961" i="1"/>
  <c r="N961" i="1"/>
  <c r="M961" i="1"/>
  <c r="L961" i="1"/>
  <c r="Q961" i="1" s="1"/>
  <c r="P961" i="1" s="1"/>
  <c r="V960" i="1"/>
  <c r="U960" i="1"/>
  <c r="T960" i="1"/>
  <c r="S960" i="1"/>
  <c r="N960" i="1"/>
  <c r="M960" i="1"/>
  <c r="O960" i="1" s="1"/>
  <c r="L960" i="1"/>
  <c r="Q960" i="1" s="1"/>
  <c r="P960" i="1" s="1"/>
  <c r="V959" i="1"/>
  <c r="U959" i="1"/>
  <c r="T959" i="1"/>
  <c r="S959" i="1"/>
  <c r="N959" i="1"/>
  <c r="M959" i="1"/>
  <c r="L959" i="1"/>
  <c r="Q959" i="1" s="1"/>
  <c r="P959" i="1" s="1"/>
  <c r="V958" i="1"/>
  <c r="U958" i="1"/>
  <c r="T958" i="1"/>
  <c r="S958" i="1"/>
  <c r="Q958" i="1"/>
  <c r="P958" i="1" s="1"/>
  <c r="N958" i="1"/>
  <c r="M958" i="1"/>
  <c r="L958" i="1"/>
  <c r="V957" i="1"/>
  <c r="U957" i="1"/>
  <c r="T957" i="1"/>
  <c r="S957" i="1"/>
  <c r="Q957" i="1"/>
  <c r="P957" i="1" s="1"/>
  <c r="N957" i="1"/>
  <c r="M957" i="1"/>
  <c r="L957" i="1"/>
  <c r="V956" i="1"/>
  <c r="U956" i="1"/>
  <c r="T956" i="1"/>
  <c r="S956" i="1"/>
  <c r="O956" i="1"/>
  <c r="N956" i="1"/>
  <c r="M956" i="1"/>
  <c r="L956" i="1"/>
  <c r="Q956" i="1" s="1"/>
  <c r="P956" i="1" s="1"/>
  <c r="V955" i="1"/>
  <c r="U955" i="1"/>
  <c r="T955" i="1"/>
  <c r="S955" i="1"/>
  <c r="Q955" i="1"/>
  <c r="P955" i="1" s="1"/>
  <c r="N955" i="1"/>
  <c r="M955" i="1"/>
  <c r="O955" i="1" s="1"/>
  <c r="L955" i="1"/>
  <c r="V954" i="1"/>
  <c r="U954" i="1"/>
  <c r="T954" i="1"/>
  <c r="S954" i="1"/>
  <c r="N954" i="1"/>
  <c r="M954" i="1"/>
  <c r="L954" i="1"/>
  <c r="Q954" i="1" s="1"/>
  <c r="P954" i="1" s="1"/>
  <c r="V953" i="1"/>
  <c r="U953" i="1"/>
  <c r="T953" i="1"/>
  <c r="S953" i="1"/>
  <c r="N953" i="1"/>
  <c r="M953" i="1"/>
  <c r="L953" i="1"/>
  <c r="Q953" i="1" s="1"/>
  <c r="P953" i="1" s="1"/>
  <c r="V952" i="1"/>
  <c r="U952" i="1"/>
  <c r="T952" i="1"/>
  <c r="S952" i="1"/>
  <c r="N952" i="1"/>
  <c r="M952" i="1"/>
  <c r="L952" i="1"/>
  <c r="Q952" i="1" s="1"/>
  <c r="P952" i="1" s="1"/>
  <c r="V951" i="1"/>
  <c r="U951" i="1"/>
  <c r="T951" i="1"/>
  <c r="S951" i="1"/>
  <c r="N951" i="1"/>
  <c r="M951" i="1"/>
  <c r="L951" i="1"/>
  <c r="Q951" i="1" s="1"/>
  <c r="P951" i="1" s="1"/>
  <c r="V950" i="1"/>
  <c r="U950" i="1"/>
  <c r="T950" i="1"/>
  <c r="S950" i="1"/>
  <c r="N950" i="1"/>
  <c r="M950" i="1"/>
  <c r="L950" i="1"/>
  <c r="Q950" i="1" s="1"/>
  <c r="P950" i="1" s="1"/>
  <c r="V949" i="1"/>
  <c r="U949" i="1"/>
  <c r="T949" i="1"/>
  <c r="S949" i="1"/>
  <c r="N949" i="1"/>
  <c r="M949" i="1"/>
  <c r="O949" i="1" s="1"/>
  <c r="L949" i="1"/>
  <c r="Q949" i="1" s="1"/>
  <c r="P949" i="1" s="1"/>
  <c r="V948" i="1"/>
  <c r="U948" i="1"/>
  <c r="T948" i="1"/>
  <c r="S948" i="1"/>
  <c r="N948" i="1"/>
  <c r="M948" i="1"/>
  <c r="O948" i="1" s="1"/>
  <c r="L948" i="1"/>
  <c r="Q948" i="1" s="1"/>
  <c r="P948" i="1" s="1"/>
  <c r="V947" i="1"/>
  <c r="U947" i="1"/>
  <c r="T947" i="1"/>
  <c r="S947" i="1"/>
  <c r="Q947" i="1"/>
  <c r="P947" i="1" s="1"/>
  <c r="N947" i="1"/>
  <c r="M947" i="1"/>
  <c r="L947" i="1"/>
  <c r="V946" i="1"/>
  <c r="U946" i="1"/>
  <c r="T946" i="1"/>
  <c r="S946" i="1"/>
  <c r="Q946" i="1"/>
  <c r="P946" i="1" s="1"/>
  <c r="N946" i="1"/>
  <c r="M946" i="1"/>
  <c r="L946" i="1"/>
  <c r="V945" i="1"/>
  <c r="U945" i="1"/>
  <c r="T945" i="1"/>
  <c r="S945" i="1"/>
  <c r="N945" i="1"/>
  <c r="M945" i="1"/>
  <c r="L945" i="1"/>
  <c r="Q945" i="1" s="1"/>
  <c r="P945" i="1" s="1"/>
  <c r="V944" i="1"/>
  <c r="U944" i="1"/>
  <c r="T944" i="1"/>
  <c r="S944" i="1"/>
  <c r="N944" i="1"/>
  <c r="M944" i="1"/>
  <c r="L944" i="1"/>
  <c r="Q944" i="1" s="1"/>
  <c r="P944" i="1" s="1"/>
  <c r="V943" i="1"/>
  <c r="U943" i="1"/>
  <c r="T943" i="1"/>
  <c r="S943" i="1"/>
  <c r="Q943" i="1"/>
  <c r="P943" i="1" s="1"/>
  <c r="N943" i="1"/>
  <c r="M943" i="1"/>
  <c r="L943" i="1"/>
  <c r="V942" i="1"/>
  <c r="U942" i="1"/>
  <c r="T942" i="1"/>
  <c r="S942" i="1"/>
  <c r="Q942" i="1"/>
  <c r="P942" i="1" s="1"/>
  <c r="N942" i="1"/>
  <c r="M942" i="1"/>
  <c r="O942" i="1" s="1"/>
  <c r="L942" i="1"/>
  <c r="V941" i="1"/>
  <c r="U941" i="1"/>
  <c r="T941" i="1"/>
  <c r="S941" i="1"/>
  <c r="N941" i="1"/>
  <c r="M941" i="1"/>
  <c r="L941" i="1"/>
  <c r="Q941" i="1" s="1"/>
  <c r="P941" i="1" s="1"/>
  <c r="V940" i="1"/>
  <c r="U940" i="1"/>
  <c r="T940" i="1"/>
  <c r="S940" i="1"/>
  <c r="N940" i="1"/>
  <c r="M940" i="1"/>
  <c r="L940" i="1"/>
  <c r="Q940" i="1" s="1"/>
  <c r="P940" i="1" s="1"/>
  <c r="V939" i="1"/>
  <c r="U939" i="1"/>
  <c r="T939" i="1"/>
  <c r="S939" i="1"/>
  <c r="N939" i="1"/>
  <c r="M939" i="1"/>
  <c r="L939" i="1"/>
  <c r="Q939" i="1" s="1"/>
  <c r="P939" i="1" s="1"/>
  <c r="V938" i="1"/>
  <c r="U938" i="1"/>
  <c r="T938" i="1"/>
  <c r="S938" i="1"/>
  <c r="O938" i="1"/>
  <c r="N938" i="1"/>
  <c r="M938" i="1"/>
  <c r="L938" i="1"/>
  <c r="Q938" i="1" s="1"/>
  <c r="P938" i="1" s="1"/>
  <c r="V937" i="1"/>
  <c r="U937" i="1"/>
  <c r="T937" i="1"/>
  <c r="S937" i="1"/>
  <c r="Q937" i="1"/>
  <c r="P937" i="1" s="1"/>
  <c r="N937" i="1"/>
  <c r="M937" i="1"/>
  <c r="L937" i="1"/>
  <c r="V936" i="1"/>
  <c r="U936" i="1"/>
  <c r="T936" i="1"/>
  <c r="S936" i="1"/>
  <c r="N936" i="1"/>
  <c r="M936" i="1"/>
  <c r="L936" i="1"/>
  <c r="Q936" i="1" s="1"/>
  <c r="P936" i="1" s="1"/>
  <c r="V935" i="1"/>
  <c r="U935" i="1"/>
  <c r="T935" i="1"/>
  <c r="S935" i="1"/>
  <c r="O935" i="1"/>
  <c r="N935" i="1"/>
  <c r="M935" i="1"/>
  <c r="L935" i="1"/>
  <c r="Q935" i="1" s="1"/>
  <c r="P935" i="1" s="1"/>
  <c r="V934" i="1"/>
  <c r="U934" i="1"/>
  <c r="T934" i="1"/>
  <c r="S934" i="1"/>
  <c r="O934" i="1"/>
  <c r="N934" i="1"/>
  <c r="M934" i="1"/>
  <c r="L934" i="1"/>
  <c r="Q934" i="1" s="1"/>
  <c r="P934" i="1" s="1"/>
  <c r="V933" i="1"/>
  <c r="U933" i="1"/>
  <c r="T933" i="1"/>
  <c r="S933" i="1"/>
  <c r="N933" i="1"/>
  <c r="M933" i="1"/>
  <c r="L933" i="1"/>
  <c r="Q933" i="1" s="1"/>
  <c r="P933" i="1" s="1"/>
  <c r="V932" i="1"/>
  <c r="U932" i="1"/>
  <c r="T932" i="1"/>
  <c r="S932" i="1"/>
  <c r="N932" i="1"/>
  <c r="M932" i="1"/>
  <c r="L932" i="1"/>
  <c r="Q932" i="1" s="1"/>
  <c r="P932" i="1" s="1"/>
  <c r="V931" i="1"/>
  <c r="U931" i="1"/>
  <c r="T931" i="1"/>
  <c r="S931" i="1"/>
  <c r="N931" i="1"/>
  <c r="M931" i="1"/>
  <c r="O931" i="1" s="1"/>
  <c r="L931" i="1"/>
  <c r="Q931" i="1" s="1"/>
  <c r="P931" i="1" s="1"/>
  <c r="V930" i="1"/>
  <c r="U930" i="1"/>
  <c r="T930" i="1"/>
  <c r="S930" i="1"/>
  <c r="N930" i="1"/>
  <c r="M930" i="1"/>
  <c r="O930" i="1" s="1"/>
  <c r="L930" i="1"/>
  <c r="Q930" i="1" s="1"/>
  <c r="P930" i="1" s="1"/>
  <c r="V929" i="1"/>
  <c r="U929" i="1"/>
  <c r="T929" i="1"/>
  <c r="S929" i="1"/>
  <c r="N929" i="1"/>
  <c r="M929" i="1"/>
  <c r="L929" i="1"/>
  <c r="Q929" i="1" s="1"/>
  <c r="P929" i="1" s="1"/>
  <c r="V928" i="1"/>
  <c r="U928" i="1"/>
  <c r="T928" i="1"/>
  <c r="S928" i="1"/>
  <c r="N928" i="1"/>
  <c r="M928" i="1"/>
  <c r="O928" i="1" s="1"/>
  <c r="L928" i="1"/>
  <c r="Q928" i="1" s="1"/>
  <c r="P928" i="1" s="1"/>
  <c r="V927" i="1"/>
  <c r="U927" i="1"/>
  <c r="T927" i="1"/>
  <c r="S927" i="1"/>
  <c r="N927" i="1"/>
  <c r="M927" i="1"/>
  <c r="L927" i="1"/>
  <c r="Q927" i="1" s="1"/>
  <c r="P927" i="1" s="1"/>
  <c r="V926" i="1"/>
  <c r="U926" i="1"/>
  <c r="T926" i="1"/>
  <c r="S926" i="1"/>
  <c r="Q926" i="1"/>
  <c r="P926" i="1" s="1"/>
  <c r="N926" i="1"/>
  <c r="M926" i="1"/>
  <c r="L926" i="1"/>
  <c r="V925" i="1"/>
  <c r="U925" i="1"/>
  <c r="T925" i="1"/>
  <c r="S925" i="1"/>
  <c r="N925" i="1"/>
  <c r="M925" i="1"/>
  <c r="L925" i="1"/>
  <c r="Q925" i="1" s="1"/>
  <c r="P925" i="1" s="1"/>
  <c r="V924" i="1"/>
  <c r="U924" i="1"/>
  <c r="T924" i="1"/>
  <c r="S924" i="1"/>
  <c r="N924" i="1"/>
  <c r="M924" i="1"/>
  <c r="O924" i="1" s="1"/>
  <c r="L924" i="1"/>
  <c r="Q924" i="1" s="1"/>
  <c r="P924" i="1" s="1"/>
  <c r="V923" i="1"/>
  <c r="U923" i="1"/>
  <c r="T923" i="1"/>
  <c r="S923" i="1"/>
  <c r="N923" i="1"/>
  <c r="M923" i="1"/>
  <c r="L923" i="1"/>
  <c r="Q923" i="1" s="1"/>
  <c r="P923" i="1" s="1"/>
  <c r="V922" i="1"/>
  <c r="U922" i="1"/>
  <c r="T922" i="1"/>
  <c r="S922" i="1"/>
  <c r="N922" i="1"/>
  <c r="M922" i="1"/>
  <c r="L922" i="1"/>
  <c r="Q922" i="1" s="1"/>
  <c r="P922" i="1" s="1"/>
  <c r="V921" i="1"/>
  <c r="U921" i="1"/>
  <c r="T921" i="1"/>
  <c r="S921" i="1"/>
  <c r="N921" i="1"/>
  <c r="M921" i="1"/>
  <c r="O921" i="1" s="1"/>
  <c r="L921" i="1"/>
  <c r="Q921" i="1" s="1"/>
  <c r="P921" i="1" s="1"/>
  <c r="V920" i="1"/>
  <c r="U920" i="1"/>
  <c r="T920" i="1"/>
  <c r="S920" i="1"/>
  <c r="N920" i="1"/>
  <c r="M920" i="1"/>
  <c r="L920" i="1"/>
  <c r="Q920" i="1" s="1"/>
  <c r="P920" i="1" s="1"/>
  <c r="V919" i="1"/>
  <c r="U919" i="1"/>
  <c r="T919" i="1"/>
  <c r="S919" i="1"/>
  <c r="N919" i="1"/>
  <c r="M919" i="1"/>
  <c r="L919" i="1"/>
  <c r="Q919" i="1" s="1"/>
  <c r="P919" i="1" s="1"/>
  <c r="V918" i="1"/>
  <c r="U918" i="1"/>
  <c r="T918" i="1"/>
  <c r="S918" i="1"/>
  <c r="Q918" i="1"/>
  <c r="P918" i="1" s="1"/>
  <c r="N918" i="1"/>
  <c r="M918" i="1"/>
  <c r="L918" i="1"/>
  <c r="V917" i="1"/>
  <c r="U917" i="1"/>
  <c r="T917" i="1"/>
  <c r="S917" i="1"/>
  <c r="P917" i="1"/>
  <c r="N917" i="1"/>
  <c r="M917" i="1"/>
  <c r="O917" i="1" s="1"/>
  <c r="L917" i="1"/>
  <c r="Q917" i="1" s="1"/>
  <c r="V916" i="1"/>
  <c r="U916" i="1"/>
  <c r="T916" i="1"/>
  <c r="S916" i="1"/>
  <c r="N916" i="1"/>
  <c r="M916" i="1"/>
  <c r="L916" i="1"/>
  <c r="Q916" i="1" s="1"/>
  <c r="P916" i="1" s="1"/>
  <c r="V915" i="1"/>
  <c r="U915" i="1"/>
  <c r="T915" i="1"/>
  <c r="S915" i="1"/>
  <c r="N915" i="1"/>
  <c r="M915" i="1"/>
  <c r="L915" i="1"/>
  <c r="Q915" i="1" s="1"/>
  <c r="P915" i="1" s="1"/>
  <c r="V914" i="1"/>
  <c r="U914" i="1"/>
  <c r="T914" i="1"/>
  <c r="S914" i="1"/>
  <c r="N914" i="1"/>
  <c r="M914" i="1"/>
  <c r="L914" i="1"/>
  <c r="Q914" i="1" s="1"/>
  <c r="P914" i="1" s="1"/>
  <c r="V913" i="1"/>
  <c r="U913" i="1"/>
  <c r="T913" i="1"/>
  <c r="S913" i="1"/>
  <c r="N913" i="1"/>
  <c r="M913" i="1"/>
  <c r="L913" i="1"/>
  <c r="Q913" i="1" s="1"/>
  <c r="P913" i="1" s="1"/>
  <c r="V912" i="1"/>
  <c r="U912" i="1"/>
  <c r="T912" i="1"/>
  <c r="S912" i="1"/>
  <c r="N912" i="1"/>
  <c r="M912" i="1"/>
  <c r="L912" i="1"/>
  <c r="Q912" i="1" s="1"/>
  <c r="P912" i="1" s="1"/>
  <c r="V911" i="1"/>
  <c r="U911" i="1"/>
  <c r="T911" i="1"/>
  <c r="S911" i="1"/>
  <c r="Q911" i="1"/>
  <c r="P911" i="1" s="1"/>
  <c r="N911" i="1"/>
  <c r="M911" i="1"/>
  <c r="L911" i="1"/>
  <c r="V910" i="1"/>
  <c r="U910" i="1"/>
  <c r="T910" i="1"/>
  <c r="S910" i="1"/>
  <c r="Q910" i="1"/>
  <c r="P910" i="1" s="1"/>
  <c r="N910" i="1"/>
  <c r="M910" i="1"/>
  <c r="L910" i="1"/>
  <c r="V909" i="1"/>
  <c r="U909" i="1"/>
  <c r="T909" i="1"/>
  <c r="S909" i="1"/>
  <c r="N909" i="1"/>
  <c r="M909" i="1"/>
  <c r="L909" i="1"/>
  <c r="Q909" i="1" s="1"/>
  <c r="P909" i="1" s="1"/>
  <c r="V908" i="1"/>
  <c r="U908" i="1"/>
  <c r="T908" i="1"/>
  <c r="S908" i="1"/>
  <c r="N908" i="1"/>
  <c r="M908" i="1"/>
  <c r="L908" i="1"/>
  <c r="Q908" i="1" s="1"/>
  <c r="P908" i="1" s="1"/>
  <c r="V907" i="1"/>
  <c r="U907" i="1"/>
  <c r="T907" i="1"/>
  <c r="S907" i="1"/>
  <c r="N907" i="1"/>
  <c r="M907" i="1"/>
  <c r="L907" i="1"/>
  <c r="Q907" i="1" s="1"/>
  <c r="P907" i="1" s="1"/>
  <c r="V906" i="1"/>
  <c r="U906" i="1"/>
  <c r="T906" i="1"/>
  <c r="S906" i="1"/>
  <c r="N906" i="1"/>
  <c r="O906" i="1" s="1"/>
  <c r="M906" i="1"/>
  <c r="L906" i="1"/>
  <c r="Q906" i="1" s="1"/>
  <c r="P906" i="1" s="1"/>
  <c r="V905" i="1"/>
  <c r="U905" i="1"/>
  <c r="T905" i="1"/>
  <c r="S905" i="1"/>
  <c r="N905" i="1"/>
  <c r="M905" i="1"/>
  <c r="L905" i="1"/>
  <c r="Q905" i="1" s="1"/>
  <c r="P905" i="1" s="1"/>
  <c r="V904" i="1"/>
  <c r="U904" i="1"/>
  <c r="T904" i="1"/>
  <c r="S904" i="1"/>
  <c r="N904" i="1"/>
  <c r="M904" i="1"/>
  <c r="L904" i="1"/>
  <c r="Q904" i="1" s="1"/>
  <c r="P904" i="1" s="1"/>
  <c r="V903" i="1"/>
  <c r="U903" i="1"/>
  <c r="T903" i="1"/>
  <c r="S903" i="1"/>
  <c r="N903" i="1"/>
  <c r="M903" i="1"/>
  <c r="L903" i="1"/>
  <c r="Q903" i="1" s="1"/>
  <c r="P903" i="1" s="1"/>
  <c r="V902" i="1"/>
  <c r="U902" i="1"/>
  <c r="T902" i="1"/>
  <c r="S902" i="1"/>
  <c r="N902" i="1"/>
  <c r="M902" i="1"/>
  <c r="L902" i="1"/>
  <c r="Q902" i="1" s="1"/>
  <c r="P902" i="1" s="1"/>
  <c r="V901" i="1"/>
  <c r="U901" i="1"/>
  <c r="T901" i="1"/>
  <c r="S901" i="1"/>
  <c r="Q901" i="1"/>
  <c r="P901" i="1" s="1"/>
  <c r="N901" i="1"/>
  <c r="M901" i="1"/>
  <c r="L901" i="1"/>
  <c r="V900" i="1"/>
  <c r="U900" i="1"/>
  <c r="T900" i="1"/>
  <c r="S900" i="1"/>
  <c r="N900" i="1"/>
  <c r="M900" i="1"/>
  <c r="L900" i="1"/>
  <c r="Q900" i="1" s="1"/>
  <c r="P900" i="1" s="1"/>
  <c r="V899" i="1"/>
  <c r="U899" i="1"/>
  <c r="T899" i="1"/>
  <c r="S899" i="1"/>
  <c r="N899" i="1"/>
  <c r="M899" i="1"/>
  <c r="O899" i="1" s="1"/>
  <c r="L899" i="1"/>
  <c r="Q899" i="1" s="1"/>
  <c r="P899" i="1" s="1"/>
  <c r="V898" i="1"/>
  <c r="U898" i="1"/>
  <c r="T898" i="1"/>
  <c r="S898" i="1"/>
  <c r="Q898" i="1"/>
  <c r="P898" i="1" s="1"/>
  <c r="N898" i="1"/>
  <c r="M898" i="1"/>
  <c r="O898" i="1" s="1"/>
  <c r="L898" i="1"/>
  <c r="V897" i="1"/>
  <c r="U897" i="1"/>
  <c r="T897" i="1"/>
  <c r="S897" i="1"/>
  <c r="N897" i="1"/>
  <c r="M897" i="1"/>
  <c r="L897" i="1"/>
  <c r="Q897" i="1" s="1"/>
  <c r="P897" i="1" s="1"/>
  <c r="V896" i="1"/>
  <c r="U896" i="1"/>
  <c r="T896" i="1"/>
  <c r="S896" i="1"/>
  <c r="N896" i="1"/>
  <c r="M896" i="1"/>
  <c r="O896" i="1" s="1"/>
  <c r="L896" i="1"/>
  <c r="Q896" i="1" s="1"/>
  <c r="P896" i="1" s="1"/>
  <c r="V895" i="1"/>
  <c r="U895" i="1"/>
  <c r="T895" i="1"/>
  <c r="S895" i="1"/>
  <c r="N895" i="1"/>
  <c r="M895" i="1"/>
  <c r="L895" i="1"/>
  <c r="Q895" i="1" s="1"/>
  <c r="P895" i="1" s="1"/>
  <c r="V894" i="1"/>
  <c r="U894" i="1"/>
  <c r="T894" i="1"/>
  <c r="S894" i="1"/>
  <c r="N894" i="1"/>
  <c r="M894" i="1"/>
  <c r="L894" i="1"/>
  <c r="Q894" i="1" s="1"/>
  <c r="P894" i="1" s="1"/>
  <c r="V893" i="1"/>
  <c r="U893" i="1"/>
  <c r="T893" i="1"/>
  <c r="S893" i="1"/>
  <c r="Q893" i="1"/>
  <c r="P893" i="1" s="1"/>
  <c r="N893" i="1"/>
  <c r="M893" i="1"/>
  <c r="O893" i="1" s="1"/>
  <c r="L893" i="1"/>
  <c r="V892" i="1"/>
  <c r="U892" i="1"/>
  <c r="T892" i="1"/>
  <c r="S892" i="1"/>
  <c r="N892" i="1"/>
  <c r="M892" i="1"/>
  <c r="L892" i="1"/>
  <c r="Q892" i="1" s="1"/>
  <c r="P892" i="1" s="1"/>
  <c r="V891" i="1"/>
  <c r="U891" i="1"/>
  <c r="T891" i="1"/>
  <c r="S891" i="1"/>
  <c r="N891" i="1"/>
  <c r="M891" i="1"/>
  <c r="L891" i="1"/>
  <c r="Q891" i="1" s="1"/>
  <c r="P891" i="1" s="1"/>
  <c r="V890" i="1"/>
  <c r="U890" i="1"/>
  <c r="T890" i="1"/>
  <c r="S890" i="1"/>
  <c r="Q890" i="1"/>
  <c r="P890" i="1" s="1"/>
  <c r="N890" i="1"/>
  <c r="M890" i="1"/>
  <c r="L890" i="1"/>
  <c r="V889" i="1"/>
  <c r="U889" i="1"/>
  <c r="T889" i="1"/>
  <c r="S889" i="1"/>
  <c r="N889" i="1"/>
  <c r="M889" i="1"/>
  <c r="L889" i="1"/>
  <c r="Q889" i="1" s="1"/>
  <c r="P889" i="1" s="1"/>
  <c r="V888" i="1"/>
  <c r="U888" i="1"/>
  <c r="T888" i="1"/>
  <c r="S888" i="1"/>
  <c r="N888" i="1"/>
  <c r="M888" i="1"/>
  <c r="O888" i="1" s="1"/>
  <c r="L888" i="1"/>
  <c r="Q888" i="1" s="1"/>
  <c r="P888" i="1" s="1"/>
  <c r="V887" i="1"/>
  <c r="U887" i="1"/>
  <c r="T887" i="1"/>
  <c r="S887" i="1"/>
  <c r="N887" i="1"/>
  <c r="O887" i="1" s="1"/>
  <c r="M887" i="1"/>
  <c r="L887" i="1"/>
  <c r="Q887" i="1" s="1"/>
  <c r="P887" i="1" s="1"/>
  <c r="V886" i="1"/>
  <c r="U886" i="1"/>
  <c r="T886" i="1"/>
  <c r="S886" i="1"/>
  <c r="N886" i="1"/>
  <c r="M886" i="1"/>
  <c r="L886" i="1"/>
  <c r="Q886" i="1" s="1"/>
  <c r="P886" i="1" s="1"/>
  <c r="V885" i="1"/>
  <c r="U885" i="1"/>
  <c r="T885" i="1"/>
  <c r="S885" i="1"/>
  <c r="N885" i="1"/>
  <c r="M885" i="1"/>
  <c r="L885" i="1"/>
  <c r="Q885" i="1" s="1"/>
  <c r="P885" i="1" s="1"/>
  <c r="V884" i="1"/>
  <c r="U884" i="1"/>
  <c r="T884" i="1"/>
  <c r="S884" i="1"/>
  <c r="N884" i="1"/>
  <c r="M884" i="1"/>
  <c r="O884" i="1" s="1"/>
  <c r="L884" i="1"/>
  <c r="Q884" i="1" s="1"/>
  <c r="P884" i="1" s="1"/>
  <c r="V883" i="1"/>
  <c r="U883" i="1"/>
  <c r="T883" i="1"/>
  <c r="S883" i="1"/>
  <c r="N883" i="1"/>
  <c r="M883" i="1"/>
  <c r="L883" i="1"/>
  <c r="Q883" i="1" s="1"/>
  <c r="P883" i="1" s="1"/>
  <c r="V882" i="1"/>
  <c r="U882" i="1"/>
  <c r="T882" i="1"/>
  <c r="S882" i="1"/>
  <c r="N882" i="1"/>
  <c r="M882" i="1"/>
  <c r="L882" i="1"/>
  <c r="Q882" i="1" s="1"/>
  <c r="P882" i="1" s="1"/>
  <c r="V881" i="1"/>
  <c r="U881" i="1"/>
  <c r="T881" i="1"/>
  <c r="S881" i="1"/>
  <c r="N881" i="1"/>
  <c r="M881" i="1"/>
  <c r="O881" i="1" s="1"/>
  <c r="L881" i="1"/>
  <c r="Q881" i="1" s="1"/>
  <c r="P881" i="1" s="1"/>
  <c r="V880" i="1"/>
  <c r="U880" i="1"/>
  <c r="T880" i="1"/>
  <c r="S880" i="1"/>
  <c r="N880" i="1"/>
  <c r="O880" i="1" s="1"/>
  <c r="M880" i="1"/>
  <c r="L880" i="1"/>
  <c r="Q880" i="1" s="1"/>
  <c r="P880" i="1" s="1"/>
  <c r="V879" i="1"/>
  <c r="U879" i="1"/>
  <c r="T879" i="1"/>
  <c r="S879" i="1"/>
  <c r="N879" i="1"/>
  <c r="M879" i="1"/>
  <c r="L879" i="1"/>
  <c r="Q879" i="1" s="1"/>
  <c r="P879" i="1" s="1"/>
  <c r="V878" i="1"/>
  <c r="U878" i="1"/>
  <c r="T878" i="1"/>
  <c r="S878" i="1"/>
  <c r="N878" i="1"/>
  <c r="M878" i="1"/>
  <c r="O878" i="1" s="1"/>
  <c r="L878" i="1"/>
  <c r="Q878" i="1" s="1"/>
  <c r="P878" i="1" s="1"/>
  <c r="V877" i="1"/>
  <c r="U877" i="1"/>
  <c r="T877" i="1"/>
  <c r="S877" i="1"/>
  <c r="N877" i="1"/>
  <c r="M877" i="1"/>
  <c r="L877" i="1"/>
  <c r="Q877" i="1" s="1"/>
  <c r="P877" i="1" s="1"/>
  <c r="V876" i="1"/>
  <c r="U876" i="1"/>
  <c r="T876" i="1"/>
  <c r="S876" i="1"/>
  <c r="N876" i="1"/>
  <c r="M876" i="1"/>
  <c r="L876" i="1"/>
  <c r="Q876" i="1" s="1"/>
  <c r="P876" i="1" s="1"/>
  <c r="V875" i="1"/>
  <c r="U875" i="1"/>
  <c r="T875" i="1"/>
  <c r="S875" i="1"/>
  <c r="Q875" i="1"/>
  <c r="P875" i="1" s="1"/>
  <c r="N875" i="1"/>
  <c r="M875" i="1"/>
  <c r="L875" i="1"/>
  <c r="V874" i="1"/>
  <c r="U874" i="1"/>
  <c r="T874" i="1"/>
  <c r="S874" i="1"/>
  <c r="N874" i="1"/>
  <c r="M874" i="1"/>
  <c r="O874" i="1" s="1"/>
  <c r="L874" i="1"/>
  <c r="Q874" i="1" s="1"/>
  <c r="P874" i="1" s="1"/>
  <c r="V873" i="1"/>
  <c r="U873" i="1"/>
  <c r="T873" i="1"/>
  <c r="S873" i="1"/>
  <c r="N873" i="1"/>
  <c r="M873" i="1"/>
  <c r="L873" i="1"/>
  <c r="Q873" i="1" s="1"/>
  <c r="P873" i="1" s="1"/>
  <c r="V872" i="1"/>
  <c r="U872" i="1"/>
  <c r="T872" i="1"/>
  <c r="S872" i="1"/>
  <c r="N872" i="1"/>
  <c r="M872" i="1"/>
  <c r="L872" i="1"/>
  <c r="Q872" i="1" s="1"/>
  <c r="P872" i="1" s="1"/>
  <c r="V871" i="1"/>
  <c r="U871" i="1"/>
  <c r="T871" i="1"/>
  <c r="S871" i="1"/>
  <c r="N871" i="1"/>
  <c r="M871" i="1"/>
  <c r="O871" i="1" s="1"/>
  <c r="L871" i="1"/>
  <c r="Q871" i="1" s="1"/>
  <c r="P871" i="1" s="1"/>
  <c r="V870" i="1"/>
  <c r="U870" i="1"/>
  <c r="T870" i="1"/>
  <c r="S870" i="1"/>
  <c r="N870" i="1"/>
  <c r="M870" i="1"/>
  <c r="O870" i="1" s="1"/>
  <c r="L870" i="1"/>
  <c r="Q870" i="1" s="1"/>
  <c r="P870" i="1" s="1"/>
  <c r="V869" i="1"/>
  <c r="U869" i="1"/>
  <c r="T869" i="1"/>
  <c r="S869" i="1"/>
  <c r="N869" i="1"/>
  <c r="M869" i="1"/>
  <c r="L869" i="1"/>
  <c r="Q869" i="1" s="1"/>
  <c r="P869" i="1" s="1"/>
  <c r="V868" i="1"/>
  <c r="U868" i="1"/>
  <c r="T868" i="1"/>
  <c r="S868" i="1"/>
  <c r="N868" i="1"/>
  <c r="M868" i="1"/>
  <c r="L868" i="1"/>
  <c r="Q868" i="1" s="1"/>
  <c r="P868" i="1" s="1"/>
  <c r="V867" i="1"/>
  <c r="U867" i="1"/>
  <c r="T867" i="1"/>
  <c r="S867" i="1"/>
  <c r="N867" i="1"/>
  <c r="M867" i="1"/>
  <c r="L867" i="1"/>
  <c r="Q867" i="1" s="1"/>
  <c r="P867" i="1" s="1"/>
  <c r="V866" i="1"/>
  <c r="U866" i="1"/>
  <c r="T866" i="1"/>
  <c r="S866" i="1"/>
  <c r="N866" i="1"/>
  <c r="M866" i="1"/>
  <c r="O866" i="1" s="1"/>
  <c r="L866" i="1"/>
  <c r="Q866" i="1" s="1"/>
  <c r="P866" i="1" s="1"/>
  <c r="V865" i="1"/>
  <c r="U865" i="1"/>
  <c r="T865" i="1"/>
  <c r="S865" i="1"/>
  <c r="Q865" i="1"/>
  <c r="P865" i="1" s="1"/>
  <c r="N865" i="1"/>
  <c r="M865" i="1"/>
  <c r="L865" i="1"/>
  <c r="V864" i="1"/>
  <c r="U864" i="1"/>
  <c r="T864" i="1"/>
  <c r="S864" i="1"/>
  <c r="N864" i="1"/>
  <c r="M864" i="1"/>
  <c r="O864" i="1" s="1"/>
  <c r="L864" i="1"/>
  <c r="Q864" i="1" s="1"/>
  <c r="P864" i="1" s="1"/>
  <c r="V863" i="1"/>
  <c r="U863" i="1"/>
  <c r="T863" i="1"/>
  <c r="S863" i="1"/>
  <c r="N863" i="1"/>
  <c r="M863" i="1"/>
  <c r="L863" i="1"/>
  <c r="Q863" i="1" s="1"/>
  <c r="P863" i="1" s="1"/>
  <c r="V862" i="1"/>
  <c r="U862" i="1"/>
  <c r="T862" i="1"/>
  <c r="S862" i="1"/>
  <c r="N862" i="1"/>
  <c r="O862" i="1" s="1"/>
  <c r="M862" i="1"/>
  <c r="L862" i="1"/>
  <c r="Q862" i="1" s="1"/>
  <c r="P862" i="1" s="1"/>
  <c r="V861" i="1"/>
  <c r="U861" i="1"/>
  <c r="T861" i="1"/>
  <c r="S861" i="1"/>
  <c r="N861" i="1"/>
  <c r="M861" i="1"/>
  <c r="L861" i="1"/>
  <c r="Q861" i="1" s="1"/>
  <c r="P861" i="1" s="1"/>
  <c r="V860" i="1"/>
  <c r="U860" i="1"/>
  <c r="T860" i="1"/>
  <c r="S860" i="1"/>
  <c r="N860" i="1"/>
  <c r="M860" i="1"/>
  <c r="O860" i="1" s="1"/>
  <c r="L860" i="1"/>
  <c r="Q860" i="1" s="1"/>
  <c r="P860" i="1" s="1"/>
  <c r="V859" i="1"/>
  <c r="U859" i="1"/>
  <c r="T859" i="1"/>
  <c r="S859" i="1"/>
  <c r="N859" i="1"/>
  <c r="O859" i="1" s="1"/>
  <c r="M859" i="1"/>
  <c r="L859" i="1"/>
  <c r="Q859" i="1" s="1"/>
  <c r="P859" i="1" s="1"/>
  <c r="V858" i="1"/>
  <c r="U858" i="1"/>
  <c r="T858" i="1"/>
  <c r="S858" i="1"/>
  <c r="N858" i="1"/>
  <c r="M858" i="1"/>
  <c r="L858" i="1"/>
  <c r="Q858" i="1" s="1"/>
  <c r="P858" i="1" s="1"/>
  <c r="V857" i="1"/>
  <c r="U857" i="1"/>
  <c r="T857" i="1"/>
  <c r="S857" i="1"/>
  <c r="N857" i="1"/>
  <c r="M857" i="1"/>
  <c r="L857" i="1"/>
  <c r="Q857" i="1" s="1"/>
  <c r="P857" i="1" s="1"/>
  <c r="V856" i="1"/>
  <c r="U856" i="1"/>
  <c r="T856" i="1"/>
  <c r="S856" i="1"/>
  <c r="N856" i="1"/>
  <c r="M856" i="1"/>
  <c r="L856" i="1"/>
  <c r="Q856" i="1" s="1"/>
  <c r="P856" i="1" s="1"/>
  <c r="V855" i="1"/>
  <c r="U855" i="1"/>
  <c r="T855" i="1"/>
  <c r="S855" i="1"/>
  <c r="N855" i="1"/>
  <c r="M855" i="1"/>
  <c r="L855" i="1"/>
  <c r="Q855" i="1" s="1"/>
  <c r="P855" i="1" s="1"/>
  <c r="V854" i="1"/>
  <c r="U854" i="1"/>
  <c r="T854" i="1"/>
  <c r="S854" i="1"/>
  <c r="N854" i="1"/>
  <c r="O854" i="1" s="1"/>
  <c r="M854" i="1"/>
  <c r="L854" i="1"/>
  <c r="Q854" i="1" s="1"/>
  <c r="P854" i="1" s="1"/>
  <c r="V853" i="1"/>
  <c r="U853" i="1"/>
  <c r="T853" i="1"/>
  <c r="S853" i="1"/>
  <c r="N853" i="1"/>
  <c r="M853" i="1"/>
  <c r="O853" i="1" s="1"/>
  <c r="L853" i="1"/>
  <c r="Q853" i="1" s="1"/>
  <c r="P853" i="1" s="1"/>
  <c r="V852" i="1"/>
  <c r="U852" i="1"/>
  <c r="T852" i="1"/>
  <c r="S852" i="1"/>
  <c r="N852" i="1"/>
  <c r="M852" i="1"/>
  <c r="L852" i="1"/>
  <c r="Q852" i="1" s="1"/>
  <c r="P852" i="1" s="1"/>
  <c r="V851" i="1"/>
  <c r="U851" i="1"/>
  <c r="T851" i="1"/>
  <c r="S851" i="1"/>
  <c r="N851" i="1"/>
  <c r="M851" i="1"/>
  <c r="L851" i="1"/>
  <c r="Q851" i="1" s="1"/>
  <c r="P851" i="1" s="1"/>
  <c r="V850" i="1"/>
  <c r="U850" i="1"/>
  <c r="T850" i="1"/>
  <c r="S850" i="1"/>
  <c r="N850" i="1"/>
  <c r="O850" i="1" s="1"/>
  <c r="M850" i="1"/>
  <c r="L850" i="1"/>
  <c r="Q850" i="1" s="1"/>
  <c r="P850" i="1" s="1"/>
  <c r="V849" i="1"/>
  <c r="U849" i="1"/>
  <c r="T849" i="1"/>
  <c r="S849" i="1"/>
  <c r="N849" i="1"/>
  <c r="M849" i="1"/>
  <c r="O849" i="1" s="1"/>
  <c r="L849" i="1"/>
  <c r="Q849" i="1" s="1"/>
  <c r="P849" i="1" s="1"/>
  <c r="V848" i="1"/>
  <c r="U848" i="1"/>
  <c r="T848" i="1"/>
  <c r="S848" i="1"/>
  <c r="N848" i="1"/>
  <c r="M848" i="1"/>
  <c r="L848" i="1"/>
  <c r="Q848" i="1" s="1"/>
  <c r="P848" i="1" s="1"/>
  <c r="V847" i="1"/>
  <c r="U847" i="1"/>
  <c r="T847" i="1"/>
  <c r="S847" i="1"/>
  <c r="N847" i="1"/>
  <c r="M847" i="1"/>
  <c r="L847" i="1"/>
  <c r="Q847" i="1" s="1"/>
  <c r="P847" i="1" s="1"/>
  <c r="V846" i="1"/>
  <c r="U846" i="1"/>
  <c r="T846" i="1"/>
  <c r="S846" i="1"/>
  <c r="N846" i="1"/>
  <c r="M846" i="1"/>
  <c r="O846" i="1" s="1"/>
  <c r="L846" i="1"/>
  <c r="Q846" i="1" s="1"/>
  <c r="P846" i="1" s="1"/>
  <c r="V845" i="1"/>
  <c r="U845" i="1"/>
  <c r="T845" i="1"/>
  <c r="S845" i="1"/>
  <c r="N845" i="1"/>
  <c r="M845" i="1"/>
  <c r="L845" i="1"/>
  <c r="Q845" i="1" s="1"/>
  <c r="P845" i="1" s="1"/>
  <c r="V844" i="1"/>
  <c r="U844" i="1"/>
  <c r="T844" i="1"/>
  <c r="S844" i="1"/>
  <c r="N844" i="1"/>
  <c r="M844" i="1"/>
  <c r="L844" i="1"/>
  <c r="Q844" i="1" s="1"/>
  <c r="P844" i="1" s="1"/>
  <c r="V843" i="1"/>
  <c r="U843" i="1"/>
  <c r="T843" i="1"/>
  <c r="S843" i="1"/>
  <c r="Q843" i="1"/>
  <c r="P843" i="1" s="1"/>
  <c r="N843" i="1"/>
  <c r="M843" i="1"/>
  <c r="L843" i="1"/>
  <c r="V842" i="1"/>
  <c r="U842" i="1"/>
  <c r="T842" i="1"/>
  <c r="S842" i="1"/>
  <c r="P842" i="1"/>
  <c r="N842" i="1"/>
  <c r="M842" i="1"/>
  <c r="O842" i="1" s="1"/>
  <c r="L842" i="1"/>
  <c r="Q842" i="1" s="1"/>
  <c r="V841" i="1"/>
  <c r="U841" i="1"/>
  <c r="T841" i="1"/>
  <c r="S841" i="1"/>
  <c r="N841" i="1"/>
  <c r="M841" i="1"/>
  <c r="L841" i="1"/>
  <c r="Q841" i="1" s="1"/>
  <c r="P841" i="1" s="1"/>
  <c r="V840" i="1"/>
  <c r="U840" i="1"/>
  <c r="T840" i="1"/>
  <c r="S840" i="1"/>
  <c r="N840" i="1"/>
  <c r="M840" i="1"/>
  <c r="L840" i="1"/>
  <c r="Q840" i="1" s="1"/>
  <c r="P840" i="1" s="1"/>
  <c r="V839" i="1"/>
  <c r="U839" i="1"/>
  <c r="T839" i="1"/>
  <c r="S839" i="1"/>
  <c r="Q839" i="1"/>
  <c r="P839" i="1" s="1"/>
  <c r="N839" i="1"/>
  <c r="M839" i="1"/>
  <c r="O839" i="1" s="1"/>
  <c r="L839" i="1"/>
  <c r="V838" i="1"/>
  <c r="U838" i="1"/>
  <c r="T838" i="1"/>
  <c r="S838" i="1"/>
  <c r="N838" i="1"/>
  <c r="M838" i="1"/>
  <c r="O838" i="1" s="1"/>
  <c r="L838" i="1"/>
  <c r="Q838" i="1" s="1"/>
  <c r="P838" i="1" s="1"/>
  <c r="V837" i="1"/>
  <c r="U837" i="1"/>
  <c r="T837" i="1"/>
  <c r="S837" i="1"/>
  <c r="Q837" i="1"/>
  <c r="P837" i="1" s="1"/>
  <c r="N837" i="1"/>
  <c r="M837" i="1"/>
  <c r="O837" i="1" s="1"/>
  <c r="L837" i="1"/>
  <c r="V836" i="1"/>
  <c r="U836" i="1"/>
  <c r="T836" i="1"/>
  <c r="S836" i="1"/>
  <c r="N836" i="1"/>
  <c r="M836" i="1"/>
  <c r="L836" i="1"/>
  <c r="Q836" i="1" s="1"/>
  <c r="P836" i="1" s="1"/>
  <c r="V835" i="1"/>
  <c r="U835" i="1"/>
  <c r="T835" i="1"/>
  <c r="S835" i="1"/>
  <c r="N835" i="1"/>
  <c r="M835" i="1"/>
  <c r="L835" i="1"/>
  <c r="Q835" i="1" s="1"/>
  <c r="P835" i="1" s="1"/>
  <c r="V834" i="1"/>
  <c r="U834" i="1"/>
  <c r="T834" i="1"/>
  <c r="S834" i="1"/>
  <c r="Q834" i="1"/>
  <c r="P834" i="1" s="1"/>
  <c r="N834" i="1"/>
  <c r="M834" i="1"/>
  <c r="O834" i="1" s="1"/>
  <c r="L834" i="1"/>
  <c r="V833" i="1"/>
  <c r="U833" i="1"/>
  <c r="T833" i="1"/>
  <c r="S833" i="1"/>
  <c r="N833" i="1"/>
  <c r="M833" i="1"/>
  <c r="L833" i="1"/>
  <c r="Q833" i="1" s="1"/>
  <c r="P833" i="1" s="1"/>
  <c r="V832" i="1"/>
  <c r="U832" i="1"/>
  <c r="T832" i="1"/>
  <c r="S832" i="1"/>
  <c r="N832" i="1"/>
  <c r="M832" i="1"/>
  <c r="O832" i="1" s="1"/>
  <c r="L832" i="1"/>
  <c r="Q832" i="1" s="1"/>
  <c r="P832" i="1" s="1"/>
  <c r="V831" i="1"/>
  <c r="U831" i="1"/>
  <c r="T831" i="1"/>
  <c r="S831" i="1"/>
  <c r="N831" i="1"/>
  <c r="M831" i="1"/>
  <c r="L831" i="1"/>
  <c r="Q831" i="1" s="1"/>
  <c r="P831" i="1" s="1"/>
  <c r="V830" i="1"/>
  <c r="U830" i="1"/>
  <c r="T830" i="1"/>
  <c r="S830" i="1"/>
  <c r="Q830" i="1"/>
  <c r="P830" i="1" s="1"/>
  <c r="N830" i="1"/>
  <c r="M830" i="1"/>
  <c r="L830" i="1"/>
  <c r="V829" i="1"/>
  <c r="U829" i="1"/>
  <c r="T829" i="1"/>
  <c r="S829" i="1"/>
  <c r="Q829" i="1"/>
  <c r="P829" i="1" s="1"/>
  <c r="N829" i="1"/>
  <c r="M829" i="1"/>
  <c r="L829" i="1"/>
  <c r="V828" i="1"/>
  <c r="U828" i="1"/>
  <c r="T828" i="1"/>
  <c r="S828" i="1"/>
  <c r="O828" i="1"/>
  <c r="N828" i="1"/>
  <c r="M828" i="1"/>
  <c r="L828" i="1"/>
  <c r="Q828" i="1" s="1"/>
  <c r="P828" i="1" s="1"/>
  <c r="V827" i="1"/>
  <c r="U827" i="1"/>
  <c r="T827" i="1"/>
  <c r="S827" i="1"/>
  <c r="Q827" i="1"/>
  <c r="P827" i="1" s="1"/>
  <c r="N827" i="1"/>
  <c r="M827" i="1"/>
  <c r="O827" i="1" s="1"/>
  <c r="L827" i="1"/>
  <c r="V826" i="1"/>
  <c r="U826" i="1"/>
  <c r="T826" i="1"/>
  <c r="S826" i="1"/>
  <c r="N826" i="1"/>
  <c r="O826" i="1" s="1"/>
  <c r="M826" i="1"/>
  <c r="L826" i="1"/>
  <c r="Q826" i="1" s="1"/>
  <c r="P826" i="1" s="1"/>
  <c r="V825" i="1"/>
  <c r="U825" i="1"/>
  <c r="T825" i="1"/>
  <c r="S825" i="1"/>
  <c r="N825" i="1"/>
  <c r="M825" i="1"/>
  <c r="L825" i="1"/>
  <c r="Q825" i="1" s="1"/>
  <c r="P825" i="1" s="1"/>
  <c r="V824" i="1"/>
  <c r="U824" i="1"/>
  <c r="T824" i="1"/>
  <c r="S824" i="1"/>
  <c r="N824" i="1"/>
  <c r="M824" i="1"/>
  <c r="L824" i="1"/>
  <c r="Q824" i="1" s="1"/>
  <c r="P824" i="1" s="1"/>
  <c r="V823" i="1"/>
  <c r="U823" i="1"/>
  <c r="T823" i="1"/>
  <c r="S823" i="1"/>
  <c r="N823" i="1"/>
  <c r="M823" i="1"/>
  <c r="L823" i="1"/>
  <c r="Q823" i="1" s="1"/>
  <c r="P823" i="1" s="1"/>
  <c r="V822" i="1"/>
  <c r="U822" i="1"/>
  <c r="T822" i="1"/>
  <c r="S822" i="1"/>
  <c r="N822" i="1"/>
  <c r="M822" i="1"/>
  <c r="L822" i="1"/>
  <c r="Q822" i="1" s="1"/>
  <c r="P822" i="1" s="1"/>
  <c r="V821" i="1"/>
  <c r="U821" i="1"/>
  <c r="T821" i="1"/>
  <c r="S821" i="1"/>
  <c r="N821" i="1"/>
  <c r="M821" i="1"/>
  <c r="L821" i="1"/>
  <c r="Q821" i="1" s="1"/>
  <c r="P821" i="1" s="1"/>
  <c r="V820" i="1"/>
  <c r="U820" i="1"/>
  <c r="T820" i="1"/>
  <c r="S820" i="1"/>
  <c r="N820" i="1"/>
  <c r="M820" i="1"/>
  <c r="L820" i="1"/>
  <c r="Q820" i="1" s="1"/>
  <c r="P820" i="1" s="1"/>
  <c r="V819" i="1"/>
  <c r="U819" i="1"/>
  <c r="T819" i="1"/>
  <c r="S819" i="1"/>
  <c r="N819" i="1"/>
  <c r="M819" i="1"/>
  <c r="L819" i="1"/>
  <c r="Q819" i="1" s="1"/>
  <c r="P819" i="1" s="1"/>
  <c r="V818" i="1"/>
  <c r="U818" i="1"/>
  <c r="T818" i="1"/>
  <c r="S818" i="1"/>
  <c r="N818" i="1"/>
  <c r="O818" i="1" s="1"/>
  <c r="M818" i="1"/>
  <c r="L818" i="1"/>
  <c r="Q818" i="1" s="1"/>
  <c r="P818" i="1" s="1"/>
  <c r="V817" i="1"/>
  <c r="U817" i="1"/>
  <c r="T817" i="1"/>
  <c r="S817" i="1"/>
  <c r="N817" i="1"/>
  <c r="M817" i="1"/>
  <c r="O817" i="1" s="1"/>
  <c r="L817" i="1"/>
  <c r="Q817" i="1" s="1"/>
  <c r="P817" i="1" s="1"/>
  <c r="V816" i="1"/>
  <c r="U816" i="1"/>
  <c r="T816" i="1"/>
  <c r="S816" i="1"/>
  <c r="N816" i="1"/>
  <c r="O816" i="1" s="1"/>
  <c r="M816" i="1"/>
  <c r="L816" i="1"/>
  <c r="Q816" i="1" s="1"/>
  <c r="P816" i="1" s="1"/>
  <c r="V815" i="1"/>
  <c r="U815" i="1"/>
  <c r="T815" i="1"/>
  <c r="S815" i="1"/>
  <c r="N815" i="1"/>
  <c r="M815" i="1"/>
  <c r="L815" i="1"/>
  <c r="Q815" i="1" s="1"/>
  <c r="P815" i="1" s="1"/>
  <c r="V814" i="1"/>
  <c r="U814" i="1"/>
  <c r="T814" i="1"/>
  <c r="S814" i="1"/>
  <c r="Q814" i="1"/>
  <c r="P814" i="1" s="1"/>
  <c r="N814" i="1"/>
  <c r="M814" i="1"/>
  <c r="O814" i="1" s="1"/>
  <c r="L814" i="1"/>
  <c r="V813" i="1"/>
  <c r="U813" i="1"/>
  <c r="T813" i="1"/>
  <c r="S813" i="1"/>
  <c r="N813" i="1"/>
  <c r="M813" i="1"/>
  <c r="L813" i="1"/>
  <c r="Q813" i="1" s="1"/>
  <c r="P813" i="1" s="1"/>
  <c r="V812" i="1"/>
  <c r="U812" i="1"/>
  <c r="T812" i="1"/>
  <c r="S812" i="1"/>
  <c r="N812" i="1"/>
  <c r="M812" i="1"/>
  <c r="L812" i="1"/>
  <c r="Q812" i="1" s="1"/>
  <c r="P812" i="1" s="1"/>
  <c r="V811" i="1"/>
  <c r="U811" i="1"/>
  <c r="T811" i="1"/>
  <c r="S811" i="1"/>
  <c r="Q811" i="1"/>
  <c r="P811" i="1" s="1"/>
  <c r="N811" i="1"/>
  <c r="M811" i="1"/>
  <c r="O811" i="1" s="1"/>
  <c r="L811" i="1"/>
  <c r="V810" i="1"/>
  <c r="U810" i="1"/>
  <c r="T810" i="1"/>
  <c r="S810" i="1"/>
  <c r="N810" i="1"/>
  <c r="O810" i="1" s="1"/>
  <c r="M810" i="1"/>
  <c r="L810" i="1"/>
  <c r="Q810" i="1" s="1"/>
  <c r="P810" i="1" s="1"/>
  <c r="V809" i="1"/>
  <c r="U809" i="1"/>
  <c r="T809" i="1"/>
  <c r="S809" i="1"/>
  <c r="N809" i="1"/>
  <c r="M809" i="1"/>
  <c r="L809" i="1"/>
  <c r="Q809" i="1" s="1"/>
  <c r="P809" i="1" s="1"/>
  <c r="V808" i="1"/>
  <c r="U808" i="1"/>
  <c r="T808" i="1"/>
  <c r="S808" i="1"/>
  <c r="N808" i="1"/>
  <c r="M808" i="1"/>
  <c r="L808" i="1"/>
  <c r="Q808" i="1" s="1"/>
  <c r="P808" i="1" s="1"/>
  <c r="V807" i="1"/>
  <c r="U807" i="1"/>
  <c r="T807" i="1"/>
  <c r="S807" i="1"/>
  <c r="N807" i="1"/>
  <c r="M807" i="1"/>
  <c r="L807" i="1"/>
  <c r="Q807" i="1" s="1"/>
  <c r="P807" i="1" s="1"/>
  <c r="V806" i="1"/>
  <c r="U806" i="1"/>
  <c r="T806" i="1"/>
  <c r="S806" i="1"/>
  <c r="N806" i="1"/>
  <c r="M806" i="1"/>
  <c r="L806" i="1"/>
  <c r="Q806" i="1" s="1"/>
  <c r="P806" i="1" s="1"/>
  <c r="V805" i="1"/>
  <c r="U805" i="1"/>
  <c r="T805" i="1"/>
  <c r="S805" i="1"/>
  <c r="N805" i="1"/>
  <c r="M805" i="1"/>
  <c r="L805" i="1"/>
  <c r="Q805" i="1" s="1"/>
  <c r="P805" i="1" s="1"/>
  <c r="V804" i="1"/>
  <c r="U804" i="1"/>
  <c r="T804" i="1"/>
  <c r="S804" i="1"/>
  <c r="N804" i="1"/>
  <c r="M804" i="1"/>
  <c r="O804" i="1" s="1"/>
  <c r="L804" i="1"/>
  <c r="Q804" i="1" s="1"/>
  <c r="P804" i="1" s="1"/>
  <c r="V803" i="1"/>
  <c r="U803" i="1"/>
  <c r="T803" i="1"/>
  <c r="S803" i="1"/>
  <c r="N803" i="1"/>
  <c r="M803" i="1"/>
  <c r="L803" i="1"/>
  <c r="Q803" i="1" s="1"/>
  <c r="P803" i="1" s="1"/>
  <c r="V802" i="1"/>
  <c r="U802" i="1"/>
  <c r="T802" i="1"/>
  <c r="S802" i="1"/>
  <c r="N802" i="1"/>
  <c r="M802" i="1"/>
  <c r="L802" i="1"/>
  <c r="Q802" i="1" s="1"/>
  <c r="P802" i="1" s="1"/>
  <c r="V801" i="1"/>
  <c r="U801" i="1"/>
  <c r="T801" i="1"/>
  <c r="S801" i="1"/>
  <c r="N801" i="1"/>
  <c r="M801" i="1"/>
  <c r="L801" i="1"/>
  <c r="Q801" i="1" s="1"/>
  <c r="P801" i="1" s="1"/>
  <c r="V800" i="1"/>
  <c r="U800" i="1"/>
  <c r="T800" i="1"/>
  <c r="S800" i="1"/>
  <c r="N800" i="1"/>
  <c r="M800" i="1"/>
  <c r="O800" i="1" s="1"/>
  <c r="L800" i="1"/>
  <c r="Q800" i="1" s="1"/>
  <c r="P800" i="1" s="1"/>
  <c r="V799" i="1"/>
  <c r="U799" i="1"/>
  <c r="T799" i="1"/>
  <c r="S799" i="1"/>
  <c r="N799" i="1"/>
  <c r="M799" i="1"/>
  <c r="L799" i="1"/>
  <c r="Q799" i="1" s="1"/>
  <c r="P799" i="1" s="1"/>
  <c r="V798" i="1"/>
  <c r="U798" i="1"/>
  <c r="T798" i="1"/>
  <c r="S798" i="1"/>
  <c r="N798" i="1"/>
  <c r="M798" i="1"/>
  <c r="L798" i="1"/>
  <c r="Q798" i="1" s="1"/>
  <c r="P798" i="1" s="1"/>
  <c r="V797" i="1"/>
  <c r="U797" i="1"/>
  <c r="T797" i="1"/>
  <c r="S797" i="1"/>
  <c r="Q797" i="1"/>
  <c r="P797" i="1" s="1"/>
  <c r="N797" i="1"/>
  <c r="M797" i="1"/>
  <c r="L797" i="1"/>
  <c r="V796" i="1"/>
  <c r="U796" i="1"/>
  <c r="T796" i="1"/>
  <c r="S796" i="1"/>
  <c r="N796" i="1"/>
  <c r="M796" i="1"/>
  <c r="O796" i="1" s="1"/>
  <c r="L796" i="1"/>
  <c r="Q796" i="1" s="1"/>
  <c r="P796" i="1" s="1"/>
  <c r="V795" i="1"/>
  <c r="U795" i="1"/>
  <c r="T795" i="1"/>
  <c r="S795" i="1"/>
  <c r="N795" i="1"/>
  <c r="M795" i="1"/>
  <c r="L795" i="1"/>
  <c r="Q795" i="1" s="1"/>
  <c r="P795" i="1" s="1"/>
  <c r="V794" i="1"/>
  <c r="U794" i="1"/>
  <c r="T794" i="1"/>
  <c r="S794" i="1"/>
  <c r="N794" i="1"/>
  <c r="M794" i="1"/>
  <c r="L794" i="1"/>
  <c r="Q794" i="1" s="1"/>
  <c r="P794" i="1" s="1"/>
  <c r="V793" i="1"/>
  <c r="U793" i="1"/>
  <c r="T793" i="1"/>
  <c r="S793" i="1"/>
  <c r="N793" i="1"/>
  <c r="M793" i="1"/>
  <c r="L793" i="1"/>
  <c r="Q793" i="1" s="1"/>
  <c r="P793" i="1" s="1"/>
  <c r="V792" i="1"/>
  <c r="U792" i="1"/>
  <c r="T792" i="1"/>
  <c r="S792" i="1"/>
  <c r="N792" i="1"/>
  <c r="M792" i="1"/>
  <c r="L792" i="1"/>
  <c r="Q792" i="1" s="1"/>
  <c r="P792" i="1" s="1"/>
  <c r="V791" i="1"/>
  <c r="U791" i="1"/>
  <c r="T791" i="1"/>
  <c r="S791" i="1"/>
  <c r="N791" i="1"/>
  <c r="M791" i="1"/>
  <c r="L791" i="1"/>
  <c r="Q791" i="1" s="1"/>
  <c r="P791" i="1" s="1"/>
  <c r="V790" i="1"/>
  <c r="U790" i="1"/>
  <c r="T790" i="1"/>
  <c r="S790" i="1"/>
  <c r="N790" i="1"/>
  <c r="M790" i="1"/>
  <c r="L790" i="1"/>
  <c r="Q790" i="1" s="1"/>
  <c r="P790" i="1" s="1"/>
  <c r="V789" i="1"/>
  <c r="U789" i="1"/>
  <c r="T789" i="1"/>
  <c r="S789" i="1"/>
  <c r="N789" i="1"/>
  <c r="M789" i="1"/>
  <c r="L789" i="1"/>
  <c r="Q789" i="1" s="1"/>
  <c r="P789" i="1" s="1"/>
  <c r="V788" i="1"/>
  <c r="U788" i="1"/>
  <c r="T788" i="1"/>
  <c r="S788" i="1"/>
  <c r="N788" i="1"/>
  <c r="O788" i="1" s="1"/>
  <c r="M788" i="1"/>
  <c r="L788" i="1"/>
  <c r="Q788" i="1" s="1"/>
  <c r="P788" i="1" s="1"/>
  <c r="V787" i="1"/>
  <c r="U787" i="1"/>
  <c r="T787" i="1"/>
  <c r="S787" i="1"/>
  <c r="N787" i="1"/>
  <c r="M787" i="1"/>
  <c r="L787" i="1"/>
  <c r="Q787" i="1" s="1"/>
  <c r="P787" i="1" s="1"/>
  <c r="V786" i="1"/>
  <c r="U786" i="1"/>
  <c r="T786" i="1"/>
  <c r="S786" i="1"/>
  <c r="N786" i="1"/>
  <c r="M786" i="1"/>
  <c r="L786" i="1"/>
  <c r="Q786" i="1" s="1"/>
  <c r="P786" i="1" s="1"/>
  <c r="V785" i="1"/>
  <c r="U785" i="1"/>
  <c r="T785" i="1"/>
  <c r="S785" i="1"/>
  <c r="N785" i="1"/>
  <c r="M785" i="1"/>
  <c r="L785" i="1"/>
  <c r="Q785" i="1" s="1"/>
  <c r="P785" i="1" s="1"/>
  <c r="V784" i="1"/>
  <c r="U784" i="1"/>
  <c r="T784" i="1"/>
  <c r="S784" i="1"/>
  <c r="N784" i="1"/>
  <c r="M784" i="1"/>
  <c r="O784" i="1" s="1"/>
  <c r="L784" i="1"/>
  <c r="Q784" i="1" s="1"/>
  <c r="P784" i="1" s="1"/>
  <c r="V783" i="1"/>
  <c r="U783" i="1"/>
  <c r="T783" i="1"/>
  <c r="S783" i="1"/>
  <c r="N783" i="1"/>
  <c r="O783" i="1" s="1"/>
  <c r="M783" i="1"/>
  <c r="L783" i="1"/>
  <c r="Q783" i="1" s="1"/>
  <c r="P783" i="1" s="1"/>
  <c r="V782" i="1"/>
  <c r="U782" i="1"/>
  <c r="T782" i="1"/>
  <c r="S782" i="1"/>
  <c r="N782" i="1"/>
  <c r="M782" i="1"/>
  <c r="L782" i="1"/>
  <c r="Q782" i="1" s="1"/>
  <c r="P782" i="1" s="1"/>
  <c r="V781" i="1"/>
  <c r="U781" i="1"/>
  <c r="T781" i="1"/>
  <c r="S781" i="1"/>
  <c r="N781" i="1"/>
  <c r="M781" i="1"/>
  <c r="L781" i="1"/>
  <c r="Q781" i="1" s="1"/>
  <c r="P781" i="1" s="1"/>
  <c r="V780" i="1"/>
  <c r="U780" i="1"/>
  <c r="T780" i="1"/>
  <c r="S780" i="1"/>
  <c r="N780" i="1"/>
  <c r="M780" i="1"/>
  <c r="L780" i="1"/>
  <c r="Q780" i="1" s="1"/>
  <c r="P780" i="1" s="1"/>
  <c r="V779" i="1"/>
  <c r="U779" i="1"/>
  <c r="T779" i="1"/>
  <c r="S779" i="1"/>
  <c r="N779" i="1"/>
  <c r="M779" i="1"/>
  <c r="O779" i="1" s="1"/>
  <c r="L779" i="1"/>
  <c r="Q779" i="1" s="1"/>
  <c r="P779" i="1" s="1"/>
  <c r="V778" i="1"/>
  <c r="U778" i="1"/>
  <c r="T778" i="1"/>
  <c r="S778" i="1"/>
  <c r="N778" i="1"/>
  <c r="M778" i="1"/>
  <c r="L778" i="1"/>
  <c r="Q778" i="1" s="1"/>
  <c r="P778" i="1" s="1"/>
  <c r="V777" i="1"/>
  <c r="U777" i="1"/>
  <c r="T777" i="1"/>
  <c r="S777" i="1"/>
  <c r="N777" i="1"/>
  <c r="M777" i="1"/>
  <c r="L777" i="1"/>
  <c r="Q777" i="1" s="1"/>
  <c r="P777" i="1" s="1"/>
  <c r="V776" i="1"/>
  <c r="U776" i="1"/>
  <c r="T776" i="1"/>
  <c r="S776" i="1"/>
  <c r="N776" i="1"/>
  <c r="M776" i="1"/>
  <c r="L776" i="1"/>
  <c r="Q776" i="1" s="1"/>
  <c r="P776" i="1" s="1"/>
  <c r="V775" i="1"/>
  <c r="U775" i="1"/>
  <c r="T775" i="1"/>
  <c r="S775" i="1"/>
  <c r="Q775" i="1"/>
  <c r="P775" i="1" s="1"/>
  <c r="N775" i="1"/>
  <c r="M775" i="1"/>
  <c r="L775" i="1"/>
  <c r="V774" i="1"/>
  <c r="U774" i="1"/>
  <c r="T774" i="1"/>
  <c r="S774" i="1"/>
  <c r="N774" i="1"/>
  <c r="O774" i="1" s="1"/>
  <c r="M774" i="1"/>
  <c r="L774" i="1"/>
  <c r="Q774" i="1" s="1"/>
  <c r="P774" i="1" s="1"/>
  <c r="V773" i="1"/>
  <c r="U773" i="1"/>
  <c r="T773" i="1"/>
  <c r="S773" i="1"/>
  <c r="N773" i="1"/>
  <c r="M773" i="1"/>
  <c r="L773" i="1"/>
  <c r="Q773" i="1" s="1"/>
  <c r="P773" i="1" s="1"/>
  <c r="V772" i="1"/>
  <c r="U772" i="1"/>
  <c r="T772" i="1"/>
  <c r="S772" i="1"/>
  <c r="N772" i="1"/>
  <c r="O772" i="1" s="1"/>
  <c r="M772" i="1"/>
  <c r="L772" i="1"/>
  <c r="Q772" i="1" s="1"/>
  <c r="P772" i="1" s="1"/>
  <c r="V771" i="1"/>
  <c r="U771" i="1"/>
  <c r="T771" i="1"/>
  <c r="S771" i="1"/>
  <c r="N771" i="1"/>
  <c r="M771" i="1"/>
  <c r="L771" i="1"/>
  <c r="Q771" i="1" s="1"/>
  <c r="P771" i="1" s="1"/>
  <c r="V770" i="1"/>
  <c r="U770" i="1"/>
  <c r="T770" i="1"/>
  <c r="S770" i="1"/>
  <c r="N770" i="1"/>
  <c r="O770" i="1" s="1"/>
  <c r="M770" i="1"/>
  <c r="L770" i="1"/>
  <c r="Q770" i="1" s="1"/>
  <c r="P770" i="1" s="1"/>
  <c r="V769" i="1"/>
  <c r="U769" i="1"/>
  <c r="T769" i="1"/>
  <c r="S769" i="1"/>
  <c r="N769" i="1"/>
  <c r="M769" i="1"/>
  <c r="L769" i="1"/>
  <c r="Q769" i="1" s="1"/>
  <c r="P769" i="1" s="1"/>
  <c r="V768" i="1"/>
  <c r="U768" i="1"/>
  <c r="T768" i="1"/>
  <c r="S768" i="1"/>
  <c r="P768" i="1"/>
  <c r="N768" i="1"/>
  <c r="M768" i="1"/>
  <c r="O768" i="1" s="1"/>
  <c r="L768" i="1"/>
  <c r="Q768" i="1" s="1"/>
  <c r="V767" i="1"/>
  <c r="U767" i="1"/>
  <c r="T767" i="1"/>
  <c r="S767" i="1"/>
  <c r="N767" i="1"/>
  <c r="O767" i="1" s="1"/>
  <c r="M767" i="1"/>
  <c r="L767" i="1"/>
  <c r="Q767" i="1" s="1"/>
  <c r="P767" i="1" s="1"/>
  <c r="V766" i="1"/>
  <c r="U766" i="1"/>
  <c r="T766" i="1"/>
  <c r="S766" i="1"/>
  <c r="N766" i="1"/>
  <c r="M766" i="1"/>
  <c r="L766" i="1"/>
  <c r="Q766" i="1" s="1"/>
  <c r="P766" i="1" s="1"/>
  <c r="V765" i="1"/>
  <c r="U765" i="1"/>
  <c r="T765" i="1"/>
  <c r="S765" i="1"/>
  <c r="N765" i="1"/>
  <c r="M765" i="1"/>
  <c r="L765" i="1"/>
  <c r="Q765" i="1" s="1"/>
  <c r="P765" i="1" s="1"/>
  <c r="V764" i="1"/>
  <c r="U764" i="1"/>
  <c r="T764" i="1"/>
  <c r="S764" i="1"/>
  <c r="N764" i="1"/>
  <c r="M764" i="1"/>
  <c r="L764" i="1"/>
  <c r="Q764" i="1" s="1"/>
  <c r="P764" i="1" s="1"/>
  <c r="V763" i="1"/>
  <c r="U763" i="1"/>
  <c r="T763" i="1"/>
  <c r="S763" i="1"/>
  <c r="N763" i="1"/>
  <c r="M763" i="1"/>
  <c r="L763" i="1"/>
  <c r="Q763" i="1" s="1"/>
  <c r="P763" i="1" s="1"/>
  <c r="V762" i="1"/>
  <c r="U762" i="1"/>
  <c r="T762" i="1"/>
  <c r="S762" i="1"/>
  <c r="N762" i="1"/>
  <c r="O762" i="1" s="1"/>
  <c r="M762" i="1"/>
  <c r="L762" i="1"/>
  <c r="Q762" i="1" s="1"/>
  <c r="P762" i="1" s="1"/>
  <c r="V761" i="1"/>
  <c r="U761" i="1"/>
  <c r="T761" i="1"/>
  <c r="S761" i="1"/>
  <c r="N761" i="1"/>
  <c r="M761" i="1"/>
  <c r="L761" i="1"/>
  <c r="Q761" i="1" s="1"/>
  <c r="P761" i="1" s="1"/>
  <c r="V760" i="1"/>
  <c r="U760" i="1"/>
  <c r="T760" i="1"/>
  <c r="S760" i="1"/>
  <c r="N760" i="1"/>
  <c r="M760" i="1"/>
  <c r="L760" i="1"/>
  <c r="Q760" i="1" s="1"/>
  <c r="P760" i="1" s="1"/>
  <c r="V759" i="1"/>
  <c r="U759" i="1"/>
  <c r="T759" i="1"/>
  <c r="S759" i="1"/>
  <c r="N759" i="1"/>
  <c r="M759" i="1"/>
  <c r="L759" i="1"/>
  <c r="Q759" i="1" s="1"/>
  <c r="P759" i="1" s="1"/>
  <c r="V758" i="1"/>
  <c r="U758" i="1"/>
  <c r="T758" i="1"/>
  <c r="S758" i="1"/>
  <c r="N758" i="1"/>
  <c r="M758" i="1"/>
  <c r="L758" i="1"/>
  <c r="Q758" i="1" s="1"/>
  <c r="P758" i="1" s="1"/>
  <c r="V757" i="1"/>
  <c r="U757" i="1"/>
  <c r="T757" i="1"/>
  <c r="S757" i="1"/>
  <c r="Q757" i="1"/>
  <c r="P757" i="1" s="1"/>
  <c r="N757" i="1"/>
  <c r="M757" i="1"/>
  <c r="O757" i="1" s="1"/>
  <c r="L757" i="1"/>
  <c r="V756" i="1"/>
  <c r="U756" i="1"/>
  <c r="T756" i="1"/>
  <c r="S756" i="1"/>
  <c r="N756" i="1"/>
  <c r="M756" i="1"/>
  <c r="L756" i="1"/>
  <c r="Q756" i="1" s="1"/>
  <c r="P756" i="1" s="1"/>
  <c r="V755" i="1"/>
  <c r="U755" i="1"/>
  <c r="T755" i="1"/>
  <c r="S755" i="1"/>
  <c r="Q755" i="1"/>
  <c r="P755" i="1" s="1"/>
  <c r="N755" i="1"/>
  <c r="M755" i="1"/>
  <c r="L755" i="1"/>
  <c r="V754" i="1"/>
  <c r="U754" i="1"/>
  <c r="T754" i="1"/>
  <c r="S754" i="1"/>
  <c r="N754" i="1"/>
  <c r="M754" i="1"/>
  <c r="O754" i="1" s="1"/>
  <c r="L754" i="1"/>
  <c r="Q754" i="1" s="1"/>
  <c r="P754" i="1" s="1"/>
  <c r="V753" i="1"/>
  <c r="U753" i="1"/>
  <c r="T753" i="1"/>
  <c r="S753" i="1"/>
  <c r="Q753" i="1"/>
  <c r="P753" i="1" s="1"/>
  <c r="N753" i="1"/>
  <c r="M753" i="1"/>
  <c r="O753" i="1" s="1"/>
  <c r="L753" i="1"/>
  <c r="V752" i="1"/>
  <c r="U752" i="1"/>
  <c r="T752" i="1"/>
  <c r="S752" i="1"/>
  <c r="N752" i="1"/>
  <c r="M752" i="1"/>
  <c r="L752" i="1"/>
  <c r="Q752" i="1" s="1"/>
  <c r="P752" i="1" s="1"/>
  <c r="V751" i="1"/>
  <c r="U751" i="1"/>
  <c r="T751" i="1"/>
  <c r="S751" i="1"/>
  <c r="Q751" i="1"/>
  <c r="P751" i="1" s="1"/>
  <c r="N751" i="1"/>
  <c r="M751" i="1"/>
  <c r="O751" i="1" s="1"/>
  <c r="L751" i="1"/>
  <c r="V750" i="1"/>
  <c r="U750" i="1"/>
  <c r="T750" i="1"/>
  <c r="S750" i="1"/>
  <c r="P750" i="1"/>
  <c r="N750" i="1"/>
  <c r="M750" i="1"/>
  <c r="O750" i="1" s="1"/>
  <c r="L750" i="1"/>
  <c r="Q750" i="1" s="1"/>
  <c r="V749" i="1"/>
  <c r="U749" i="1"/>
  <c r="T749" i="1"/>
  <c r="S749" i="1"/>
  <c r="N749" i="1"/>
  <c r="O749" i="1" s="1"/>
  <c r="M749" i="1"/>
  <c r="L749" i="1"/>
  <c r="Q749" i="1" s="1"/>
  <c r="P749" i="1" s="1"/>
  <c r="V748" i="1"/>
  <c r="U748" i="1"/>
  <c r="T748" i="1"/>
  <c r="S748" i="1"/>
  <c r="N748" i="1"/>
  <c r="M748" i="1"/>
  <c r="L748" i="1"/>
  <c r="Q748" i="1" s="1"/>
  <c r="P748" i="1" s="1"/>
  <c r="V747" i="1"/>
  <c r="U747" i="1"/>
  <c r="T747" i="1"/>
  <c r="S747" i="1"/>
  <c r="Q747" i="1"/>
  <c r="P747" i="1" s="1"/>
  <c r="N747" i="1"/>
  <c r="M747" i="1"/>
  <c r="O747" i="1" s="1"/>
  <c r="L747" i="1"/>
  <c r="V746" i="1"/>
  <c r="U746" i="1"/>
  <c r="T746" i="1"/>
  <c r="S746" i="1"/>
  <c r="N746" i="1"/>
  <c r="M746" i="1"/>
  <c r="L746" i="1"/>
  <c r="Q746" i="1" s="1"/>
  <c r="P746" i="1" s="1"/>
  <c r="V745" i="1"/>
  <c r="U745" i="1"/>
  <c r="T745" i="1"/>
  <c r="S745" i="1"/>
  <c r="N745" i="1"/>
  <c r="M745" i="1"/>
  <c r="O745" i="1" s="1"/>
  <c r="L745" i="1"/>
  <c r="Q745" i="1" s="1"/>
  <c r="P745" i="1" s="1"/>
  <c r="V744" i="1"/>
  <c r="U744" i="1"/>
  <c r="T744" i="1"/>
  <c r="S744" i="1"/>
  <c r="N744" i="1"/>
  <c r="O744" i="1" s="1"/>
  <c r="M744" i="1"/>
  <c r="L744" i="1"/>
  <c r="Q744" i="1" s="1"/>
  <c r="P744" i="1" s="1"/>
  <c r="V743" i="1"/>
  <c r="U743" i="1"/>
  <c r="T743" i="1"/>
  <c r="S743" i="1"/>
  <c r="N743" i="1"/>
  <c r="M743" i="1"/>
  <c r="L743" i="1"/>
  <c r="Q743" i="1" s="1"/>
  <c r="P743" i="1" s="1"/>
  <c r="V742" i="1"/>
  <c r="U742" i="1"/>
  <c r="T742" i="1"/>
  <c r="S742" i="1"/>
  <c r="P742" i="1"/>
  <c r="N742" i="1"/>
  <c r="M742" i="1"/>
  <c r="O742" i="1" s="1"/>
  <c r="L742" i="1"/>
  <c r="Q742" i="1" s="1"/>
  <c r="V741" i="1"/>
  <c r="U741" i="1"/>
  <c r="T741" i="1"/>
  <c r="S741" i="1"/>
  <c r="N741" i="1"/>
  <c r="M741" i="1"/>
  <c r="L741" i="1"/>
  <c r="Q741" i="1" s="1"/>
  <c r="P741" i="1" s="1"/>
  <c r="V740" i="1"/>
  <c r="U740" i="1"/>
  <c r="T740" i="1"/>
  <c r="S740" i="1"/>
  <c r="N740" i="1"/>
  <c r="M740" i="1"/>
  <c r="O740" i="1" s="1"/>
  <c r="L740" i="1"/>
  <c r="Q740" i="1" s="1"/>
  <c r="P740" i="1" s="1"/>
  <c r="V739" i="1"/>
  <c r="U739" i="1"/>
  <c r="T739" i="1"/>
  <c r="S739" i="1"/>
  <c r="N739" i="1"/>
  <c r="M739" i="1"/>
  <c r="L739" i="1"/>
  <c r="Q739" i="1" s="1"/>
  <c r="P739" i="1" s="1"/>
  <c r="V738" i="1"/>
  <c r="U738" i="1"/>
  <c r="T738" i="1"/>
  <c r="S738" i="1"/>
  <c r="N738" i="1"/>
  <c r="M738" i="1"/>
  <c r="O738" i="1" s="1"/>
  <c r="L738" i="1"/>
  <c r="Q738" i="1" s="1"/>
  <c r="P738" i="1" s="1"/>
  <c r="V737" i="1"/>
  <c r="U737" i="1"/>
  <c r="T737" i="1"/>
  <c r="S737" i="1"/>
  <c r="N737" i="1"/>
  <c r="M737" i="1"/>
  <c r="L737" i="1"/>
  <c r="Q737" i="1" s="1"/>
  <c r="P737" i="1" s="1"/>
  <c r="V736" i="1"/>
  <c r="U736" i="1"/>
  <c r="T736" i="1"/>
  <c r="S736" i="1"/>
  <c r="N736" i="1"/>
  <c r="M736" i="1"/>
  <c r="O736" i="1" s="1"/>
  <c r="L736" i="1"/>
  <c r="Q736" i="1" s="1"/>
  <c r="P736" i="1" s="1"/>
  <c r="V735" i="1"/>
  <c r="U735" i="1"/>
  <c r="T735" i="1"/>
  <c r="S735" i="1"/>
  <c r="N735" i="1"/>
  <c r="M735" i="1"/>
  <c r="L735" i="1"/>
  <c r="Q735" i="1" s="1"/>
  <c r="P735" i="1" s="1"/>
  <c r="V734" i="1"/>
  <c r="U734" i="1"/>
  <c r="T734" i="1"/>
  <c r="S734" i="1"/>
  <c r="N734" i="1"/>
  <c r="M734" i="1"/>
  <c r="L734" i="1"/>
  <c r="Q734" i="1" s="1"/>
  <c r="P734" i="1" s="1"/>
  <c r="V733" i="1"/>
  <c r="U733" i="1"/>
  <c r="T733" i="1"/>
  <c r="S733" i="1"/>
  <c r="O733" i="1"/>
  <c r="N733" i="1"/>
  <c r="M733" i="1"/>
  <c r="L733" i="1"/>
  <c r="Q733" i="1" s="1"/>
  <c r="P733" i="1" s="1"/>
  <c r="V732" i="1"/>
  <c r="U732" i="1"/>
  <c r="T732" i="1"/>
  <c r="S732" i="1"/>
  <c r="Q732" i="1"/>
  <c r="P732" i="1" s="1"/>
  <c r="N732" i="1"/>
  <c r="M732" i="1"/>
  <c r="L732" i="1"/>
  <c r="V731" i="1"/>
  <c r="U731" i="1"/>
  <c r="T731" i="1"/>
  <c r="S731" i="1"/>
  <c r="N731" i="1"/>
  <c r="M731" i="1"/>
  <c r="L731" i="1"/>
  <c r="Q731" i="1" s="1"/>
  <c r="P731" i="1" s="1"/>
  <c r="V730" i="1"/>
  <c r="U730" i="1"/>
  <c r="T730" i="1"/>
  <c r="S730" i="1"/>
  <c r="N730" i="1"/>
  <c r="M730" i="1"/>
  <c r="L730" i="1"/>
  <c r="Q730" i="1" s="1"/>
  <c r="P730" i="1" s="1"/>
  <c r="V729" i="1"/>
  <c r="U729" i="1"/>
  <c r="T729" i="1"/>
  <c r="S729" i="1"/>
  <c r="Q729" i="1"/>
  <c r="P729" i="1" s="1"/>
  <c r="N729" i="1"/>
  <c r="M729" i="1"/>
  <c r="O729" i="1" s="1"/>
  <c r="L729" i="1"/>
  <c r="V728" i="1"/>
  <c r="U728" i="1"/>
  <c r="T728" i="1"/>
  <c r="S728" i="1"/>
  <c r="N728" i="1"/>
  <c r="M728" i="1"/>
  <c r="O728" i="1" s="1"/>
  <c r="L728" i="1"/>
  <c r="Q728" i="1" s="1"/>
  <c r="P728" i="1" s="1"/>
  <c r="V727" i="1"/>
  <c r="U727" i="1"/>
  <c r="T727" i="1"/>
  <c r="S727" i="1"/>
  <c r="Q727" i="1"/>
  <c r="P727" i="1" s="1"/>
  <c r="N727" i="1"/>
  <c r="M727" i="1"/>
  <c r="L727" i="1"/>
  <c r="V726" i="1"/>
  <c r="U726" i="1"/>
  <c r="T726" i="1"/>
  <c r="S726" i="1"/>
  <c r="N726" i="1"/>
  <c r="M726" i="1"/>
  <c r="L726" i="1"/>
  <c r="Q726" i="1" s="1"/>
  <c r="P726" i="1" s="1"/>
  <c r="V725" i="1"/>
  <c r="U725" i="1"/>
  <c r="T725" i="1"/>
  <c r="S725" i="1"/>
  <c r="N725" i="1"/>
  <c r="M725" i="1"/>
  <c r="L725" i="1"/>
  <c r="Q725" i="1" s="1"/>
  <c r="P725" i="1" s="1"/>
  <c r="V724" i="1"/>
  <c r="U724" i="1"/>
  <c r="T724" i="1"/>
  <c r="S724" i="1"/>
  <c r="N724" i="1"/>
  <c r="M724" i="1"/>
  <c r="O724" i="1" s="1"/>
  <c r="L724" i="1"/>
  <c r="Q724" i="1" s="1"/>
  <c r="P724" i="1" s="1"/>
  <c r="V723" i="1"/>
  <c r="U723" i="1"/>
  <c r="T723" i="1"/>
  <c r="S723" i="1"/>
  <c r="N723" i="1"/>
  <c r="M723" i="1"/>
  <c r="L723" i="1"/>
  <c r="Q723" i="1" s="1"/>
  <c r="P723" i="1" s="1"/>
  <c r="V722" i="1"/>
  <c r="U722" i="1"/>
  <c r="T722" i="1"/>
  <c r="S722" i="1"/>
  <c r="P722" i="1"/>
  <c r="N722" i="1"/>
  <c r="M722" i="1"/>
  <c r="O722" i="1" s="1"/>
  <c r="L722" i="1"/>
  <c r="Q722" i="1" s="1"/>
  <c r="V721" i="1"/>
  <c r="U721" i="1"/>
  <c r="T721" i="1"/>
  <c r="S721" i="1"/>
  <c r="N721" i="1"/>
  <c r="O721" i="1" s="1"/>
  <c r="M721" i="1"/>
  <c r="L721" i="1"/>
  <c r="Q721" i="1" s="1"/>
  <c r="P721" i="1" s="1"/>
  <c r="V720" i="1"/>
  <c r="U720" i="1"/>
  <c r="T720" i="1"/>
  <c r="S720" i="1"/>
  <c r="N720" i="1"/>
  <c r="M720" i="1"/>
  <c r="L720" i="1"/>
  <c r="Q720" i="1" s="1"/>
  <c r="P720" i="1" s="1"/>
  <c r="V719" i="1"/>
  <c r="U719" i="1"/>
  <c r="T719" i="1"/>
  <c r="S719" i="1"/>
  <c r="N719" i="1"/>
  <c r="M719" i="1"/>
  <c r="L719" i="1"/>
  <c r="Q719" i="1" s="1"/>
  <c r="P719" i="1" s="1"/>
  <c r="V718" i="1"/>
  <c r="U718" i="1"/>
  <c r="T718" i="1"/>
  <c r="S718" i="1"/>
  <c r="N718" i="1"/>
  <c r="M718" i="1"/>
  <c r="L718" i="1"/>
  <c r="Q718" i="1" s="1"/>
  <c r="P718" i="1" s="1"/>
  <c r="V717" i="1"/>
  <c r="U717" i="1"/>
  <c r="T717" i="1"/>
  <c r="S717" i="1"/>
  <c r="N717" i="1"/>
  <c r="M717" i="1"/>
  <c r="O717" i="1" s="1"/>
  <c r="L717" i="1"/>
  <c r="Q717" i="1" s="1"/>
  <c r="P717" i="1" s="1"/>
  <c r="V716" i="1"/>
  <c r="U716" i="1"/>
  <c r="T716" i="1"/>
  <c r="S716" i="1"/>
  <c r="N716" i="1"/>
  <c r="M716" i="1"/>
  <c r="L716" i="1"/>
  <c r="Q716" i="1" s="1"/>
  <c r="P716" i="1" s="1"/>
  <c r="V715" i="1"/>
  <c r="U715" i="1"/>
  <c r="T715" i="1"/>
  <c r="S715" i="1"/>
  <c r="N715" i="1"/>
  <c r="M715" i="1"/>
  <c r="L715" i="1"/>
  <c r="Q715" i="1" s="1"/>
  <c r="P715" i="1" s="1"/>
  <c r="V714" i="1"/>
  <c r="U714" i="1"/>
  <c r="T714" i="1"/>
  <c r="S714" i="1"/>
  <c r="N714" i="1"/>
  <c r="M714" i="1"/>
  <c r="O714" i="1" s="1"/>
  <c r="L714" i="1"/>
  <c r="Q714" i="1" s="1"/>
  <c r="P714" i="1" s="1"/>
  <c r="V713" i="1"/>
  <c r="U713" i="1"/>
  <c r="T713" i="1"/>
  <c r="S713" i="1"/>
  <c r="N713" i="1"/>
  <c r="M713" i="1"/>
  <c r="L713" i="1"/>
  <c r="Q713" i="1" s="1"/>
  <c r="P713" i="1" s="1"/>
  <c r="V712" i="1"/>
  <c r="U712" i="1"/>
  <c r="T712" i="1"/>
  <c r="S712" i="1"/>
  <c r="N712" i="1"/>
  <c r="M712" i="1"/>
  <c r="O712" i="1" s="1"/>
  <c r="L712" i="1"/>
  <c r="Q712" i="1" s="1"/>
  <c r="P712" i="1" s="1"/>
  <c r="V711" i="1"/>
  <c r="U711" i="1"/>
  <c r="T711" i="1"/>
  <c r="S711" i="1"/>
  <c r="N711" i="1"/>
  <c r="M711" i="1"/>
  <c r="O711" i="1" s="1"/>
  <c r="L711" i="1"/>
  <c r="Q711" i="1" s="1"/>
  <c r="P711" i="1" s="1"/>
  <c r="V710" i="1"/>
  <c r="U710" i="1"/>
  <c r="T710" i="1"/>
  <c r="S710" i="1"/>
  <c r="N710" i="1"/>
  <c r="M710" i="1"/>
  <c r="O710" i="1" s="1"/>
  <c r="L710" i="1"/>
  <c r="Q710" i="1" s="1"/>
  <c r="P710" i="1" s="1"/>
  <c r="V709" i="1"/>
  <c r="U709" i="1"/>
  <c r="T709" i="1"/>
  <c r="S709" i="1"/>
  <c r="N709" i="1"/>
  <c r="M709" i="1"/>
  <c r="L709" i="1"/>
  <c r="Q709" i="1" s="1"/>
  <c r="P709" i="1" s="1"/>
  <c r="V708" i="1"/>
  <c r="U708" i="1"/>
  <c r="T708" i="1"/>
  <c r="S708" i="1"/>
  <c r="N708" i="1"/>
  <c r="O708" i="1" s="1"/>
  <c r="M708" i="1"/>
  <c r="L708" i="1"/>
  <c r="Q708" i="1" s="1"/>
  <c r="P708" i="1" s="1"/>
  <c r="V707" i="1"/>
  <c r="U707" i="1"/>
  <c r="T707" i="1"/>
  <c r="S707" i="1"/>
  <c r="Q707" i="1"/>
  <c r="P707" i="1" s="1"/>
  <c r="N707" i="1"/>
  <c r="M707" i="1"/>
  <c r="L707" i="1"/>
  <c r="V706" i="1"/>
  <c r="U706" i="1"/>
  <c r="T706" i="1"/>
  <c r="S706" i="1"/>
  <c r="N706" i="1"/>
  <c r="O706" i="1" s="1"/>
  <c r="M706" i="1"/>
  <c r="L706" i="1"/>
  <c r="Q706" i="1" s="1"/>
  <c r="P706" i="1" s="1"/>
  <c r="V705" i="1"/>
  <c r="U705" i="1"/>
  <c r="T705" i="1"/>
  <c r="S705" i="1"/>
  <c r="N705" i="1"/>
  <c r="O705" i="1" s="1"/>
  <c r="M705" i="1"/>
  <c r="L705" i="1"/>
  <c r="Q705" i="1" s="1"/>
  <c r="P705" i="1" s="1"/>
  <c r="V704" i="1"/>
  <c r="U704" i="1"/>
  <c r="T704" i="1"/>
  <c r="S704" i="1"/>
  <c r="Q704" i="1"/>
  <c r="P704" i="1" s="1"/>
  <c r="N704" i="1"/>
  <c r="M704" i="1"/>
  <c r="L704" i="1"/>
  <c r="V703" i="1"/>
  <c r="U703" i="1"/>
  <c r="T703" i="1"/>
  <c r="S703" i="1"/>
  <c r="Q703" i="1"/>
  <c r="P703" i="1" s="1"/>
  <c r="N703" i="1"/>
  <c r="M703" i="1"/>
  <c r="L703" i="1"/>
  <c r="V702" i="1"/>
  <c r="U702" i="1"/>
  <c r="T702" i="1"/>
  <c r="S702" i="1"/>
  <c r="N702" i="1"/>
  <c r="M702" i="1"/>
  <c r="O702" i="1" s="1"/>
  <c r="L702" i="1"/>
  <c r="Q702" i="1" s="1"/>
  <c r="P702" i="1" s="1"/>
  <c r="V701" i="1"/>
  <c r="U701" i="1"/>
  <c r="T701" i="1"/>
  <c r="S701" i="1"/>
  <c r="N701" i="1"/>
  <c r="M701" i="1"/>
  <c r="O701" i="1" s="1"/>
  <c r="L701" i="1"/>
  <c r="Q701" i="1" s="1"/>
  <c r="P701" i="1" s="1"/>
  <c r="V700" i="1"/>
  <c r="U700" i="1"/>
  <c r="T700" i="1"/>
  <c r="S700" i="1"/>
  <c r="N700" i="1"/>
  <c r="M700" i="1"/>
  <c r="L700" i="1"/>
  <c r="Q700" i="1" s="1"/>
  <c r="P700" i="1" s="1"/>
  <c r="V699" i="1"/>
  <c r="U699" i="1"/>
  <c r="T699" i="1"/>
  <c r="S699" i="1"/>
  <c r="N699" i="1"/>
  <c r="M699" i="1"/>
  <c r="L699" i="1"/>
  <c r="Q699" i="1" s="1"/>
  <c r="P699" i="1" s="1"/>
  <c r="V698" i="1"/>
  <c r="U698" i="1"/>
  <c r="T698" i="1"/>
  <c r="S698" i="1"/>
  <c r="N698" i="1"/>
  <c r="M698" i="1"/>
  <c r="L698" i="1"/>
  <c r="Q698" i="1" s="1"/>
  <c r="P698" i="1" s="1"/>
  <c r="V697" i="1"/>
  <c r="U697" i="1"/>
  <c r="T697" i="1"/>
  <c r="S697" i="1"/>
  <c r="N697" i="1"/>
  <c r="M697" i="1"/>
  <c r="O697" i="1" s="1"/>
  <c r="L697" i="1"/>
  <c r="Q697" i="1" s="1"/>
  <c r="P697" i="1" s="1"/>
  <c r="V696" i="1"/>
  <c r="U696" i="1"/>
  <c r="T696" i="1"/>
  <c r="S696" i="1"/>
  <c r="N696" i="1"/>
  <c r="M696" i="1"/>
  <c r="O696" i="1" s="1"/>
  <c r="L696" i="1"/>
  <c r="Q696" i="1" s="1"/>
  <c r="P696" i="1" s="1"/>
  <c r="V695" i="1"/>
  <c r="U695" i="1"/>
  <c r="T695" i="1"/>
  <c r="S695" i="1"/>
  <c r="Q695" i="1"/>
  <c r="P695" i="1" s="1"/>
  <c r="N695" i="1"/>
  <c r="M695" i="1"/>
  <c r="O695" i="1" s="1"/>
  <c r="L695" i="1"/>
  <c r="V694" i="1"/>
  <c r="U694" i="1"/>
  <c r="T694" i="1"/>
  <c r="S694" i="1"/>
  <c r="P694" i="1"/>
  <c r="N694" i="1"/>
  <c r="M694" i="1"/>
  <c r="L694" i="1"/>
  <c r="Q694" i="1" s="1"/>
  <c r="V693" i="1"/>
  <c r="U693" i="1"/>
  <c r="T693" i="1"/>
  <c r="S693" i="1"/>
  <c r="Q693" i="1"/>
  <c r="P693" i="1" s="1"/>
  <c r="N693" i="1"/>
  <c r="M693" i="1"/>
  <c r="O693" i="1" s="1"/>
  <c r="L693" i="1"/>
  <c r="V692" i="1"/>
  <c r="U692" i="1"/>
  <c r="T692" i="1"/>
  <c r="S692" i="1"/>
  <c r="N692" i="1"/>
  <c r="O692" i="1" s="1"/>
  <c r="M692" i="1"/>
  <c r="L692" i="1"/>
  <c r="Q692" i="1" s="1"/>
  <c r="P692" i="1" s="1"/>
  <c r="V691" i="1"/>
  <c r="U691" i="1"/>
  <c r="T691" i="1"/>
  <c r="S691" i="1"/>
  <c r="N691" i="1"/>
  <c r="M691" i="1"/>
  <c r="L691" i="1"/>
  <c r="Q691" i="1" s="1"/>
  <c r="P691" i="1" s="1"/>
  <c r="V690" i="1"/>
  <c r="U690" i="1"/>
  <c r="T690" i="1"/>
  <c r="S690" i="1"/>
  <c r="N690" i="1"/>
  <c r="M690" i="1"/>
  <c r="O690" i="1" s="1"/>
  <c r="L690" i="1"/>
  <c r="Q690" i="1" s="1"/>
  <c r="P690" i="1" s="1"/>
  <c r="V689" i="1"/>
  <c r="U689" i="1"/>
  <c r="T689" i="1"/>
  <c r="S689" i="1"/>
  <c r="N689" i="1"/>
  <c r="M689" i="1"/>
  <c r="O689" i="1" s="1"/>
  <c r="L689" i="1"/>
  <c r="Q689" i="1" s="1"/>
  <c r="P689" i="1" s="1"/>
  <c r="V688" i="1"/>
  <c r="U688" i="1"/>
  <c r="T688" i="1"/>
  <c r="S688" i="1"/>
  <c r="N688" i="1"/>
  <c r="M688" i="1"/>
  <c r="L688" i="1"/>
  <c r="Q688" i="1" s="1"/>
  <c r="P688" i="1" s="1"/>
  <c r="V687" i="1"/>
  <c r="U687" i="1"/>
  <c r="T687" i="1"/>
  <c r="S687" i="1"/>
  <c r="N687" i="1"/>
  <c r="M687" i="1"/>
  <c r="L687" i="1"/>
  <c r="Q687" i="1" s="1"/>
  <c r="P687" i="1" s="1"/>
  <c r="V686" i="1"/>
  <c r="U686" i="1"/>
  <c r="T686" i="1"/>
  <c r="S686" i="1"/>
  <c r="N686" i="1"/>
  <c r="M686" i="1"/>
  <c r="O686" i="1" s="1"/>
  <c r="L686" i="1"/>
  <c r="Q686" i="1" s="1"/>
  <c r="P686" i="1" s="1"/>
  <c r="V685" i="1"/>
  <c r="U685" i="1"/>
  <c r="T685" i="1"/>
  <c r="S685" i="1"/>
  <c r="N685" i="1"/>
  <c r="M685" i="1"/>
  <c r="O685" i="1" s="1"/>
  <c r="L685" i="1"/>
  <c r="Q685" i="1" s="1"/>
  <c r="P685" i="1" s="1"/>
  <c r="V684" i="1"/>
  <c r="U684" i="1"/>
  <c r="T684" i="1"/>
  <c r="S684" i="1"/>
  <c r="N684" i="1"/>
  <c r="M684" i="1"/>
  <c r="L684" i="1"/>
  <c r="Q684" i="1" s="1"/>
  <c r="P684" i="1" s="1"/>
  <c r="V683" i="1"/>
  <c r="U683" i="1"/>
  <c r="T683" i="1"/>
  <c r="S683" i="1"/>
  <c r="N683" i="1"/>
  <c r="M683" i="1"/>
  <c r="L683" i="1"/>
  <c r="Q683" i="1" s="1"/>
  <c r="P683" i="1" s="1"/>
  <c r="V682" i="1"/>
  <c r="U682" i="1"/>
  <c r="T682" i="1"/>
  <c r="S682" i="1"/>
  <c r="N682" i="1"/>
  <c r="M682" i="1"/>
  <c r="L682" i="1"/>
  <c r="Q682" i="1" s="1"/>
  <c r="P682" i="1" s="1"/>
  <c r="V681" i="1"/>
  <c r="U681" i="1"/>
  <c r="T681" i="1"/>
  <c r="S681" i="1"/>
  <c r="N681" i="1"/>
  <c r="M681" i="1"/>
  <c r="L681" i="1"/>
  <c r="Q681" i="1" s="1"/>
  <c r="P681" i="1" s="1"/>
  <c r="V680" i="1"/>
  <c r="U680" i="1"/>
  <c r="T680" i="1"/>
  <c r="S680" i="1"/>
  <c r="N680" i="1"/>
  <c r="M680" i="1"/>
  <c r="L680" i="1"/>
  <c r="Q680" i="1" s="1"/>
  <c r="P680" i="1" s="1"/>
  <c r="V679" i="1"/>
  <c r="U679" i="1"/>
  <c r="T679" i="1"/>
  <c r="S679" i="1"/>
  <c r="N679" i="1"/>
  <c r="M679" i="1"/>
  <c r="L679" i="1"/>
  <c r="Q679" i="1" s="1"/>
  <c r="P679" i="1" s="1"/>
  <c r="V678" i="1"/>
  <c r="U678" i="1"/>
  <c r="T678" i="1"/>
  <c r="S678" i="1"/>
  <c r="N678" i="1"/>
  <c r="M678" i="1"/>
  <c r="O678" i="1" s="1"/>
  <c r="L678" i="1"/>
  <c r="Q678" i="1" s="1"/>
  <c r="P678" i="1" s="1"/>
  <c r="V677" i="1"/>
  <c r="U677" i="1"/>
  <c r="T677" i="1"/>
  <c r="S677" i="1"/>
  <c r="N677" i="1"/>
  <c r="M677" i="1"/>
  <c r="O677" i="1" s="1"/>
  <c r="L677" i="1"/>
  <c r="Q677" i="1" s="1"/>
  <c r="P677" i="1" s="1"/>
  <c r="V676" i="1"/>
  <c r="U676" i="1"/>
  <c r="T676" i="1"/>
  <c r="S676" i="1"/>
  <c r="N676" i="1"/>
  <c r="M676" i="1"/>
  <c r="L676" i="1"/>
  <c r="Q676" i="1" s="1"/>
  <c r="P676" i="1" s="1"/>
  <c r="V675" i="1"/>
  <c r="U675" i="1"/>
  <c r="T675" i="1"/>
  <c r="S675" i="1"/>
  <c r="N675" i="1"/>
  <c r="M675" i="1"/>
  <c r="L675" i="1"/>
  <c r="Q675" i="1" s="1"/>
  <c r="P675" i="1" s="1"/>
  <c r="V674" i="1"/>
  <c r="U674" i="1"/>
  <c r="T674" i="1"/>
  <c r="S674" i="1"/>
  <c r="N674" i="1"/>
  <c r="M674" i="1"/>
  <c r="O674" i="1" s="1"/>
  <c r="L674" i="1"/>
  <c r="Q674" i="1" s="1"/>
  <c r="P674" i="1" s="1"/>
  <c r="V673" i="1"/>
  <c r="U673" i="1"/>
  <c r="T673" i="1"/>
  <c r="S673" i="1"/>
  <c r="N673" i="1"/>
  <c r="M673" i="1"/>
  <c r="L673" i="1"/>
  <c r="Q673" i="1" s="1"/>
  <c r="P673" i="1" s="1"/>
  <c r="V672" i="1"/>
  <c r="U672" i="1"/>
  <c r="T672" i="1"/>
  <c r="S672" i="1"/>
  <c r="N672" i="1"/>
  <c r="M672" i="1"/>
  <c r="L672" i="1"/>
  <c r="Q672" i="1" s="1"/>
  <c r="P672" i="1" s="1"/>
  <c r="V671" i="1"/>
  <c r="U671" i="1"/>
  <c r="T671" i="1"/>
  <c r="S671" i="1"/>
  <c r="N671" i="1"/>
  <c r="M671" i="1"/>
  <c r="L671" i="1"/>
  <c r="Q671" i="1" s="1"/>
  <c r="P671" i="1" s="1"/>
  <c r="V670" i="1"/>
  <c r="U670" i="1"/>
  <c r="T670" i="1"/>
  <c r="S670" i="1"/>
  <c r="N670" i="1"/>
  <c r="M670" i="1"/>
  <c r="L670" i="1"/>
  <c r="Q670" i="1" s="1"/>
  <c r="P670" i="1" s="1"/>
  <c r="V669" i="1"/>
  <c r="U669" i="1"/>
  <c r="T669" i="1"/>
  <c r="S669" i="1"/>
  <c r="N669" i="1"/>
  <c r="O669" i="1" s="1"/>
  <c r="M669" i="1"/>
  <c r="L669" i="1"/>
  <c r="Q669" i="1" s="1"/>
  <c r="P669" i="1" s="1"/>
  <c r="V668" i="1"/>
  <c r="U668" i="1"/>
  <c r="T668" i="1"/>
  <c r="S668" i="1"/>
  <c r="Q668" i="1"/>
  <c r="P668" i="1" s="1"/>
  <c r="N668" i="1"/>
  <c r="M668" i="1"/>
  <c r="L668" i="1"/>
  <c r="V667" i="1"/>
  <c r="U667" i="1"/>
  <c r="T667" i="1"/>
  <c r="S667" i="1"/>
  <c r="N667" i="1"/>
  <c r="M667" i="1"/>
  <c r="L667" i="1"/>
  <c r="Q667" i="1" s="1"/>
  <c r="P667" i="1" s="1"/>
  <c r="V666" i="1"/>
  <c r="U666" i="1"/>
  <c r="T666" i="1"/>
  <c r="S666" i="1"/>
  <c r="N666" i="1"/>
  <c r="M666" i="1"/>
  <c r="O666" i="1" s="1"/>
  <c r="L666" i="1"/>
  <c r="Q666" i="1" s="1"/>
  <c r="P666" i="1" s="1"/>
  <c r="V665" i="1"/>
  <c r="U665" i="1"/>
  <c r="T665" i="1"/>
  <c r="S665" i="1"/>
  <c r="N665" i="1"/>
  <c r="M665" i="1"/>
  <c r="L665" i="1"/>
  <c r="Q665" i="1" s="1"/>
  <c r="P665" i="1" s="1"/>
  <c r="V664" i="1"/>
  <c r="U664" i="1"/>
  <c r="T664" i="1"/>
  <c r="S664" i="1"/>
  <c r="N664" i="1"/>
  <c r="O664" i="1" s="1"/>
  <c r="M664" i="1"/>
  <c r="L664" i="1"/>
  <c r="Q664" i="1" s="1"/>
  <c r="P664" i="1" s="1"/>
  <c r="V663" i="1"/>
  <c r="U663" i="1"/>
  <c r="T663" i="1"/>
  <c r="S663" i="1"/>
  <c r="N663" i="1"/>
  <c r="M663" i="1"/>
  <c r="L663" i="1"/>
  <c r="Q663" i="1" s="1"/>
  <c r="P663" i="1" s="1"/>
  <c r="V662" i="1"/>
  <c r="U662" i="1"/>
  <c r="T662" i="1"/>
  <c r="S662" i="1"/>
  <c r="N662" i="1"/>
  <c r="O662" i="1" s="1"/>
  <c r="M662" i="1"/>
  <c r="L662" i="1"/>
  <c r="Q662" i="1" s="1"/>
  <c r="P662" i="1" s="1"/>
  <c r="V661" i="1"/>
  <c r="U661" i="1"/>
  <c r="T661" i="1"/>
  <c r="S661" i="1"/>
  <c r="N661" i="1"/>
  <c r="M661" i="1"/>
  <c r="L661" i="1"/>
  <c r="Q661" i="1" s="1"/>
  <c r="P661" i="1" s="1"/>
  <c r="V660" i="1"/>
  <c r="U660" i="1"/>
  <c r="T660" i="1"/>
  <c r="S660" i="1"/>
  <c r="N660" i="1"/>
  <c r="O660" i="1" s="1"/>
  <c r="M660" i="1"/>
  <c r="L660" i="1"/>
  <c r="Q660" i="1" s="1"/>
  <c r="P660" i="1" s="1"/>
  <c r="V659" i="1"/>
  <c r="U659" i="1"/>
  <c r="T659" i="1"/>
  <c r="S659" i="1"/>
  <c r="N659" i="1"/>
  <c r="M659" i="1"/>
  <c r="L659" i="1"/>
  <c r="Q659" i="1" s="1"/>
  <c r="P659" i="1" s="1"/>
  <c r="V658" i="1"/>
  <c r="U658" i="1"/>
  <c r="T658" i="1"/>
  <c r="S658" i="1"/>
  <c r="N658" i="1"/>
  <c r="M658" i="1"/>
  <c r="L658" i="1"/>
  <c r="Q658" i="1" s="1"/>
  <c r="P658" i="1" s="1"/>
  <c r="V657" i="1"/>
  <c r="U657" i="1"/>
  <c r="T657" i="1"/>
  <c r="S657" i="1"/>
  <c r="N657" i="1"/>
  <c r="M657" i="1"/>
  <c r="O657" i="1" s="1"/>
  <c r="L657" i="1"/>
  <c r="Q657" i="1" s="1"/>
  <c r="P657" i="1" s="1"/>
  <c r="V656" i="1"/>
  <c r="U656" i="1"/>
  <c r="T656" i="1"/>
  <c r="S656" i="1"/>
  <c r="N656" i="1"/>
  <c r="M656" i="1"/>
  <c r="O656" i="1" s="1"/>
  <c r="L656" i="1"/>
  <c r="Q656" i="1" s="1"/>
  <c r="P656" i="1" s="1"/>
  <c r="V655" i="1"/>
  <c r="U655" i="1"/>
  <c r="T655" i="1"/>
  <c r="S655" i="1"/>
  <c r="N655" i="1"/>
  <c r="M655" i="1"/>
  <c r="L655" i="1"/>
  <c r="Q655" i="1" s="1"/>
  <c r="P655" i="1" s="1"/>
  <c r="V654" i="1"/>
  <c r="U654" i="1"/>
  <c r="T654" i="1"/>
  <c r="S654" i="1"/>
  <c r="N654" i="1"/>
  <c r="M654" i="1"/>
  <c r="L654" i="1"/>
  <c r="Q654" i="1" s="1"/>
  <c r="P654" i="1" s="1"/>
  <c r="V653" i="1"/>
  <c r="U653" i="1"/>
  <c r="T653" i="1"/>
  <c r="S653" i="1"/>
  <c r="N653" i="1"/>
  <c r="M653" i="1"/>
  <c r="O653" i="1" s="1"/>
  <c r="L653" i="1"/>
  <c r="Q653" i="1" s="1"/>
  <c r="P653" i="1" s="1"/>
  <c r="V652" i="1"/>
  <c r="U652" i="1"/>
  <c r="T652" i="1"/>
  <c r="S652" i="1"/>
  <c r="N652" i="1"/>
  <c r="M652" i="1"/>
  <c r="L652" i="1"/>
  <c r="Q652" i="1" s="1"/>
  <c r="P652" i="1" s="1"/>
  <c r="V651" i="1"/>
  <c r="U651" i="1"/>
  <c r="T651" i="1"/>
  <c r="S651" i="1"/>
  <c r="N651" i="1"/>
  <c r="M651" i="1"/>
  <c r="L651" i="1"/>
  <c r="Q651" i="1" s="1"/>
  <c r="P651" i="1" s="1"/>
  <c r="V650" i="1"/>
  <c r="U650" i="1"/>
  <c r="T650" i="1"/>
  <c r="S650" i="1"/>
  <c r="N650" i="1"/>
  <c r="M650" i="1"/>
  <c r="L650" i="1"/>
  <c r="Q650" i="1" s="1"/>
  <c r="P650" i="1" s="1"/>
  <c r="V649" i="1"/>
  <c r="U649" i="1"/>
  <c r="T649" i="1"/>
  <c r="S649" i="1"/>
  <c r="N649" i="1"/>
  <c r="O649" i="1" s="1"/>
  <c r="M649" i="1"/>
  <c r="L649" i="1"/>
  <c r="Q649" i="1" s="1"/>
  <c r="P649" i="1" s="1"/>
  <c r="V648" i="1"/>
  <c r="U648" i="1"/>
  <c r="T648" i="1"/>
  <c r="S648" i="1"/>
  <c r="N648" i="1"/>
  <c r="M648" i="1"/>
  <c r="L648" i="1"/>
  <c r="Q648" i="1" s="1"/>
  <c r="P648" i="1" s="1"/>
  <c r="V647" i="1"/>
  <c r="U647" i="1"/>
  <c r="T647" i="1"/>
  <c r="S647" i="1"/>
  <c r="N647" i="1"/>
  <c r="O647" i="1" s="1"/>
  <c r="M647" i="1"/>
  <c r="L647" i="1"/>
  <c r="Q647" i="1" s="1"/>
  <c r="P647" i="1" s="1"/>
  <c r="V646" i="1"/>
  <c r="U646" i="1"/>
  <c r="T646" i="1"/>
  <c r="S646" i="1"/>
  <c r="N646" i="1"/>
  <c r="M646" i="1"/>
  <c r="L646" i="1"/>
  <c r="Q646" i="1" s="1"/>
  <c r="P646" i="1" s="1"/>
  <c r="V645" i="1"/>
  <c r="U645" i="1"/>
  <c r="T645" i="1"/>
  <c r="S645" i="1"/>
  <c r="N645" i="1"/>
  <c r="M645" i="1"/>
  <c r="O645" i="1" s="1"/>
  <c r="L645" i="1"/>
  <c r="Q645" i="1" s="1"/>
  <c r="P645" i="1" s="1"/>
  <c r="V644" i="1"/>
  <c r="U644" i="1"/>
  <c r="T644" i="1"/>
  <c r="S644" i="1"/>
  <c r="N644" i="1"/>
  <c r="M644" i="1"/>
  <c r="L644" i="1"/>
  <c r="Q644" i="1" s="1"/>
  <c r="P644" i="1" s="1"/>
  <c r="V643" i="1"/>
  <c r="U643" i="1"/>
  <c r="T643" i="1"/>
  <c r="S643" i="1"/>
  <c r="N643" i="1"/>
  <c r="M643" i="1"/>
  <c r="O643" i="1" s="1"/>
  <c r="L643" i="1"/>
  <c r="Q643" i="1" s="1"/>
  <c r="P643" i="1" s="1"/>
  <c r="V642" i="1"/>
  <c r="U642" i="1"/>
  <c r="T642" i="1"/>
  <c r="S642" i="1"/>
  <c r="N642" i="1"/>
  <c r="M642" i="1"/>
  <c r="L642" i="1"/>
  <c r="Q642" i="1" s="1"/>
  <c r="P642" i="1" s="1"/>
  <c r="V641" i="1"/>
  <c r="U641" i="1"/>
  <c r="T641" i="1"/>
  <c r="S641" i="1"/>
  <c r="N641" i="1"/>
  <c r="M641" i="1"/>
  <c r="O641" i="1" s="1"/>
  <c r="L641" i="1"/>
  <c r="Q641" i="1" s="1"/>
  <c r="P641" i="1" s="1"/>
  <c r="V640" i="1"/>
  <c r="U640" i="1"/>
  <c r="T640" i="1"/>
  <c r="S640" i="1"/>
  <c r="N640" i="1"/>
  <c r="M640" i="1"/>
  <c r="L640" i="1"/>
  <c r="Q640" i="1" s="1"/>
  <c r="P640" i="1" s="1"/>
  <c r="V639" i="1"/>
  <c r="U639" i="1"/>
  <c r="T639" i="1"/>
  <c r="S639" i="1"/>
  <c r="N639" i="1"/>
  <c r="M639" i="1"/>
  <c r="O639" i="1" s="1"/>
  <c r="L639" i="1"/>
  <c r="Q639" i="1" s="1"/>
  <c r="P639" i="1" s="1"/>
  <c r="V638" i="1"/>
  <c r="U638" i="1"/>
  <c r="T638" i="1"/>
  <c r="S638" i="1"/>
  <c r="N638" i="1"/>
  <c r="M638" i="1"/>
  <c r="L638" i="1"/>
  <c r="Q638" i="1" s="1"/>
  <c r="P638" i="1" s="1"/>
  <c r="V637" i="1"/>
  <c r="U637" i="1"/>
  <c r="T637" i="1"/>
  <c r="S637" i="1"/>
  <c r="N637" i="1"/>
  <c r="M637" i="1"/>
  <c r="O637" i="1" s="1"/>
  <c r="L637" i="1"/>
  <c r="Q637" i="1" s="1"/>
  <c r="P637" i="1" s="1"/>
  <c r="V636" i="1"/>
  <c r="U636" i="1"/>
  <c r="T636" i="1"/>
  <c r="S636" i="1"/>
  <c r="N636" i="1"/>
  <c r="M636" i="1"/>
  <c r="L636" i="1"/>
  <c r="Q636" i="1" s="1"/>
  <c r="P636" i="1" s="1"/>
  <c r="V635" i="1"/>
  <c r="U635" i="1"/>
  <c r="T635" i="1"/>
  <c r="S635" i="1"/>
  <c r="N635" i="1"/>
  <c r="M635" i="1"/>
  <c r="L635" i="1"/>
  <c r="Q635" i="1" s="1"/>
  <c r="P635" i="1" s="1"/>
  <c r="V634" i="1"/>
  <c r="U634" i="1"/>
  <c r="T634" i="1"/>
  <c r="S634" i="1"/>
  <c r="N634" i="1"/>
  <c r="M634" i="1"/>
  <c r="L634" i="1"/>
  <c r="Q634" i="1" s="1"/>
  <c r="P634" i="1" s="1"/>
  <c r="V633" i="1"/>
  <c r="U633" i="1"/>
  <c r="T633" i="1"/>
  <c r="S633" i="1"/>
  <c r="P633" i="1"/>
  <c r="N633" i="1"/>
  <c r="M633" i="1"/>
  <c r="L633" i="1"/>
  <c r="Q633" i="1" s="1"/>
  <c r="V632" i="1"/>
  <c r="U632" i="1"/>
  <c r="T632" i="1"/>
  <c r="S632" i="1"/>
  <c r="N632" i="1"/>
  <c r="M632" i="1"/>
  <c r="L632" i="1"/>
  <c r="Q632" i="1" s="1"/>
  <c r="P632" i="1" s="1"/>
  <c r="V631" i="1"/>
  <c r="U631" i="1"/>
  <c r="T631" i="1"/>
  <c r="S631" i="1"/>
  <c r="N631" i="1"/>
  <c r="M631" i="1"/>
  <c r="L631" i="1"/>
  <c r="Q631" i="1" s="1"/>
  <c r="P631" i="1" s="1"/>
  <c r="V630" i="1"/>
  <c r="U630" i="1"/>
  <c r="T630" i="1"/>
  <c r="S630" i="1"/>
  <c r="N630" i="1"/>
  <c r="M630" i="1"/>
  <c r="L630" i="1"/>
  <c r="Q630" i="1" s="1"/>
  <c r="P630" i="1" s="1"/>
  <c r="V629" i="1"/>
  <c r="U629" i="1"/>
  <c r="T629" i="1"/>
  <c r="S629" i="1"/>
  <c r="N629" i="1"/>
  <c r="M629" i="1"/>
  <c r="O629" i="1" s="1"/>
  <c r="L629" i="1"/>
  <c r="Q629" i="1" s="1"/>
  <c r="P629" i="1" s="1"/>
  <c r="V628" i="1"/>
  <c r="U628" i="1"/>
  <c r="T628" i="1"/>
  <c r="S628" i="1"/>
  <c r="N628" i="1"/>
  <c r="M628" i="1"/>
  <c r="L628" i="1"/>
  <c r="Q628" i="1" s="1"/>
  <c r="P628" i="1" s="1"/>
  <c r="V627" i="1"/>
  <c r="U627" i="1"/>
  <c r="T627" i="1"/>
  <c r="S627" i="1"/>
  <c r="N627" i="1"/>
  <c r="O627" i="1" s="1"/>
  <c r="M627" i="1"/>
  <c r="L627" i="1"/>
  <c r="Q627" i="1" s="1"/>
  <c r="P627" i="1" s="1"/>
  <c r="V626" i="1"/>
  <c r="U626" i="1"/>
  <c r="T626" i="1"/>
  <c r="S626" i="1"/>
  <c r="N626" i="1"/>
  <c r="M626" i="1"/>
  <c r="L626" i="1"/>
  <c r="Q626" i="1" s="1"/>
  <c r="P626" i="1" s="1"/>
  <c r="V625" i="1"/>
  <c r="U625" i="1"/>
  <c r="T625" i="1"/>
  <c r="S625" i="1"/>
  <c r="N625" i="1"/>
  <c r="M625" i="1"/>
  <c r="L625" i="1"/>
  <c r="Q625" i="1" s="1"/>
  <c r="P625" i="1" s="1"/>
  <c r="V624" i="1"/>
  <c r="U624" i="1"/>
  <c r="T624" i="1"/>
  <c r="S624" i="1"/>
  <c r="N624" i="1"/>
  <c r="M624" i="1"/>
  <c r="L624" i="1"/>
  <c r="Q624" i="1" s="1"/>
  <c r="P624" i="1" s="1"/>
  <c r="V623" i="1"/>
  <c r="U623" i="1"/>
  <c r="T623" i="1"/>
  <c r="S623" i="1"/>
  <c r="N623" i="1"/>
  <c r="M623" i="1"/>
  <c r="L623" i="1"/>
  <c r="Q623" i="1" s="1"/>
  <c r="P623" i="1" s="1"/>
  <c r="V622" i="1"/>
  <c r="U622" i="1"/>
  <c r="T622" i="1"/>
  <c r="S622" i="1"/>
  <c r="Q622" i="1"/>
  <c r="P622" i="1" s="1"/>
  <c r="N622" i="1"/>
  <c r="M622" i="1"/>
  <c r="L622" i="1"/>
  <c r="V621" i="1"/>
  <c r="U621" i="1"/>
  <c r="T621" i="1"/>
  <c r="S621" i="1"/>
  <c r="O621" i="1"/>
  <c r="N621" i="1"/>
  <c r="M621" i="1"/>
  <c r="L621" i="1"/>
  <c r="Q621" i="1" s="1"/>
  <c r="P621" i="1" s="1"/>
  <c r="V620" i="1"/>
  <c r="U620" i="1"/>
  <c r="T620" i="1"/>
  <c r="S620" i="1"/>
  <c r="Q620" i="1"/>
  <c r="P620" i="1" s="1"/>
  <c r="N620" i="1"/>
  <c r="M620" i="1"/>
  <c r="L620" i="1"/>
  <c r="V619" i="1"/>
  <c r="U619" i="1"/>
  <c r="T619" i="1"/>
  <c r="S619" i="1"/>
  <c r="O619" i="1"/>
  <c r="N619" i="1"/>
  <c r="M619" i="1"/>
  <c r="L619" i="1"/>
  <c r="Q619" i="1" s="1"/>
  <c r="P619" i="1" s="1"/>
  <c r="V618" i="1"/>
  <c r="U618" i="1"/>
  <c r="T618" i="1"/>
  <c r="S618" i="1"/>
  <c r="Q618" i="1"/>
  <c r="P618" i="1" s="1"/>
  <c r="N618" i="1"/>
  <c r="M618" i="1"/>
  <c r="L618" i="1"/>
  <c r="V617" i="1"/>
  <c r="U617" i="1"/>
  <c r="T617" i="1"/>
  <c r="S617" i="1"/>
  <c r="Q617" i="1"/>
  <c r="P617" i="1" s="1"/>
  <c r="N617" i="1"/>
  <c r="M617" i="1"/>
  <c r="L617" i="1"/>
  <c r="V616" i="1"/>
  <c r="U616" i="1"/>
  <c r="T616" i="1"/>
  <c r="S616" i="1"/>
  <c r="N616" i="1"/>
  <c r="M616" i="1"/>
  <c r="L616" i="1"/>
  <c r="Q616" i="1" s="1"/>
  <c r="P616" i="1" s="1"/>
  <c r="V615" i="1"/>
  <c r="U615" i="1"/>
  <c r="T615" i="1"/>
  <c r="S615" i="1"/>
  <c r="N615" i="1"/>
  <c r="M615" i="1"/>
  <c r="O615" i="1" s="1"/>
  <c r="L615" i="1"/>
  <c r="Q615" i="1" s="1"/>
  <c r="P615" i="1" s="1"/>
  <c r="V614" i="1"/>
  <c r="U614" i="1"/>
  <c r="T614" i="1"/>
  <c r="S614" i="1"/>
  <c r="N614" i="1"/>
  <c r="M614" i="1"/>
  <c r="L614" i="1"/>
  <c r="Q614" i="1" s="1"/>
  <c r="P614" i="1" s="1"/>
  <c r="V613" i="1"/>
  <c r="U613" i="1"/>
  <c r="T613" i="1"/>
  <c r="S613" i="1"/>
  <c r="N613" i="1"/>
  <c r="M613" i="1"/>
  <c r="O613" i="1" s="1"/>
  <c r="L613" i="1"/>
  <c r="Q613" i="1" s="1"/>
  <c r="P613" i="1" s="1"/>
  <c r="V612" i="1"/>
  <c r="U612" i="1"/>
  <c r="T612" i="1"/>
  <c r="S612" i="1"/>
  <c r="N612" i="1"/>
  <c r="M612" i="1"/>
  <c r="O612" i="1" s="1"/>
  <c r="L612" i="1"/>
  <c r="Q612" i="1" s="1"/>
  <c r="P612" i="1" s="1"/>
  <c r="V611" i="1"/>
  <c r="U611" i="1"/>
  <c r="T611" i="1"/>
  <c r="S611" i="1"/>
  <c r="N611" i="1"/>
  <c r="M611" i="1"/>
  <c r="O611" i="1" s="1"/>
  <c r="L611" i="1"/>
  <c r="Q611" i="1" s="1"/>
  <c r="P611" i="1" s="1"/>
  <c r="V610" i="1"/>
  <c r="U610" i="1"/>
  <c r="T610" i="1"/>
  <c r="S610" i="1"/>
  <c r="N610" i="1"/>
  <c r="M610" i="1"/>
  <c r="L610" i="1"/>
  <c r="Q610" i="1" s="1"/>
  <c r="P610" i="1" s="1"/>
  <c r="V609" i="1"/>
  <c r="U609" i="1"/>
  <c r="T609" i="1"/>
  <c r="S609" i="1"/>
  <c r="N609" i="1"/>
  <c r="M609" i="1"/>
  <c r="O609" i="1" s="1"/>
  <c r="L609" i="1"/>
  <c r="Q609" i="1" s="1"/>
  <c r="P609" i="1" s="1"/>
  <c r="V608" i="1"/>
  <c r="U608" i="1"/>
  <c r="T608" i="1"/>
  <c r="S608" i="1"/>
  <c r="N608" i="1"/>
  <c r="M608" i="1"/>
  <c r="L608" i="1"/>
  <c r="Q608" i="1" s="1"/>
  <c r="P608" i="1" s="1"/>
  <c r="V607" i="1"/>
  <c r="U607" i="1"/>
  <c r="T607" i="1"/>
  <c r="S607" i="1"/>
  <c r="N607" i="1"/>
  <c r="M607" i="1"/>
  <c r="O607" i="1" s="1"/>
  <c r="L607" i="1"/>
  <c r="Q607" i="1" s="1"/>
  <c r="P607" i="1" s="1"/>
  <c r="V606" i="1"/>
  <c r="U606" i="1"/>
  <c r="T606" i="1"/>
  <c r="S606" i="1"/>
  <c r="N606" i="1"/>
  <c r="M606" i="1"/>
  <c r="L606" i="1"/>
  <c r="Q606" i="1" s="1"/>
  <c r="P606" i="1" s="1"/>
  <c r="V605" i="1"/>
  <c r="U605" i="1"/>
  <c r="T605" i="1"/>
  <c r="S605" i="1"/>
  <c r="N605" i="1"/>
  <c r="M605" i="1"/>
  <c r="L605" i="1"/>
  <c r="Q605" i="1" s="1"/>
  <c r="P605" i="1" s="1"/>
  <c r="V604" i="1"/>
  <c r="U604" i="1"/>
  <c r="T604" i="1"/>
  <c r="S604" i="1"/>
  <c r="N604" i="1"/>
  <c r="M604" i="1"/>
  <c r="L604" i="1"/>
  <c r="Q604" i="1" s="1"/>
  <c r="P604" i="1" s="1"/>
  <c r="V603" i="1"/>
  <c r="U603" i="1"/>
  <c r="T603" i="1"/>
  <c r="S603" i="1"/>
  <c r="N603" i="1"/>
  <c r="M603" i="1"/>
  <c r="L603" i="1"/>
  <c r="Q603" i="1" s="1"/>
  <c r="P603" i="1" s="1"/>
  <c r="V602" i="1"/>
  <c r="U602" i="1"/>
  <c r="T602" i="1"/>
  <c r="S602" i="1"/>
  <c r="N602" i="1"/>
  <c r="M602" i="1"/>
  <c r="L602" i="1"/>
  <c r="Q602" i="1" s="1"/>
  <c r="P602" i="1" s="1"/>
  <c r="V601" i="1"/>
  <c r="U601" i="1"/>
  <c r="T601" i="1"/>
  <c r="S601" i="1"/>
  <c r="N601" i="1"/>
  <c r="M601" i="1"/>
  <c r="O601" i="1" s="1"/>
  <c r="L601" i="1"/>
  <c r="Q601" i="1" s="1"/>
  <c r="P601" i="1" s="1"/>
  <c r="V600" i="1"/>
  <c r="U600" i="1"/>
  <c r="T600" i="1"/>
  <c r="S600" i="1"/>
  <c r="N600" i="1"/>
  <c r="M600" i="1"/>
  <c r="L600" i="1"/>
  <c r="Q600" i="1" s="1"/>
  <c r="P600" i="1" s="1"/>
  <c r="V599" i="1"/>
  <c r="U599" i="1"/>
  <c r="T599" i="1"/>
  <c r="S599" i="1"/>
  <c r="N599" i="1"/>
  <c r="M599" i="1"/>
  <c r="O599" i="1" s="1"/>
  <c r="L599" i="1"/>
  <c r="Q599" i="1" s="1"/>
  <c r="P599" i="1" s="1"/>
  <c r="V598" i="1"/>
  <c r="U598" i="1"/>
  <c r="T598" i="1"/>
  <c r="S598" i="1"/>
  <c r="N598" i="1"/>
  <c r="M598" i="1"/>
  <c r="L598" i="1"/>
  <c r="Q598" i="1" s="1"/>
  <c r="P598" i="1" s="1"/>
  <c r="V597" i="1"/>
  <c r="U597" i="1"/>
  <c r="T597" i="1"/>
  <c r="S597" i="1"/>
  <c r="N597" i="1"/>
  <c r="M597" i="1"/>
  <c r="O597" i="1" s="1"/>
  <c r="L597" i="1"/>
  <c r="Q597" i="1" s="1"/>
  <c r="P597" i="1" s="1"/>
  <c r="V596" i="1"/>
  <c r="U596" i="1"/>
  <c r="T596" i="1"/>
  <c r="S596" i="1"/>
  <c r="N596" i="1"/>
  <c r="M596" i="1"/>
  <c r="O596" i="1" s="1"/>
  <c r="L596" i="1"/>
  <c r="Q596" i="1" s="1"/>
  <c r="P596" i="1" s="1"/>
  <c r="V595" i="1"/>
  <c r="U595" i="1"/>
  <c r="T595" i="1"/>
  <c r="S595" i="1"/>
  <c r="N595" i="1"/>
  <c r="M595" i="1"/>
  <c r="L595" i="1"/>
  <c r="Q595" i="1" s="1"/>
  <c r="P595" i="1" s="1"/>
  <c r="V594" i="1"/>
  <c r="U594" i="1"/>
  <c r="T594" i="1"/>
  <c r="S594" i="1"/>
  <c r="N594" i="1"/>
  <c r="M594" i="1"/>
  <c r="L594" i="1"/>
  <c r="Q594" i="1" s="1"/>
  <c r="P594" i="1" s="1"/>
  <c r="V593" i="1"/>
  <c r="U593" i="1"/>
  <c r="T593" i="1"/>
  <c r="S593" i="1"/>
  <c r="N593" i="1"/>
  <c r="M593" i="1"/>
  <c r="O593" i="1" s="1"/>
  <c r="L593" i="1"/>
  <c r="Q593" i="1" s="1"/>
  <c r="P593" i="1" s="1"/>
  <c r="V592" i="1"/>
  <c r="U592" i="1"/>
  <c r="T592" i="1"/>
  <c r="S592" i="1"/>
  <c r="N592" i="1"/>
  <c r="M592" i="1"/>
  <c r="L592" i="1"/>
  <c r="Q592" i="1" s="1"/>
  <c r="P592" i="1" s="1"/>
  <c r="V591" i="1"/>
  <c r="U591" i="1"/>
  <c r="T591" i="1"/>
  <c r="S591" i="1"/>
  <c r="N591" i="1"/>
  <c r="M591" i="1"/>
  <c r="O591" i="1" s="1"/>
  <c r="L591" i="1"/>
  <c r="Q591" i="1" s="1"/>
  <c r="P591" i="1" s="1"/>
  <c r="V590" i="1"/>
  <c r="U590" i="1"/>
  <c r="T590" i="1"/>
  <c r="S590" i="1"/>
  <c r="N590" i="1"/>
  <c r="M590" i="1"/>
  <c r="L590" i="1"/>
  <c r="Q590" i="1" s="1"/>
  <c r="P590" i="1" s="1"/>
  <c r="V589" i="1"/>
  <c r="U589" i="1"/>
  <c r="T589" i="1"/>
  <c r="S589" i="1"/>
  <c r="N589" i="1"/>
  <c r="M589" i="1"/>
  <c r="O589" i="1" s="1"/>
  <c r="L589" i="1"/>
  <c r="Q589" i="1" s="1"/>
  <c r="P589" i="1" s="1"/>
  <c r="V588" i="1"/>
  <c r="U588" i="1"/>
  <c r="T588" i="1"/>
  <c r="S588" i="1"/>
  <c r="N588" i="1"/>
  <c r="M588" i="1"/>
  <c r="L588" i="1"/>
  <c r="Q588" i="1" s="1"/>
  <c r="P588" i="1" s="1"/>
  <c r="V1957" i="1"/>
  <c r="U1957" i="1"/>
  <c r="T1957" i="1"/>
  <c r="S1957" i="1"/>
  <c r="N1957" i="1"/>
  <c r="M1957" i="1"/>
  <c r="L1957" i="1"/>
  <c r="Q1957" i="1" s="1"/>
  <c r="P1957" i="1" s="1"/>
  <c r="V1840" i="1"/>
  <c r="U1840" i="1"/>
  <c r="T1840" i="1"/>
  <c r="S1840" i="1"/>
  <c r="Q1840" i="1"/>
  <c r="P1840" i="1" s="1"/>
  <c r="N1840" i="1"/>
  <c r="M1840" i="1"/>
  <c r="L1840" i="1"/>
  <c r="V1956" i="1"/>
  <c r="U1956" i="1"/>
  <c r="T1956" i="1"/>
  <c r="S1956" i="1"/>
  <c r="Q1956" i="1"/>
  <c r="P1956" i="1"/>
  <c r="N1956" i="1"/>
  <c r="M1956" i="1"/>
  <c r="O1956" i="1" s="1"/>
  <c r="L1956" i="1"/>
  <c r="V1955" i="1"/>
  <c r="U1955" i="1"/>
  <c r="T1955" i="1"/>
  <c r="S1955" i="1"/>
  <c r="Q1955" i="1"/>
  <c r="P1955" i="1" s="1"/>
  <c r="N1955" i="1"/>
  <c r="M1955" i="1"/>
  <c r="O1955" i="1" s="1"/>
  <c r="L1955" i="1"/>
  <c r="V1954" i="1"/>
  <c r="U1954" i="1"/>
  <c r="T1954" i="1"/>
  <c r="S1954" i="1"/>
  <c r="N1954" i="1"/>
  <c r="M1954" i="1"/>
  <c r="L1954" i="1"/>
  <c r="Q1954" i="1" s="1"/>
  <c r="P1954" i="1" s="1"/>
  <c r="V1953" i="1"/>
  <c r="U1953" i="1"/>
  <c r="T1953" i="1"/>
  <c r="S1953" i="1"/>
  <c r="Q1953" i="1"/>
  <c r="P1953" i="1" s="1"/>
  <c r="N1953" i="1"/>
  <c r="M1953" i="1"/>
  <c r="L1953" i="1"/>
  <c r="V1952" i="1"/>
  <c r="U1952" i="1"/>
  <c r="T1952" i="1"/>
  <c r="S1952" i="1"/>
  <c r="Q1952" i="1"/>
  <c r="P1952" i="1" s="1"/>
  <c r="N1952" i="1"/>
  <c r="M1952" i="1"/>
  <c r="L1952" i="1"/>
  <c r="V1631" i="1"/>
  <c r="U1631" i="1"/>
  <c r="T1631" i="1"/>
  <c r="S1631" i="1"/>
  <c r="Q1631" i="1"/>
  <c r="P1631" i="1" s="1"/>
  <c r="N1631" i="1"/>
  <c r="M1631" i="1"/>
  <c r="L1631" i="1"/>
  <c r="V1951" i="1"/>
  <c r="U1951" i="1"/>
  <c r="T1951" i="1"/>
  <c r="S1951" i="1"/>
  <c r="Q1951" i="1"/>
  <c r="P1951" i="1" s="1"/>
  <c r="N1951" i="1"/>
  <c r="O1951" i="1" s="1"/>
  <c r="M1951" i="1"/>
  <c r="L1951" i="1"/>
  <c r="V1950" i="1"/>
  <c r="U1950" i="1"/>
  <c r="T1950" i="1"/>
  <c r="S1950" i="1"/>
  <c r="Q1950" i="1"/>
  <c r="P1950" i="1" s="1"/>
  <c r="N1950" i="1"/>
  <c r="M1950" i="1"/>
  <c r="L1950" i="1"/>
  <c r="V1949" i="1"/>
  <c r="U1949" i="1"/>
  <c r="T1949" i="1"/>
  <c r="S1949" i="1"/>
  <c r="P1949" i="1"/>
  <c r="N1949" i="1"/>
  <c r="M1949" i="1"/>
  <c r="L1949" i="1"/>
  <c r="Q1949" i="1" s="1"/>
  <c r="V1630" i="1"/>
  <c r="U1630" i="1"/>
  <c r="T1630" i="1"/>
  <c r="S1630" i="1"/>
  <c r="Q1630" i="1"/>
  <c r="P1630" i="1" s="1"/>
  <c r="N1630" i="1"/>
  <c r="M1630" i="1"/>
  <c r="L1630" i="1"/>
  <c r="V1948" i="1"/>
  <c r="U1948" i="1"/>
  <c r="T1948" i="1"/>
  <c r="S1948" i="1"/>
  <c r="N1948" i="1"/>
  <c r="O1948" i="1" s="1"/>
  <c r="M1948" i="1"/>
  <c r="L1948" i="1"/>
  <c r="Q1948" i="1" s="1"/>
  <c r="P1948" i="1" s="1"/>
  <c r="V1947" i="1"/>
  <c r="U1947" i="1"/>
  <c r="T1947" i="1"/>
  <c r="S1947" i="1"/>
  <c r="Q1947" i="1"/>
  <c r="P1947" i="1" s="1"/>
  <c r="N1947" i="1"/>
  <c r="M1947" i="1"/>
  <c r="L1947" i="1"/>
  <c r="V1946" i="1"/>
  <c r="U1946" i="1"/>
  <c r="T1946" i="1"/>
  <c r="S1946" i="1"/>
  <c r="Q1946" i="1"/>
  <c r="P1946" i="1" s="1"/>
  <c r="N1946" i="1"/>
  <c r="M1946" i="1"/>
  <c r="L1946" i="1"/>
  <c r="V1945" i="1"/>
  <c r="U1945" i="1"/>
  <c r="T1945" i="1"/>
  <c r="S1945" i="1"/>
  <c r="N1945" i="1"/>
  <c r="M1945" i="1"/>
  <c r="O1945" i="1" s="1"/>
  <c r="L1945" i="1"/>
  <c r="Q1945" i="1" s="1"/>
  <c r="P1945" i="1" s="1"/>
  <c r="V1944" i="1"/>
  <c r="U1944" i="1"/>
  <c r="T1944" i="1"/>
  <c r="S1944" i="1"/>
  <c r="N1944" i="1"/>
  <c r="M1944" i="1"/>
  <c r="O1944" i="1" s="1"/>
  <c r="L1944" i="1"/>
  <c r="Q1944" i="1" s="1"/>
  <c r="P1944" i="1" s="1"/>
  <c r="V1943" i="1"/>
  <c r="U1943" i="1"/>
  <c r="T1943" i="1"/>
  <c r="S1943" i="1"/>
  <c r="N1943" i="1"/>
  <c r="M1943" i="1"/>
  <c r="L1943" i="1"/>
  <c r="Q1943" i="1" s="1"/>
  <c r="P1943" i="1" s="1"/>
  <c r="V1942" i="1"/>
  <c r="U1942" i="1"/>
  <c r="T1942" i="1"/>
  <c r="S1942" i="1"/>
  <c r="N1942" i="1"/>
  <c r="M1942" i="1"/>
  <c r="O1942" i="1" s="1"/>
  <c r="L1942" i="1"/>
  <c r="Q1942" i="1" s="1"/>
  <c r="P1942" i="1" s="1"/>
  <c r="V1941" i="1"/>
  <c r="U1941" i="1"/>
  <c r="T1941" i="1"/>
  <c r="S1941" i="1"/>
  <c r="N1941" i="1"/>
  <c r="O1941" i="1" s="1"/>
  <c r="M1941" i="1"/>
  <c r="L1941" i="1"/>
  <c r="Q1941" i="1" s="1"/>
  <c r="P1941" i="1" s="1"/>
  <c r="V1940" i="1"/>
  <c r="U1940" i="1"/>
  <c r="T1940" i="1"/>
  <c r="S1940" i="1"/>
  <c r="N1940" i="1"/>
  <c r="M1940" i="1"/>
  <c r="L1940" i="1"/>
  <c r="Q1940" i="1" s="1"/>
  <c r="P1940" i="1" s="1"/>
  <c r="V1939" i="1"/>
  <c r="U1939" i="1"/>
  <c r="T1939" i="1"/>
  <c r="S1939" i="1"/>
  <c r="Q1939" i="1"/>
  <c r="P1939" i="1" s="1"/>
  <c r="N1939" i="1"/>
  <c r="M1939" i="1"/>
  <c r="L1939" i="1"/>
  <c r="V1938" i="1"/>
  <c r="U1938" i="1"/>
  <c r="T1938" i="1"/>
  <c r="S1938" i="1"/>
  <c r="Q1938" i="1"/>
  <c r="P1938" i="1" s="1"/>
  <c r="N1938" i="1"/>
  <c r="M1938" i="1"/>
  <c r="L1938" i="1"/>
  <c r="V1937" i="1"/>
  <c r="U1937" i="1"/>
  <c r="T1937" i="1"/>
  <c r="S1937" i="1"/>
  <c r="Q1937" i="1"/>
  <c r="P1937" i="1" s="1"/>
  <c r="N1937" i="1"/>
  <c r="M1937" i="1"/>
  <c r="L1937" i="1"/>
  <c r="V1936" i="1"/>
  <c r="U1936" i="1"/>
  <c r="T1936" i="1"/>
  <c r="S1936" i="1"/>
  <c r="N1936" i="1"/>
  <c r="M1936" i="1"/>
  <c r="L1936" i="1"/>
  <c r="Q1936" i="1" s="1"/>
  <c r="P1936" i="1" s="1"/>
  <c r="V1661" i="1"/>
  <c r="U1661" i="1"/>
  <c r="T1661" i="1"/>
  <c r="S1661" i="1"/>
  <c r="Q1661" i="1"/>
  <c r="P1661" i="1" s="1"/>
  <c r="N1661" i="1"/>
  <c r="M1661" i="1"/>
  <c r="L1661" i="1"/>
  <c r="V1660" i="1"/>
  <c r="U1660" i="1"/>
  <c r="T1660" i="1"/>
  <c r="S1660" i="1"/>
  <c r="Q1660" i="1"/>
  <c r="P1660" i="1" s="1"/>
  <c r="N1660" i="1"/>
  <c r="M1660" i="1"/>
  <c r="L1660" i="1"/>
  <c r="V1659" i="1"/>
  <c r="U1659" i="1"/>
  <c r="T1659" i="1"/>
  <c r="S1659" i="1"/>
  <c r="O1659" i="1"/>
  <c r="N1659" i="1"/>
  <c r="M1659" i="1"/>
  <c r="L1659" i="1"/>
  <c r="Q1659" i="1" s="1"/>
  <c r="P1659" i="1" s="1"/>
  <c r="V1935" i="1"/>
  <c r="U1935" i="1"/>
  <c r="T1935" i="1"/>
  <c r="S1935" i="1"/>
  <c r="N1935" i="1"/>
  <c r="M1935" i="1"/>
  <c r="L1935" i="1"/>
  <c r="Q1935" i="1" s="1"/>
  <c r="P1935" i="1" s="1"/>
  <c r="V1934" i="1"/>
  <c r="U1934" i="1"/>
  <c r="T1934" i="1"/>
  <c r="S1934" i="1"/>
  <c r="Q1934" i="1"/>
  <c r="P1934" i="1" s="1"/>
  <c r="N1934" i="1"/>
  <c r="M1934" i="1"/>
  <c r="L1934" i="1"/>
  <c r="V1933" i="1"/>
  <c r="U1933" i="1"/>
  <c r="T1933" i="1"/>
  <c r="S1933" i="1"/>
  <c r="N1933" i="1"/>
  <c r="M1933" i="1"/>
  <c r="O1933" i="1" s="1"/>
  <c r="L1933" i="1"/>
  <c r="Q1933" i="1" s="1"/>
  <c r="P1933" i="1" s="1"/>
  <c r="V1932" i="1"/>
  <c r="U1932" i="1"/>
  <c r="T1932" i="1"/>
  <c r="S1932" i="1"/>
  <c r="N1932" i="1"/>
  <c r="M1932" i="1"/>
  <c r="O1932" i="1" s="1"/>
  <c r="L1932" i="1"/>
  <c r="Q1932" i="1" s="1"/>
  <c r="P1932" i="1" s="1"/>
  <c r="V1931" i="1"/>
  <c r="U1931" i="1"/>
  <c r="T1931" i="1"/>
  <c r="S1931" i="1"/>
  <c r="N1931" i="1"/>
  <c r="M1931" i="1"/>
  <c r="L1931" i="1"/>
  <c r="Q1931" i="1" s="1"/>
  <c r="P1931" i="1" s="1"/>
  <c r="V1930" i="1"/>
  <c r="U1930" i="1"/>
  <c r="T1930" i="1"/>
  <c r="S1930" i="1"/>
  <c r="N1930" i="1"/>
  <c r="M1930" i="1"/>
  <c r="L1930" i="1"/>
  <c r="Q1930" i="1" s="1"/>
  <c r="P1930" i="1" s="1"/>
  <c r="V1929" i="1"/>
  <c r="U1929" i="1"/>
  <c r="T1929" i="1"/>
  <c r="S1929" i="1"/>
  <c r="N1929" i="1"/>
  <c r="M1929" i="1"/>
  <c r="L1929" i="1"/>
  <c r="Q1929" i="1" s="1"/>
  <c r="P1929" i="1" s="1"/>
  <c r="V1928" i="1"/>
  <c r="U1928" i="1"/>
  <c r="T1928" i="1"/>
  <c r="S1928" i="1"/>
  <c r="N1928" i="1"/>
  <c r="M1928" i="1"/>
  <c r="L1928" i="1"/>
  <c r="Q1928" i="1" s="1"/>
  <c r="P1928" i="1" s="1"/>
  <c r="V1927" i="1"/>
  <c r="U1927" i="1"/>
  <c r="T1927" i="1"/>
  <c r="S1927" i="1"/>
  <c r="N1927" i="1"/>
  <c r="M1927" i="1"/>
  <c r="L1927" i="1"/>
  <c r="Q1927" i="1" s="1"/>
  <c r="P1927" i="1" s="1"/>
  <c r="V1926" i="1"/>
  <c r="U1926" i="1"/>
  <c r="T1926" i="1"/>
  <c r="S1926" i="1"/>
  <c r="N1926" i="1"/>
  <c r="M1926" i="1"/>
  <c r="L1926" i="1"/>
  <c r="Q1926" i="1" s="1"/>
  <c r="P1926" i="1" s="1"/>
  <c r="V1925" i="1"/>
  <c r="U1925" i="1"/>
  <c r="T1925" i="1"/>
  <c r="S1925" i="1"/>
  <c r="N1925" i="1"/>
  <c r="M1925" i="1"/>
  <c r="L1925" i="1"/>
  <c r="Q1925" i="1" s="1"/>
  <c r="P1925" i="1" s="1"/>
  <c r="V1924" i="1"/>
  <c r="U1924" i="1"/>
  <c r="T1924" i="1"/>
  <c r="S1924" i="1"/>
  <c r="N1924" i="1"/>
  <c r="M1924" i="1"/>
  <c r="L1924" i="1"/>
  <c r="Q1924" i="1" s="1"/>
  <c r="P1924" i="1" s="1"/>
  <c r="V1923" i="1"/>
  <c r="U1923" i="1"/>
  <c r="T1923" i="1"/>
  <c r="S1923" i="1"/>
  <c r="N1923" i="1"/>
  <c r="M1923" i="1"/>
  <c r="L1923" i="1"/>
  <c r="Q1923" i="1" s="1"/>
  <c r="P1923" i="1" s="1"/>
  <c r="V1922" i="1"/>
  <c r="U1922" i="1"/>
  <c r="T1922" i="1"/>
  <c r="S1922" i="1"/>
  <c r="N1922" i="1"/>
  <c r="M1922" i="1"/>
  <c r="L1922" i="1"/>
  <c r="Q1922" i="1" s="1"/>
  <c r="P1922" i="1" s="1"/>
  <c r="V1921" i="1"/>
  <c r="U1921" i="1"/>
  <c r="T1921" i="1"/>
  <c r="S1921" i="1"/>
  <c r="N1921" i="1"/>
  <c r="M1921" i="1"/>
  <c r="O1921" i="1" s="1"/>
  <c r="L1921" i="1"/>
  <c r="Q1921" i="1" s="1"/>
  <c r="P1921" i="1" s="1"/>
  <c r="V1920" i="1"/>
  <c r="U1920" i="1"/>
  <c r="T1920" i="1"/>
  <c r="S1920" i="1"/>
  <c r="N1920" i="1"/>
  <c r="M1920" i="1"/>
  <c r="L1920" i="1"/>
  <c r="Q1920" i="1" s="1"/>
  <c r="P1920" i="1" s="1"/>
  <c r="V1919" i="1"/>
  <c r="U1919" i="1"/>
  <c r="T1919" i="1"/>
  <c r="S1919" i="1"/>
  <c r="N1919" i="1"/>
  <c r="M1919" i="1"/>
  <c r="O1919" i="1" s="1"/>
  <c r="L1919" i="1"/>
  <c r="Q1919" i="1" s="1"/>
  <c r="P1919" i="1" s="1"/>
  <c r="V1918" i="1"/>
  <c r="U1918" i="1"/>
  <c r="T1918" i="1"/>
  <c r="S1918" i="1"/>
  <c r="N1918" i="1"/>
  <c r="M1918" i="1"/>
  <c r="L1918" i="1"/>
  <c r="Q1918" i="1" s="1"/>
  <c r="P1918" i="1" s="1"/>
  <c r="V1917" i="1"/>
  <c r="U1917" i="1"/>
  <c r="T1917" i="1"/>
  <c r="S1917" i="1"/>
  <c r="Q1917" i="1"/>
  <c r="P1917" i="1" s="1"/>
  <c r="N1917" i="1"/>
  <c r="M1917" i="1"/>
  <c r="O1917" i="1" s="1"/>
  <c r="L1917" i="1"/>
  <c r="V1916" i="1"/>
  <c r="U1916" i="1"/>
  <c r="T1916" i="1"/>
  <c r="S1916" i="1"/>
  <c r="N1916" i="1"/>
  <c r="M1916" i="1"/>
  <c r="L1916" i="1"/>
  <c r="Q1916" i="1" s="1"/>
  <c r="P1916" i="1" s="1"/>
  <c r="V1915" i="1"/>
  <c r="U1915" i="1"/>
  <c r="T1915" i="1"/>
  <c r="S1915" i="1"/>
  <c r="N1915" i="1"/>
  <c r="M1915" i="1"/>
  <c r="O1915" i="1" s="1"/>
  <c r="L1915" i="1"/>
  <c r="Q1915" i="1" s="1"/>
  <c r="P1915" i="1" s="1"/>
  <c r="V1914" i="1"/>
  <c r="U1914" i="1"/>
  <c r="T1914" i="1"/>
  <c r="S1914" i="1"/>
  <c r="N1914" i="1"/>
  <c r="M1914" i="1"/>
  <c r="L1914" i="1"/>
  <c r="Q1914" i="1" s="1"/>
  <c r="P1914" i="1" s="1"/>
  <c r="V1913" i="1"/>
  <c r="U1913" i="1"/>
  <c r="T1913" i="1"/>
  <c r="S1913" i="1"/>
  <c r="N1913" i="1"/>
  <c r="M1913" i="1"/>
  <c r="L1913" i="1"/>
  <c r="Q1913" i="1" s="1"/>
  <c r="P1913" i="1" s="1"/>
  <c r="V1912" i="1"/>
  <c r="U1912" i="1"/>
  <c r="T1912" i="1"/>
  <c r="S1912" i="1"/>
  <c r="Q1912" i="1"/>
  <c r="P1912" i="1" s="1"/>
  <c r="N1912" i="1"/>
  <c r="M1912" i="1"/>
  <c r="L1912" i="1"/>
  <c r="V1911" i="1"/>
  <c r="U1911" i="1"/>
  <c r="T1911" i="1"/>
  <c r="S1911" i="1"/>
  <c r="Q1911" i="1"/>
  <c r="P1911" i="1" s="1"/>
  <c r="N1911" i="1"/>
  <c r="M1911" i="1"/>
  <c r="L1911" i="1"/>
  <c r="V1910" i="1"/>
  <c r="U1910" i="1"/>
  <c r="T1910" i="1"/>
  <c r="S1910" i="1"/>
  <c r="N1910" i="1"/>
  <c r="M1910" i="1"/>
  <c r="O1910" i="1" s="1"/>
  <c r="L1910" i="1"/>
  <c r="Q1910" i="1" s="1"/>
  <c r="P1910" i="1" s="1"/>
  <c r="V1909" i="1"/>
  <c r="U1909" i="1"/>
  <c r="T1909" i="1"/>
  <c r="S1909" i="1"/>
  <c r="Q1909" i="1"/>
  <c r="P1909" i="1" s="1"/>
  <c r="N1909" i="1"/>
  <c r="M1909" i="1"/>
  <c r="O1909" i="1" s="1"/>
  <c r="L1909" i="1"/>
  <c r="V1908" i="1"/>
  <c r="U1908" i="1"/>
  <c r="T1908" i="1"/>
  <c r="S1908" i="1"/>
  <c r="Q1908" i="1"/>
  <c r="P1908" i="1" s="1"/>
  <c r="N1908" i="1"/>
  <c r="M1908" i="1"/>
  <c r="L1908" i="1"/>
  <c r="V1907" i="1"/>
  <c r="U1907" i="1"/>
  <c r="T1907" i="1"/>
  <c r="S1907" i="1"/>
  <c r="N1907" i="1"/>
  <c r="M1907" i="1"/>
  <c r="L1907" i="1"/>
  <c r="Q1907" i="1" s="1"/>
  <c r="P1907" i="1" s="1"/>
  <c r="V1906" i="1"/>
  <c r="U1906" i="1"/>
  <c r="T1906" i="1"/>
  <c r="S1906" i="1"/>
  <c r="N1906" i="1"/>
  <c r="M1906" i="1"/>
  <c r="L1906" i="1"/>
  <c r="Q1906" i="1" s="1"/>
  <c r="P1906" i="1" s="1"/>
  <c r="V1905" i="1"/>
  <c r="U1905" i="1"/>
  <c r="T1905" i="1"/>
  <c r="S1905" i="1"/>
  <c r="N1905" i="1"/>
  <c r="M1905" i="1"/>
  <c r="L1905" i="1"/>
  <c r="Q1905" i="1" s="1"/>
  <c r="P1905" i="1" s="1"/>
  <c r="V1904" i="1"/>
  <c r="U1904" i="1"/>
  <c r="T1904" i="1"/>
  <c r="S1904" i="1"/>
  <c r="Q1904" i="1"/>
  <c r="P1904" i="1" s="1"/>
  <c r="N1904" i="1"/>
  <c r="M1904" i="1"/>
  <c r="O1904" i="1" s="1"/>
  <c r="L1904" i="1"/>
  <c r="V1903" i="1"/>
  <c r="U1903" i="1"/>
  <c r="T1903" i="1"/>
  <c r="S1903" i="1"/>
  <c r="Q1903" i="1"/>
  <c r="P1903" i="1" s="1"/>
  <c r="N1903" i="1"/>
  <c r="M1903" i="1"/>
  <c r="L1903" i="1"/>
  <c r="V1658" i="1"/>
  <c r="U1658" i="1"/>
  <c r="T1658" i="1"/>
  <c r="S1658" i="1"/>
  <c r="Q1658" i="1"/>
  <c r="P1658" i="1" s="1"/>
  <c r="N1658" i="1"/>
  <c r="M1658" i="1"/>
  <c r="L1658" i="1"/>
  <c r="V1657" i="1"/>
  <c r="U1657" i="1"/>
  <c r="T1657" i="1"/>
  <c r="S1657" i="1"/>
  <c r="N1657" i="1"/>
  <c r="M1657" i="1"/>
  <c r="L1657" i="1"/>
  <c r="Q1657" i="1" s="1"/>
  <c r="P1657" i="1" s="1"/>
  <c r="V1656" i="1"/>
  <c r="U1656" i="1"/>
  <c r="T1656" i="1"/>
  <c r="S1656" i="1"/>
  <c r="N1656" i="1"/>
  <c r="M1656" i="1"/>
  <c r="O1656" i="1" s="1"/>
  <c r="L1656" i="1"/>
  <c r="Q1656" i="1" s="1"/>
  <c r="P1656" i="1" s="1"/>
  <c r="V1655" i="1"/>
  <c r="U1655" i="1"/>
  <c r="T1655" i="1"/>
  <c r="S1655" i="1"/>
  <c r="N1655" i="1"/>
  <c r="M1655" i="1"/>
  <c r="O1655" i="1" s="1"/>
  <c r="L1655" i="1"/>
  <c r="Q1655" i="1" s="1"/>
  <c r="P1655" i="1" s="1"/>
  <c r="V1844" i="1"/>
  <c r="U1844" i="1"/>
  <c r="T1844" i="1"/>
  <c r="S1844" i="1"/>
  <c r="N1844" i="1"/>
  <c r="M1844" i="1"/>
  <c r="L1844" i="1"/>
  <c r="Q1844" i="1" s="1"/>
  <c r="P1844" i="1" s="1"/>
  <c r="V1902" i="1"/>
  <c r="U1902" i="1"/>
  <c r="T1902" i="1"/>
  <c r="S1902" i="1"/>
  <c r="N1902" i="1"/>
  <c r="M1902" i="1"/>
  <c r="O1902" i="1" s="1"/>
  <c r="L1902" i="1"/>
  <c r="Q1902" i="1" s="1"/>
  <c r="P1902" i="1" s="1"/>
  <c r="V1901" i="1"/>
  <c r="U1901" i="1"/>
  <c r="T1901" i="1"/>
  <c r="S1901" i="1"/>
  <c r="N1901" i="1"/>
  <c r="M1901" i="1"/>
  <c r="O1901" i="1" s="1"/>
  <c r="L1901" i="1"/>
  <c r="Q1901" i="1" s="1"/>
  <c r="P1901" i="1" s="1"/>
  <c r="V1900" i="1"/>
  <c r="U1900" i="1"/>
  <c r="T1900" i="1"/>
  <c r="S1900" i="1"/>
  <c r="N1900" i="1"/>
  <c r="M1900" i="1"/>
  <c r="L1900" i="1"/>
  <c r="Q1900" i="1" s="1"/>
  <c r="P1900" i="1" s="1"/>
  <c r="V1899" i="1"/>
  <c r="U1899" i="1"/>
  <c r="T1899" i="1"/>
  <c r="S1899" i="1"/>
  <c r="N1899" i="1"/>
  <c r="M1899" i="1"/>
  <c r="O1899" i="1" s="1"/>
  <c r="L1899" i="1"/>
  <c r="Q1899" i="1" s="1"/>
  <c r="P1899" i="1" s="1"/>
  <c r="V1898" i="1"/>
  <c r="U1898" i="1"/>
  <c r="T1898" i="1"/>
  <c r="S1898" i="1"/>
  <c r="N1898" i="1"/>
  <c r="O1898" i="1" s="1"/>
  <c r="M1898" i="1"/>
  <c r="L1898" i="1"/>
  <c r="Q1898" i="1" s="1"/>
  <c r="P1898" i="1" s="1"/>
  <c r="V1897" i="1"/>
  <c r="U1897" i="1"/>
  <c r="T1897" i="1"/>
  <c r="S1897" i="1"/>
  <c r="N1897" i="1"/>
  <c r="M1897" i="1"/>
  <c r="L1897" i="1"/>
  <c r="Q1897" i="1" s="1"/>
  <c r="P1897" i="1" s="1"/>
  <c r="V1896" i="1"/>
  <c r="U1896" i="1"/>
  <c r="T1896" i="1"/>
  <c r="S1896" i="1"/>
  <c r="N1896" i="1"/>
  <c r="M1896" i="1"/>
  <c r="L1896" i="1"/>
  <c r="Q1896" i="1" s="1"/>
  <c r="P1896" i="1" s="1"/>
  <c r="V1895" i="1"/>
  <c r="U1895" i="1"/>
  <c r="T1895" i="1"/>
  <c r="S1895" i="1"/>
  <c r="Q1895" i="1"/>
  <c r="P1895" i="1" s="1"/>
  <c r="N1895" i="1"/>
  <c r="M1895" i="1"/>
  <c r="L1895" i="1"/>
  <c r="V1894" i="1"/>
  <c r="U1894" i="1"/>
  <c r="T1894" i="1"/>
  <c r="S1894" i="1"/>
  <c r="N1894" i="1"/>
  <c r="M1894" i="1"/>
  <c r="L1894" i="1"/>
  <c r="Q1894" i="1" s="1"/>
  <c r="P1894" i="1" s="1"/>
  <c r="V1893" i="1"/>
  <c r="U1893" i="1"/>
  <c r="T1893" i="1"/>
  <c r="S1893" i="1"/>
  <c r="N1893" i="1"/>
  <c r="M1893" i="1"/>
  <c r="L1893" i="1"/>
  <c r="Q1893" i="1" s="1"/>
  <c r="P1893" i="1" s="1"/>
  <c r="V1892" i="1"/>
  <c r="U1892" i="1"/>
  <c r="T1892" i="1"/>
  <c r="S1892" i="1"/>
  <c r="N1892" i="1"/>
  <c r="M1892" i="1"/>
  <c r="O1892" i="1" s="1"/>
  <c r="L1892" i="1"/>
  <c r="Q1892" i="1" s="1"/>
  <c r="P1892" i="1" s="1"/>
  <c r="V1891" i="1"/>
  <c r="U1891" i="1"/>
  <c r="T1891" i="1"/>
  <c r="S1891" i="1"/>
  <c r="Q1891" i="1"/>
  <c r="P1891" i="1" s="1"/>
  <c r="N1891" i="1"/>
  <c r="M1891" i="1"/>
  <c r="L1891" i="1"/>
  <c r="V1890" i="1"/>
  <c r="U1890" i="1"/>
  <c r="T1890" i="1"/>
  <c r="S1890" i="1"/>
  <c r="N1890" i="1"/>
  <c r="O1890" i="1" s="1"/>
  <c r="M1890" i="1"/>
  <c r="L1890" i="1"/>
  <c r="Q1890" i="1" s="1"/>
  <c r="P1890" i="1" s="1"/>
  <c r="V1889" i="1"/>
  <c r="U1889" i="1"/>
  <c r="T1889" i="1"/>
  <c r="S1889" i="1"/>
  <c r="N1889" i="1"/>
  <c r="M1889" i="1"/>
  <c r="L1889" i="1"/>
  <c r="Q1889" i="1" s="1"/>
  <c r="P1889" i="1" s="1"/>
  <c r="V1888" i="1"/>
  <c r="U1888" i="1"/>
  <c r="T1888" i="1"/>
  <c r="S1888" i="1"/>
  <c r="Q1888" i="1"/>
  <c r="P1888" i="1" s="1"/>
  <c r="O1888" i="1"/>
  <c r="N1888" i="1"/>
  <c r="M1888" i="1"/>
  <c r="L1888" i="1"/>
  <c r="V1887" i="1"/>
  <c r="U1887" i="1"/>
  <c r="T1887" i="1"/>
  <c r="S1887" i="1"/>
  <c r="N1887" i="1"/>
  <c r="M1887" i="1"/>
  <c r="L1887" i="1"/>
  <c r="Q1887" i="1" s="1"/>
  <c r="P1887" i="1" s="1"/>
  <c r="V1886" i="1"/>
  <c r="U1886" i="1"/>
  <c r="T1886" i="1"/>
  <c r="S1886" i="1"/>
  <c r="N1886" i="1"/>
  <c r="M1886" i="1"/>
  <c r="O1886" i="1" s="1"/>
  <c r="L1886" i="1"/>
  <c r="Q1886" i="1" s="1"/>
  <c r="P1886" i="1" s="1"/>
  <c r="V1885" i="1"/>
  <c r="U1885" i="1"/>
  <c r="T1885" i="1"/>
  <c r="S1885" i="1"/>
  <c r="N1885" i="1"/>
  <c r="M1885" i="1"/>
  <c r="O1885" i="1" s="1"/>
  <c r="L1885" i="1"/>
  <c r="Q1885" i="1" s="1"/>
  <c r="P1885" i="1" s="1"/>
  <c r="V1884" i="1"/>
  <c r="U1884" i="1"/>
  <c r="T1884" i="1"/>
  <c r="S1884" i="1"/>
  <c r="Q1884" i="1"/>
  <c r="P1884" i="1" s="1"/>
  <c r="N1884" i="1"/>
  <c r="M1884" i="1"/>
  <c r="L1884" i="1"/>
  <c r="V1883" i="1"/>
  <c r="U1883" i="1"/>
  <c r="T1883" i="1"/>
  <c r="S1883" i="1"/>
  <c r="O1883" i="1"/>
  <c r="N1883" i="1"/>
  <c r="M1883" i="1"/>
  <c r="L1883" i="1"/>
  <c r="Q1883" i="1" s="1"/>
  <c r="P1883" i="1" s="1"/>
  <c r="V1882" i="1"/>
  <c r="U1882" i="1"/>
  <c r="T1882" i="1"/>
  <c r="S1882" i="1"/>
  <c r="Q1882" i="1"/>
  <c r="P1882" i="1" s="1"/>
  <c r="N1882" i="1"/>
  <c r="M1882" i="1"/>
  <c r="O1882" i="1" s="1"/>
  <c r="L1882" i="1"/>
  <c r="V1881" i="1"/>
  <c r="U1881" i="1"/>
  <c r="T1881" i="1"/>
  <c r="S1881" i="1"/>
  <c r="Q1881" i="1"/>
  <c r="P1881" i="1" s="1"/>
  <c r="N1881" i="1"/>
  <c r="M1881" i="1"/>
  <c r="O1881" i="1" s="1"/>
  <c r="L1881" i="1"/>
  <c r="V1880" i="1"/>
  <c r="U1880" i="1"/>
  <c r="T1880" i="1"/>
  <c r="S1880" i="1"/>
  <c r="N1880" i="1"/>
  <c r="M1880" i="1"/>
  <c r="L1880" i="1"/>
  <c r="Q1880" i="1" s="1"/>
  <c r="P1880" i="1" s="1"/>
  <c r="V1879" i="1"/>
  <c r="U1879" i="1"/>
  <c r="T1879" i="1"/>
  <c r="S1879" i="1"/>
  <c r="N1879" i="1"/>
  <c r="M1879" i="1"/>
  <c r="L1879" i="1"/>
  <c r="Q1879" i="1" s="1"/>
  <c r="P1879" i="1" s="1"/>
  <c r="V1878" i="1"/>
  <c r="U1878" i="1"/>
  <c r="T1878" i="1"/>
  <c r="S1878" i="1"/>
  <c r="N1878" i="1"/>
  <c r="M1878" i="1"/>
  <c r="L1878" i="1"/>
  <c r="Q1878" i="1" s="1"/>
  <c r="P1878" i="1" s="1"/>
  <c r="V1877" i="1"/>
  <c r="U1877" i="1"/>
  <c r="T1877" i="1"/>
  <c r="S1877" i="1"/>
  <c r="Q1877" i="1"/>
  <c r="P1877" i="1" s="1"/>
  <c r="O1877" i="1"/>
  <c r="N1877" i="1"/>
  <c r="M1877" i="1"/>
  <c r="L1877" i="1"/>
  <c r="V1876" i="1"/>
  <c r="U1876" i="1"/>
  <c r="T1876" i="1"/>
  <c r="S1876" i="1"/>
  <c r="N1876" i="1"/>
  <c r="M1876" i="1"/>
  <c r="L1876" i="1"/>
  <c r="Q1876" i="1" s="1"/>
  <c r="P1876" i="1" s="1"/>
  <c r="V1875" i="1"/>
  <c r="U1875" i="1"/>
  <c r="T1875" i="1"/>
  <c r="S1875" i="1"/>
  <c r="N1875" i="1"/>
  <c r="M1875" i="1"/>
  <c r="L1875" i="1"/>
  <c r="Q1875" i="1" s="1"/>
  <c r="P1875" i="1" s="1"/>
  <c r="V1874" i="1"/>
  <c r="U1874" i="1"/>
  <c r="T1874" i="1"/>
  <c r="S1874" i="1"/>
  <c r="N1874" i="1"/>
  <c r="M1874" i="1"/>
  <c r="L1874" i="1"/>
  <c r="Q1874" i="1" s="1"/>
  <c r="P1874" i="1" s="1"/>
  <c r="V1873" i="1"/>
  <c r="U1873" i="1"/>
  <c r="T1873" i="1"/>
  <c r="S1873" i="1"/>
  <c r="N1873" i="1"/>
  <c r="M1873" i="1"/>
  <c r="L1873" i="1"/>
  <c r="Q1873" i="1" s="1"/>
  <c r="P1873" i="1" s="1"/>
  <c r="V1872" i="1"/>
  <c r="U1872" i="1"/>
  <c r="T1872" i="1"/>
  <c r="S1872" i="1"/>
  <c r="N1872" i="1"/>
  <c r="M1872" i="1"/>
  <c r="L1872" i="1"/>
  <c r="Q1872" i="1" s="1"/>
  <c r="P1872" i="1" s="1"/>
  <c r="V1871" i="1"/>
  <c r="U1871" i="1"/>
  <c r="T1871" i="1"/>
  <c r="S1871" i="1"/>
  <c r="N1871" i="1"/>
  <c r="M1871" i="1"/>
  <c r="L1871" i="1"/>
  <c r="Q1871" i="1" s="1"/>
  <c r="P1871" i="1" s="1"/>
  <c r="V1870" i="1"/>
  <c r="U1870" i="1"/>
  <c r="T1870" i="1"/>
  <c r="S1870" i="1"/>
  <c r="N1870" i="1"/>
  <c r="M1870" i="1"/>
  <c r="O1870" i="1" s="1"/>
  <c r="L1870" i="1"/>
  <c r="Q1870" i="1" s="1"/>
  <c r="P1870" i="1" s="1"/>
  <c r="V1869" i="1"/>
  <c r="U1869" i="1"/>
  <c r="T1869" i="1"/>
  <c r="S1869" i="1"/>
  <c r="N1869" i="1"/>
  <c r="M1869" i="1"/>
  <c r="O1869" i="1" s="1"/>
  <c r="L1869" i="1"/>
  <c r="Q1869" i="1" s="1"/>
  <c r="P1869" i="1" s="1"/>
  <c r="V1868" i="1"/>
  <c r="U1868" i="1"/>
  <c r="T1868" i="1"/>
  <c r="S1868" i="1"/>
  <c r="N1868" i="1"/>
  <c r="M1868" i="1"/>
  <c r="L1868" i="1"/>
  <c r="Q1868" i="1" s="1"/>
  <c r="P1868" i="1" s="1"/>
  <c r="V1867" i="1"/>
  <c r="U1867" i="1"/>
  <c r="T1867" i="1"/>
  <c r="S1867" i="1"/>
  <c r="N1867" i="1"/>
  <c r="M1867" i="1"/>
  <c r="O1867" i="1" s="1"/>
  <c r="L1867" i="1"/>
  <c r="Q1867" i="1" s="1"/>
  <c r="P1867" i="1" s="1"/>
  <c r="V1866" i="1"/>
  <c r="U1866" i="1"/>
  <c r="T1866" i="1"/>
  <c r="S1866" i="1"/>
  <c r="N1866" i="1"/>
  <c r="M1866" i="1"/>
  <c r="O1866" i="1" s="1"/>
  <c r="L1866" i="1"/>
  <c r="Q1866" i="1" s="1"/>
  <c r="P1866" i="1" s="1"/>
  <c r="V1865" i="1"/>
  <c r="U1865" i="1"/>
  <c r="T1865" i="1"/>
  <c r="S1865" i="1"/>
  <c r="N1865" i="1"/>
  <c r="M1865" i="1"/>
  <c r="L1865" i="1"/>
  <c r="Q1865" i="1" s="1"/>
  <c r="P1865" i="1" s="1"/>
  <c r="V1864" i="1"/>
  <c r="U1864" i="1"/>
  <c r="T1864" i="1"/>
  <c r="S1864" i="1"/>
  <c r="N1864" i="1"/>
  <c r="M1864" i="1"/>
  <c r="O1864" i="1" s="1"/>
  <c r="L1864" i="1"/>
  <c r="Q1864" i="1" s="1"/>
  <c r="P1864" i="1" s="1"/>
  <c r="V1863" i="1"/>
  <c r="U1863" i="1"/>
  <c r="T1863" i="1"/>
  <c r="S1863" i="1"/>
  <c r="N1863" i="1"/>
  <c r="M1863" i="1"/>
  <c r="L1863" i="1"/>
  <c r="Q1863" i="1" s="1"/>
  <c r="P1863" i="1" s="1"/>
  <c r="V1862" i="1"/>
  <c r="U1862" i="1"/>
  <c r="T1862" i="1"/>
  <c r="S1862" i="1"/>
  <c r="N1862" i="1"/>
  <c r="O1862" i="1" s="1"/>
  <c r="M1862" i="1"/>
  <c r="L1862" i="1"/>
  <c r="Q1862" i="1" s="1"/>
  <c r="P1862" i="1" s="1"/>
  <c r="V1861" i="1"/>
  <c r="U1861" i="1"/>
  <c r="T1861" i="1"/>
  <c r="S1861" i="1"/>
  <c r="N1861" i="1"/>
  <c r="M1861" i="1"/>
  <c r="L1861" i="1"/>
  <c r="Q1861" i="1" s="1"/>
  <c r="P1861" i="1" s="1"/>
  <c r="V1860" i="1"/>
  <c r="U1860" i="1"/>
  <c r="T1860" i="1"/>
  <c r="S1860" i="1"/>
  <c r="N1860" i="1"/>
  <c r="O1860" i="1" s="1"/>
  <c r="M1860" i="1"/>
  <c r="L1860" i="1"/>
  <c r="Q1860" i="1" s="1"/>
  <c r="P1860" i="1" s="1"/>
  <c r="V1859" i="1"/>
  <c r="U1859" i="1"/>
  <c r="T1859" i="1"/>
  <c r="S1859" i="1"/>
  <c r="N1859" i="1"/>
  <c r="M1859" i="1"/>
  <c r="L1859" i="1"/>
  <c r="Q1859" i="1" s="1"/>
  <c r="P1859" i="1" s="1"/>
  <c r="V1858" i="1"/>
  <c r="U1858" i="1"/>
  <c r="T1858" i="1"/>
  <c r="S1858" i="1"/>
  <c r="N1858" i="1"/>
  <c r="M1858" i="1"/>
  <c r="L1858" i="1"/>
  <c r="Q1858" i="1" s="1"/>
  <c r="P1858" i="1" s="1"/>
  <c r="V1857" i="1"/>
  <c r="U1857" i="1"/>
  <c r="T1857" i="1"/>
  <c r="S1857" i="1"/>
  <c r="N1857" i="1"/>
  <c r="M1857" i="1"/>
  <c r="L1857" i="1"/>
  <c r="Q1857" i="1" s="1"/>
  <c r="P1857" i="1" s="1"/>
  <c r="V1856" i="1"/>
  <c r="U1856" i="1"/>
  <c r="T1856" i="1"/>
  <c r="S1856" i="1"/>
  <c r="N1856" i="1"/>
  <c r="M1856" i="1"/>
  <c r="L1856" i="1"/>
  <c r="Q1856" i="1" s="1"/>
  <c r="P1856" i="1" s="1"/>
  <c r="V1855" i="1"/>
  <c r="U1855" i="1"/>
  <c r="T1855" i="1"/>
  <c r="S1855" i="1"/>
  <c r="Q1855" i="1"/>
  <c r="P1855" i="1" s="1"/>
  <c r="O1855" i="1"/>
  <c r="N1855" i="1"/>
  <c r="M1855" i="1"/>
  <c r="L1855" i="1"/>
  <c r="V1854" i="1"/>
  <c r="U1854" i="1"/>
  <c r="T1854" i="1"/>
  <c r="S1854" i="1"/>
  <c r="Q1854" i="1"/>
  <c r="P1854" i="1" s="1"/>
  <c r="N1854" i="1"/>
  <c r="M1854" i="1"/>
  <c r="L1854" i="1"/>
  <c r="V1853" i="1"/>
  <c r="U1853" i="1"/>
  <c r="T1853" i="1"/>
  <c r="S1853" i="1"/>
  <c r="N1853" i="1"/>
  <c r="M1853" i="1"/>
  <c r="L1853" i="1"/>
  <c r="Q1853" i="1" s="1"/>
  <c r="P1853" i="1" s="1"/>
  <c r="V1852" i="1"/>
  <c r="U1852" i="1"/>
  <c r="T1852" i="1"/>
  <c r="S1852" i="1"/>
  <c r="N1852" i="1"/>
  <c r="M1852" i="1"/>
  <c r="L1852" i="1"/>
  <c r="Q1852" i="1" s="1"/>
  <c r="P1852" i="1" s="1"/>
  <c r="V1851" i="1"/>
  <c r="U1851" i="1"/>
  <c r="T1851" i="1"/>
  <c r="S1851" i="1"/>
  <c r="N1851" i="1"/>
  <c r="M1851" i="1"/>
  <c r="O1851" i="1" s="1"/>
  <c r="L1851" i="1"/>
  <c r="Q1851" i="1" s="1"/>
  <c r="P1851" i="1" s="1"/>
  <c r="V1850" i="1"/>
  <c r="U1850" i="1"/>
  <c r="T1850" i="1"/>
  <c r="S1850" i="1"/>
  <c r="N1850" i="1"/>
  <c r="M1850" i="1"/>
  <c r="L1850" i="1"/>
  <c r="Q1850" i="1" s="1"/>
  <c r="P1850" i="1" s="1"/>
  <c r="V1849" i="1"/>
  <c r="U1849" i="1"/>
  <c r="T1849" i="1"/>
  <c r="S1849" i="1"/>
  <c r="N1849" i="1"/>
  <c r="M1849" i="1"/>
  <c r="L1849" i="1"/>
  <c r="Q1849" i="1" s="1"/>
  <c r="P1849" i="1" s="1"/>
  <c r="V1848" i="1"/>
  <c r="U1848" i="1"/>
  <c r="T1848" i="1"/>
  <c r="S1848" i="1"/>
  <c r="N1848" i="1"/>
  <c r="M1848" i="1"/>
  <c r="L1848" i="1"/>
  <c r="Q1848" i="1" s="1"/>
  <c r="P1848" i="1" s="1"/>
  <c r="V61" i="1"/>
  <c r="U61" i="1"/>
  <c r="T61" i="1"/>
  <c r="S61" i="1"/>
  <c r="N61" i="1"/>
  <c r="M61" i="1"/>
  <c r="L61" i="1"/>
  <c r="Q61" i="1" s="1"/>
  <c r="P61" i="1" s="1"/>
  <c r="V60" i="1"/>
  <c r="U60" i="1"/>
  <c r="T60" i="1"/>
  <c r="S60" i="1"/>
  <c r="N60" i="1"/>
  <c r="M60" i="1"/>
  <c r="L60" i="1"/>
  <c r="Q60" i="1" s="1"/>
  <c r="P60" i="1" s="1"/>
  <c r="V59" i="1"/>
  <c r="U59" i="1"/>
  <c r="T59" i="1"/>
  <c r="S59" i="1"/>
  <c r="N59" i="1"/>
  <c r="M59" i="1"/>
  <c r="O59" i="1" s="1"/>
  <c r="L59" i="1"/>
  <c r="Q59" i="1" s="1"/>
  <c r="P59" i="1" s="1"/>
  <c r="V58" i="1"/>
  <c r="U58" i="1"/>
  <c r="T58" i="1"/>
  <c r="S58" i="1"/>
  <c r="N58" i="1"/>
  <c r="M58" i="1"/>
  <c r="L58" i="1"/>
  <c r="Q58" i="1" s="1"/>
  <c r="P58" i="1" s="1"/>
  <c r="V57" i="1"/>
  <c r="U57" i="1"/>
  <c r="T57" i="1"/>
  <c r="S57" i="1"/>
  <c r="N57" i="1"/>
  <c r="M57" i="1"/>
  <c r="L57" i="1"/>
  <c r="Q57" i="1" s="1"/>
  <c r="P57" i="1" s="1"/>
  <c r="V56" i="1"/>
  <c r="U56" i="1"/>
  <c r="T56" i="1"/>
  <c r="S56" i="1"/>
  <c r="N56" i="1"/>
  <c r="M56" i="1"/>
  <c r="O56" i="1" s="1"/>
  <c r="L56" i="1"/>
  <c r="Q56" i="1" s="1"/>
  <c r="P56" i="1" s="1"/>
  <c r="V55" i="1"/>
  <c r="U55" i="1"/>
  <c r="T55" i="1"/>
  <c r="S55" i="1"/>
  <c r="N55" i="1"/>
  <c r="M55" i="1"/>
  <c r="L55" i="1"/>
  <c r="Q55" i="1" s="1"/>
  <c r="P55" i="1" s="1"/>
  <c r="V54" i="1"/>
  <c r="U54" i="1"/>
  <c r="T54" i="1"/>
  <c r="S54" i="1"/>
  <c r="N54" i="1"/>
  <c r="M54" i="1"/>
  <c r="O54" i="1" s="1"/>
  <c r="L54" i="1"/>
  <c r="Q54" i="1" s="1"/>
  <c r="P54" i="1" s="1"/>
  <c r="V53" i="1"/>
  <c r="U53" i="1"/>
  <c r="T53" i="1"/>
  <c r="S53" i="1"/>
  <c r="N53" i="1"/>
  <c r="M53" i="1"/>
  <c r="O53" i="1" s="1"/>
  <c r="L53" i="1"/>
  <c r="Q53" i="1" s="1"/>
  <c r="P53" i="1" s="1"/>
  <c r="V52" i="1"/>
  <c r="U52" i="1"/>
  <c r="T52" i="1"/>
  <c r="S52" i="1"/>
  <c r="N52" i="1"/>
  <c r="M52" i="1"/>
  <c r="L52" i="1"/>
  <c r="Q52" i="1" s="1"/>
  <c r="P52" i="1" s="1"/>
  <c r="V51" i="1"/>
  <c r="U51" i="1"/>
  <c r="T51" i="1"/>
  <c r="S51" i="1"/>
  <c r="N51" i="1"/>
  <c r="M51" i="1"/>
  <c r="L51" i="1"/>
  <c r="Q51" i="1" s="1"/>
  <c r="P51" i="1" s="1"/>
  <c r="V50" i="1"/>
  <c r="U50" i="1"/>
  <c r="T50" i="1"/>
  <c r="S50" i="1"/>
  <c r="N50" i="1"/>
  <c r="M50" i="1"/>
  <c r="L50" i="1"/>
  <c r="Q50" i="1" s="1"/>
  <c r="P50" i="1" s="1"/>
  <c r="V49" i="1"/>
  <c r="U49" i="1"/>
  <c r="T49" i="1"/>
  <c r="S49" i="1"/>
  <c r="N49" i="1"/>
  <c r="M49" i="1"/>
  <c r="O49" i="1" s="1"/>
  <c r="L49" i="1"/>
  <c r="Q49" i="1" s="1"/>
  <c r="P49" i="1" s="1"/>
  <c r="V48" i="1"/>
  <c r="U48" i="1"/>
  <c r="T48" i="1"/>
  <c r="S48" i="1"/>
  <c r="N48" i="1"/>
  <c r="M48" i="1"/>
  <c r="L48" i="1"/>
  <c r="Q48" i="1" s="1"/>
  <c r="P48" i="1" s="1"/>
  <c r="V47" i="1"/>
  <c r="U47" i="1"/>
  <c r="T47" i="1"/>
  <c r="S47" i="1"/>
  <c r="N47" i="1"/>
  <c r="M47" i="1"/>
  <c r="L47" i="1"/>
  <c r="Q47" i="1" s="1"/>
  <c r="P47" i="1" s="1"/>
  <c r="V46" i="1"/>
  <c r="U46" i="1"/>
  <c r="T46" i="1"/>
  <c r="S46" i="1"/>
  <c r="N46" i="1"/>
  <c r="M46" i="1"/>
  <c r="O46" i="1" s="1"/>
  <c r="L46" i="1"/>
  <c r="Q46" i="1" s="1"/>
  <c r="P46" i="1" s="1"/>
  <c r="V45" i="1"/>
  <c r="U45" i="1"/>
  <c r="T45" i="1"/>
  <c r="S45" i="1"/>
  <c r="N45" i="1"/>
  <c r="M45" i="1"/>
  <c r="O45" i="1" s="1"/>
  <c r="L45" i="1"/>
  <c r="Q45" i="1" s="1"/>
  <c r="P45" i="1" s="1"/>
  <c r="V44" i="1"/>
  <c r="U44" i="1"/>
  <c r="T44" i="1"/>
  <c r="S44" i="1"/>
  <c r="N44" i="1"/>
  <c r="M44" i="1"/>
  <c r="L44" i="1"/>
  <c r="Q44" i="1" s="1"/>
  <c r="P44" i="1" s="1"/>
  <c r="V43" i="1"/>
  <c r="U43" i="1"/>
  <c r="T43" i="1"/>
  <c r="S43" i="1"/>
  <c r="N43" i="1"/>
  <c r="M43" i="1"/>
  <c r="O43" i="1" s="1"/>
  <c r="L43" i="1"/>
  <c r="Q43" i="1" s="1"/>
  <c r="P43" i="1" s="1"/>
  <c r="V42" i="1"/>
  <c r="U42" i="1"/>
  <c r="T42" i="1"/>
  <c r="S42" i="1"/>
  <c r="Q42" i="1"/>
  <c r="P42" i="1" s="1"/>
  <c r="N42" i="1"/>
  <c r="M42" i="1"/>
  <c r="L42" i="1"/>
  <c r="V41" i="1"/>
  <c r="U41" i="1"/>
  <c r="T41" i="1"/>
  <c r="S41" i="1"/>
  <c r="Q41" i="1"/>
  <c r="P41" i="1" s="1"/>
  <c r="N41" i="1"/>
  <c r="M41" i="1"/>
  <c r="L41" i="1"/>
  <c r="V40" i="1"/>
  <c r="U40" i="1"/>
  <c r="T40" i="1"/>
  <c r="S40" i="1"/>
  <c r="N40" i="1"/>
  <c r="M40" i="1"/>
  <c r="O40" i="1" s="1"/>
  <c r="L40" i="1"/>
  <c r="Q40" i="1" s="1"/>
  <c r="P40" i="1" s="1"/>
  <c r="V39" i="1"/>
  <c r="U39" i="1"/>
  <c r="T39" i="1"/>
  <c r="S39" i="1"/>
  <c r="N39" i="1"/>
  <c r="M39" i="1"/>
  <c r="L39" i="1"/>
  <c r="Q39" i="1" s="1"/>
  <c r="P39" i="1" s="1"/>
  <c r="V38" i="1"/>
  <c r="U38" i="1"/>
  <c r="T38" i="1"/>
  <c r="S38" i="1"/>
  <c r="N38" i="1"/>
  <c r="M38" i="1"/>
  <c r="L38" i="1"/>
  <c r="Q38" i="1" s="1"/>
  <c r="P38" i="1" s="1"/>
  <c r="V37" i="1"/>
  <c r="U37" i="1"/>
  <c r="T37" i="1"/>
  <c r="S37" i="1"/>
  <c r="N37" i="1"/>
  <c r="M37" i="1"/>
  <c r="L37" i="1"/>
  <c r="Q37" i="1" s="1"/>
  <c r="P37" i="1" s="1"/>
  <c r="V36" i="1"/>
  <c r="U36" i="1"/>
  <c r="T36" i="1"/>
  <c r="S36" i="1"/>
  <c r="Q36" i="1"/>
  <c r="P36" i="1" s="1"/>
  <c r="N36" i="1"/>
  <c r="M36" i="1"/>
  <c r="O36" i="1" s="1"/>
  <c r="L36" i="1"/>
  <c r="V35" i="1"/>
  <c r="U35" i="1"/>
  <c r="T35" i="1"/>
  <c r="S35" i="1"/>
  <c r="N35" i="1"/>
  <c r="M35" i="1"/>
  <c r="L35" i="1"/>
  <c r="Q35" i="1" s="1"/>
  <c r="P35" i="1" s="1"/>
  <c r="V414" i="1"/>
  <c r="U414" i="1"/>
  <c r="T414" i="1"/>
  <c r="S414" i="1"/>
  <c r="N414" i="1"/>
  <c r="M414" i="1"/>
  <c r="L414" i="1"/>
  <c r="Q414" i="1" s="1"/>
  <c r="P414" i="1" s="1"/>
  <c r="V1179" i="1"/>
  <c r="U1179" i="1"/>
  <c r="T1179" i="1"/>
  <c r="S1179" i="1"/>
  <c r="N1179" i="1"/>
  <c r="M1179" i="1"/>
  <c r="O1179" i="1" s="1"/>
  <c r="L1179" i="1"/>
  <c r="Q1179" i="1" s="1"/>
  <c r="P1179" i="1" s="1"/>
  <c r="V1178" i="1"/>
  <c r="U1178" i="1"/>
  <c r="T1178" i="1"/>
  <c r="S1178" i="1"/>
  <c r="N1178" i="1"/>
  <c r="M1178" i="1"/>
  <c r="L1178" i="1"/>
  <c r="Q1178" i="1" s="1"/>
  <c r="P1178" i="1" s="1"/>
  <c r="V1341" i="1"/>
  <c r="U1341" i="1"/>
  <c r="T1341" i="1"/>
  <c r="S1341" i="1"/>
  <c r="N1341" i="1"/>
  <c r="M1341" i="1"/>
  <c r="L1341" i="1"/>
  <c r="Q1341" i="1" s="1"/>
  <c r="P1341" i="1" s="1"/>
  <c r="V1340" i="1"/>
  <c r="U1340" i="1"/>
  <c r="T1340" i="1"/>
  <c r="S1340" i="1"/>
  <c r="N1340" i="1"/>
  <c r="M1340" i="1"/>
  <c r="O1340" i="1" s="1"/>
  <c r="L1340" i="1"/>
  <c r="Q1340" i="1" s="1"/>
  <c r="P1340" i="1" s="1"/>
  <c r="V1339" i="1"/>
  <c r="U1339" i="1"/>
  <c r="T1339" i="1"/>
  <c r="S1339" i="1"/>
  <c r="N1339" i="1"/>
  <c r="M1339" i="1"/>
  <c r="L1339" i="1"/>
  <c r="Q1339" i="1" s="1"/>
  <c r="P1339" i="1" s="1"/>
  <c r="V1338" i="1"/>
  <c r="U1338" i="1"/>
  <c r="T1338" i="1"/>
  <c r="S1338" i="1"/>
  <c r="N1338" i="1"/>
  <c r="M1338" i="1"/>
  <c r="O1338" i="1" s="1"/>
  <c r="L1338" i="1"/>
  <c r="Q1338" i="1" s="1"/>
  <c r="P1338" i="1" s="1"/>
  <c r="V1337" i="1"/>
  <c r="U1337" i="1"/>
  <c r="T1337" i="1"/>
  <c r="S1337" i="1"/>
  <c r="N1337" i="1"/>
  <c r="M1337" i="1"/>
  <c r="L1337" i="1"/>
  <c r="Q1337" i="1" s="1"/>
  <c r="P1337" i="1" s="1"/>
  <c r="V1336" i="1"/>
  <c r="U1336" i="1"/>
  <c r="T1336" i="1"/>
  <c r="S1336" i="1"/>
  <c r="N1336" i="1"/>
  <c r="M1336" i="1"/>
  <c r="L1336" i="1"/>
  <c r="Q1336" i="1" s="1"/>
  <c r="P1336" i="1" s="1"/>
  <c r="V1335" i="1"/>
  <c r="U1335" i="1"/>
  <c r="T1335" i="1"/>
  <c r="S1335" i="1"/>
  <c r="N1335" i="1"/>
  <c r="M1335" i="1"/>
  <c r="L1335" i="1"/>
  <c r="Q1335" i="1" s="1"/>
  <c r="P1335" i="1" s="1"/>
  <c r="V1334" i="1"/>
  <c r="U1334" i="1"/>
  <c r="T1334" i="1"/>
  <c r="S1334" i="1"/>
  <c r="N1334" i="1"/>
  <c r="M1334" i="1"/>
  <c r="L1334" i="1"/>
  <c r="Q1334" i="1" s="1"/>
  <c r="P1334" i="1" s="1"/>
  <c r="V1333" i="1"/>
  <c r="U1333" i="1"/>
  <c r="T1333" i="1"/>
  <c r="S1333" i="1"/>
  <c r="N1333" i="1"/>
  <c r="M1333" i="1"/>
  <c r="O1333" i="1" s="1"/>
  <c r="L1333" i="1"/>
  <c r="Q1333" i="1" s="1"/>
  <c r="P1333" i="1" s="1"/>
  <c r="V1332" i="1"/>
  <c r="U1332" i="1"/>
  <c r="T1332" i="1"/>
  <c r="S1332" i="1"/>
  <c r="N1332" i="1"/>
  <c r="M1332" i="1"/>
  <c r="L1332" i="1"/>
  <c r="Q1332" i="1" s="1"/>
  <c r="P1332" i="1" s="1"/>
  <c r="V1331" i="1"/>
  <c r="U1331" i="1"/>
  <c r="T1331" i="1"/>
  <c r="S1331" i="1"/>
  <c r="N1331" i="1"/>
  <c r="M1331" i="1"/>
  <c r="L1331" i="1"/>
  <c r="Q1331" i="1" s="1"/>
  <c r="P1331" i="1" s="1"/>
  <c r="V1330" i="1"/>
  <c r="U1330" i="1"/>
  <c r="T1330" i="1"/>
  <c r="S1330" i="1"/>
  <c r="N1330" i="1"/>
  <c r="M1330" i="1"/>
  <c r="L1330" i="1"/>
  <c r="Q1330" i="1" s="1"/>
  <c r="P1330" i="1" s="1"/>
  <c r="V1329" i="1"/>
  <c r="U1329" i="1"/>
  <c r="T1329" i="1"/>
  <c r="S1329" i="1"/>
  <c r="N1329" i="1"/>
  <c r="M1329" i="1"/>
  <c r="L1329" i="1"/>
  <c r="Q1329" i="1" s="1"/>
  <c r="P1329" i="1" s="1"/>
  <c r="V1328" i="1"/>
  <c r="U1328" i="1"/>
  <c r="T1328" i="1"/>
  <c r="S1328" i="1"/>
  <c r="N1328" i="1"/>
  <c r="M1328" i="1"/>
  <c r="O1328" i="1" s="1"/>
  <c r="L1328" i="1"/>
  <c r="Q1328" i="1" s="1"/>
  <c r="P1328" i="1" s="1"/>
  <c r="V1327" i="1"/>
  <c r="U1327" i="1"/>
  <c r="T1327" i="1"/>
  <c r="S1327" i="1"/>
  <c r="Q1327" i="1"/>
  <c r="P1327" i="1" s="1"/>
  <c r="N1327" i="1"/>
  <c r="M1327" i="1"/>
  <c r="L1327" i="1"/>
  <c r="V1326" i="1"/>
  <c r="U1326" i="1"/>
  <c r="T1326" i="1"/>
  <c r="S1326" i="1"/>
  <c r="Q1326" i="1"/>
  <c r="P1326" i="1" s="1"/>
  <c r="N1326" i="1"/>
  <c r="M1326" i="1"/>
  <c r="L1326" i="1"/>
  <c r="V1325" i="1"/>
  <c r="U1325" i="1"/>
  <c r="T1325" i="1"/>
  <c r="S1325" i="1"/>
  <c r="Q1325" i="1"/>
  <c r="P1325" i="1" s="1"/>
  <c r="N1325" i="1"/>
  <c r="M1325" i="1"/>
  <c r="L1325" i="1"/>
  <c r="V1324" i="1"/>
  <c r="U1324" i="1"/>
  <c r="T1324" i="1"/>
  <c r="S1324" i="1"/>
  <c r="N1324" i="1"/>
  <c r="M1324" i="1"/>
  <c r="L1324" i="1"/>
  <c r="Q1324" i="1" s="1"/>
  <c r="P1324" i="1" s="1"/>
  <c r="V1323" i="1"/>
  <c r="U1323" i="1"/>
  <c r="T1323" i="1"/>
  <c r="S1323" i="1"/>
  <c r="Q1323" i="1"/>
  <c r="P1323" i="1" s="1"/>
  <c r="N1323" i="1"/>
  <c r="M1323" i="1"/>
  <c r="L1323" i="1"/>
  <c r="V1322" i="1"/>
  <c r="U1322" i="1"/>
  <c r="T1322" i="1"/>
  <c r="S1322" i="1"/>
  <c r="Q1322" i="1"/>
  <c r="P1322" i="1" s="1"/>
  <c r="N1322" i="1"/>
  <c r="M1322" i="1"/>
  <c r="O1322" i="1" s="1"/>
  <c r="L1322" i="1"/>
  <c r="V1321" i="1"/>
  <c r="U1321" i="1"/>
  <c r="T1321" i="1"/>
  <c r="S1321" i="1"/>
  <c r="Q1321" i="1"/>
  <c r="P1321" i="1" s="1"/>
  <c r="N1321" i="1"/>
  <c r="M1321" i="1"/>
  <c r="L1321" i="1"/>
  <c r="V1320" i="1"/>
  <c r="U1320" i="1"/>
  <c r="T1320" i="1"/>
  <c r="S1320" i="1"/>
  <c r="N1320" i="1"/>
  <c r="M1320" i="1"/>
  <c r="O1320" i="1" s="1"/>
  <c r="L1320" i="1"/>
  <c r="Q1320" i="1" s="1"/>
  <c r="P1320" i="1" s="1"/>
  <c r="V1319" i="1"/>
  <c r="U1319" i="1"/>
  <c r="T1319" i="1"/>
  <c r="S1319" i="1"/>
  <c r="N1319" i="1"/>
  <c r="M1319" i="1"/>
  <c r="L1319" i="1"/>
  <c r="Q1319" i="1" s="1"/>
  <c r="P1319" i="1" s="1"/>
  <c r="V1318" i="1"/>
  <c r="U1318" i="1"/>
  <c r="T1318" i="1"/>
  <c r="S1318" i="1"/>
  <c r="N1318" i="1"/>
  <c r="O1318" i="1" s="1"/>
  <c r="M1318" i="1"/>
  <c r="L1318" i="1"/>
  <c r="Q1318" i="1" s="1"/>
  <c r="P1318" i="1" s="1"/>
  <c r="V1317" i="1"/>
  <c r="U1317" i="1"/>
  <c r="T1317" i="1"/>
  <c r="S1317" i="1"/>
  <c r="N1317" i="1"/>
  <c r="M1317" i="1"/>
  <c r="O1317" i="1" s="1"/>
  <c r="L1317" i="1"/>
  <c r="Q1317" i="1" s="1"/>
  <c r="P1317" i="1" s="1"/>
  <c r="V1316" i="1"/>
  <c r="U1316" i="1"/>
  <c r="T1316" i="1"/>
  <c r="S1316" i="1"/>
  <c r="N1316" i="1"/>
  <c r="M1316" i="1"/>
  <c r="L1316" i="1"/>
  <c r="Q1316" i="1" s="1"/>
  <c r="P1316" i="1" s="1"/>
  <c r="V105" i="1"/>
  <c r="U105" i="1"/>
  <c r="T105" i="1"/>
  <c r="S105" i="1"/>
  <c r="N105" i="1"/>
  <c r="O105" i="1" s="1"/>
  <c r="M105" i="1"/>
  <c r="L105" i="1"/>
  <c r="Q105" i="1" s="1"/>
  <c r="P105" i="1" s="1"/>
  <c r="V104" i="1"/>
  <c r="U104" i="1"/>
  <c r="T104" i="1"/>
  <c r="S104" i="1"/>
  <c r="N104" i="1"/>
  <c r="M104" i="1"/>
  <c r="O104" i="1" s="1"/>
  <c r="L104" i="1"/>
  <c r="Q104" i="1" s="1"/>
  <c r="P104" i="1" s="1"/>
  <c r="V103" i="1"/>
  <c r="U103" i="1"/>
  <c r="T103" i="1"/>
  <c r="S103" i="1"/>
  <c r="N103" i="1"/>
  <c r="M103" i="1"/>
  <c r="O103" i="1" s="1"/>
  <c r="L103" i="1"/>
  <c r="Q103" i="1" s="1"/>
  <c r="P103" i="1" s="1"/>
  <c r="V102" i="1"/>
  <c r="U102" i="1"/>
  <c r="T102" i="1"/>
  <c r="S102" i="1"/>
  <c r="N102" i="1"/>
  <c r="M102" i="1"/>
  <c r="L102" i="1"/>
  <c r="Q102" i="1" s="1"/>
  <c r="P102" i="1" s="1"/>
  <c r="V101" i="1"/>
  <c r="U101" i="1"/>
  <c r="T101" i="1"/>
  <c r="S101" i="1"/>
  <c r="N101" i="1"/>
  <c r="M101" i="1"/>
  <c r="L101" i="1"/>
  <c r="Q101" i="1" s="1"/>
  <c r="P101" i="1" s="1"/>
  <c r="V100" i="1"/>
  <c r="U100" i="1"/>
  <c r="T100" i="1"/>
  <c r="S100" i="1"/>
  <c r="N100" i="1"/>
  <c r="M100" i="1"/>
  <c r="O100" i="1" s="1"/>
  <c r="L100" i="1"/>
  <c r="Q100" i="1" s="1"/>
  <c r="P100" i="1" s="1"/>
  <c r="V99" i="1"/>
  <c r="U99" i="1"/>
  <c r="T99" i="1"/>
  <c r="S99" i="1"/>
  <c r="N99" i="1"/>
  <c r="M99" i="1"/>
  <c r="O99" i="1" s="1"/>
  <c r="L99" i="1"/>
  <c r="Q99" i="1" s="1"/>
  <c r="P99" i="1" s="1"/>
  <c r="V98" i="1"/>
  <c r="U98" i="1"/>
  <c r="T98" i="1"/>
  <c r="S98" i="1"/>
  <c r="Q98" i="1"/>
  <c r="P98" i="1" s="1"/>
  <c r="N98" i="1"/>
  <c r="M98" i="1"/>
  <c r="O98" i="1" s="1"/>
  <c r="L98" i="1"/>
  <c r="V97" i="1"/>
  <c r="U97" i="1"/>
  <c r="T97" i="1"/>
  <c r="S97" i="1"/>
  <c r="Q97" i="1"/>
  <c r="P97" i="1" s="1"/>
  <c r="N97" i="1"/>
  <c r="M97" i="1"/>
  <c r="L97" i="1"/>
  <c r="V215" i="1"/>
  <c r="U215" i="1"/>
  <c r="T215" i="1"/>
  <c r="S215" i="1"/>
  <c r="Q215" i="1"/>
  <c r="P215" i="1" s="1"/>
  <c r="N215" i="1"/>
  <c r="M215" i="1"/>
  <c r="L215" i="1"/>
  <c r="V214" i="1"/>
  <c r="U214" i="1"/>
  <c r="T214" i="1"/>
  <c r="S214" i="1"/>
  <c r="N214" i="1"/>
  <c r="M214" i="1"/>
  <c r="L214" i="1"/>
  <c r="Q214" i="1" s="1"/>
  <c r="P214" i="1" s="1"/>
  <c r="V213" i="1"/>
  <c r="U213" i="1"/>
  <c r="T213" i="1"/>
  <c r="S213" i="1"/>
  <c r="N213" i="1"/>
  <c r="M213" i="1"/>
  <c r="L213" i="1"/>
  <c r="Q213" i="1" s="1"/>
  <c r="P213" i="1" s="1"/>
  <c r="V212" i="1"/>
  <c r="U212" i="1"/>
  <c r="T212" i="1"/>
  <c r="S212" i="1"/>
  <c r="N212" i="1"/>
  <c r="M212" i="1"/>
  <c r="L212" i="1"/>
  <c r="Q212" i="1" s="1"/>
  <c r="P212" i="1" s="1"/>
  <c r="V211" i="1"/>
  <c r="U211" i="1"/>
  <c r="T211" i="1"/>
  <c r="S211" i="1"/>
  <c r="N211" i="1"/>
  <c r="M211" i="1"/>
  <c r="L211" i="1"/>
  <c r="Q211" i="1" s="1"/>
  <c r="P211" i="1" s="1"/>
  <c r="V210" i="1"/>
  <c r="U210" i="1"/>
  <c r="T210" i="1"/>
  <c r="S210" i="1"/>
  <c r="N210" i="1"/>
  <c r="O210" i="1" s="1"/>
  <c r="M210" i="1"/>
  <c r="L210" i="1"/>
  <c r="Q210" i="1" s="1"/>
  <c r="P210" i="1" s="1"/>
  <c r="V209" i="1"/>
  <c r="U209" i="1"/>
  <c r="T209" i="1"/>
  <c r="S209" i="1"/>
  <c r="Q209" i="1"/>
  <c r="P209" i="1" s="1"/>
  <c r="N209" i="1"/>
  <c r="M209" i="1"/>
  <c r="L209" i="1"/>
  <c r="V208" i="1"/>
  <c r="U208" i="1"/>
  <c r="T208" i="1"/>
  <c r="S208" i="1"/>
  <c r="Q208" i="1"/>
  <c r="P208" i="1" s="1"/>
  <c r="N208" i="1"/>
  <c r="M208" i="1"/>
  <c r="L208" i="1"/>
  <c r="V207" i="1"/>
  <c r="U207" i="1"/>
  <c r="T207" i="1"/>
  <c r="S207" i="1"/>
  <c r="Q207" i="1"/>
  <c r="P207" i="1" s="1"/>
  <c r="N207" i="1"/>
  <c r="M207" i="1"/>
  <c r="L207" i="1"/>
  <c r="V206" i="1"/>
  <c r="U206" i="1"/>
  <c r="T206" i="1"/>
  <c r="S206" i="1"/>
  <c r="Q206" i="1"/>
  <c r="P206" i="1" s="1"/>
  <c r="N206" i="1"/>
  <c r="M206" i="1"/>
  <c r="L206" i="1"/>
  <c r="V205" i="1"/>
  <c r="U205" i="1"/>
  <c r="T205" i="1"/>
  <c r="S205" i="1"/>
  <c r="N205" i="1"/>
  <c r="O205" i="1" s="1"/>
  <c r="M205" i="1"/>
  <c r="L205" i="1"/>
  <c r="Q205" i="1" s="1"/>
  <c r="P205" i="1" s="1"/>
  <c r="V204" i="1"/>
  <c r="U204" i="1"/>
  <c r="T204" i="1"/>
  <c r="S204" i="1"/>
  <c r="Q204" i="1"/>
  <c r="P204" i="1" s="1"/>
  <c r="N204" i="1"/>
  <c r="M204" i="1"/>
  <c r="L204" i="1"/>
  <c r="V203" i="1"/>
  <c r="U203" i="1"/>
  <c r="T203" i="1"/>
  <c r="S203" i="1"/>
  <c r="N203" i="1"/>
  <c r="M203" i="1"/>
  <c r="L203" i="1"/>
  <c r="Q203" i="1" s="1"/>
  <c r="P203" i="1" s="1"/>
  <c r="V202" i="1"/>
  <c r="U202" i="1"/>
  <c r="T202" i="1"/>
  <c r="S202" i="1"/>
  <c r="N202" i="1"/>
  <c r="M202" i="1"/>
  <c r="O202" i="1" s="1"/>
  <c r="L202" i="1"/>
  <c r="Q202" i="1" s="1"/>
  <c r="P202" i="1" s="1"/>
  <c r="V201" i="1"/>
  <c r="U201" i="1"/>
  <c r="T201" i="1"/>
  <c r="S201" i="1"/>
  <c r="N201" i="1"/>
  <c r="M201" i="1"/>
  <c r="L201" i="1"/>
  <c r="Q201" i="1" s="1"/>
  <c r="P201" i="1" s="1"/>
  <c r="V200" i="1"/>
  <c r="U200" i="1"/>
  <c r="T200" i="1"/>
  <c r="S200" i="1"/>
  <c r="N200" i="1"/>
  <c r="M200" i="1"/>
  <c r="L200" i="1"/>
  <c r="Q200" i="1" s="1"/>
  <c r="P200" i="1" s="1"/>
  <c r="V199" i="1"/>
  <c r="U199" i="1"/>
  <c r="T199" i="1"/>
  <c r="S199" i="1"/>
  <c r="N199" i="1"/>
  <c r="M199" i="1"/>
  <c r="O199" i="1" s="1"/>
  <c r="L199" i="1"/>
  <c r="Q199" i="1" s="1"/>
  <c r="P199" i="1" s="1"/>
  <c r="V198" i="1"/>
  <c r="U198" i="1"/>
  <c r="T198" i="1"/>
  <c r="S198" i="1"/>
  <c r="N198" i="1"/>
  <c r="M198" i="1"/>
  <c r="L198" i="1"/>
  <c r="Q198" i="1" s="1"/>
  <c r="P198" i="1" s="1"/>
  <c r="V197" i="1"/>
  <c r="U197" i="1"/>
  <c r="T197" i="1"/>
  <c r="S197" i="1"/>
  <c r="N197" i="1"/>
  <c r="O197" i="1" s="1"/>
  <c r="M197" i="1"/>
  <c r="L197" i="1"/>
  <c r="Q197" i="1" s="1"/>
  <c r="P197" i="1" s="1"/>
  <c r="V196" i="1"/>
  <c r="U196" i="1"/>
  <c r="T196" i="1"/>
  <c r="S196" i="1"/>
  <c r="N196" i="1"/>
  <c r="M196" i="1"/>
  <c r="L196" i="1"/>
  <c r="Q196" i="1" s="1"/>
  <c r="P196" i="1" s="1"/>
  <c r="V195" i="1"/>
  <c r="U195" i="1"/>
  <c r="T195" i="1"/>
  <c r="S195" i="1"/>
  <c r="N195" i="1"/>
  <c r="M195" i="1"/>
  <c r="O195" i="1" s="1"/>
  <c r="L195" i="1"/>
  <c r="Q195" i="1" s="1"/>
  <c r="P195" i="1" s="1"/>
  <c r="V194" i="1"/>
  <c r="U194" i="1"/>
  <c r="T194" i="1"/>
  <c r="S194" i="1"/>
  <c r="N194" i="1"/>
  <c r="M194" i="1"/>
  <c r="L194" i="1"/>
  <c r="Q194" i="1" s="1"/>
  <c r="P194" i="1" s="1"/>
  <c r="V193" i="1"/>
  <c r="U193" i="1"/>
  <c r="T193" i="1"/>
  <c r="S193" i="1"/>
  <c r="N193" i="1"/>
  <c r="M193" i="1"/>
  <c r="L193" i="1"/>
  <c r="Q193" i="1" s="1"/>
  <c r="P193" i="1" s="1"/>
  <c r="V192" i="1"/>
  <c r="U192" i="1"/>
  <c r="T192" i="1"/>
  <c r="S192" i="1"/>
  <c r="N192" i="1"/>
  <c r="O192" i="1" s="1"/>
  <c r="M192" i="1"/>
  <c r="L192" i="1"/>
  <c r="Q192" i="1" s="1"/>
  <c r="P192" i="1" s="1"/>
  <c r="V191" i="1"/>
  <c r="U191" i="1"/>
  <c r="T191" i="1"/>
  <c r="S191" i="1"/>
  <c r="Q191" i="1"/>
  <c r="P191" i="1" s="1"/>
  <c r="O191" i="1"/>
  <c r="N191" i="1"/>
  <c r="M191" i="1"/>
  <c r="L191" i="1"/>
  <c r="V190" i="1"/>
  <c r="U190" i="1"/>
  <c r="T190" i="1"/>
  <c r="S190" i="1"/>
  <c r="Q190" i="1"/>
  <c r="P190" i="1" s="1"/>
  <c r="N190" i="1"/>
  <c r="M190" i="1"/>
  <c r="O190" i="1" s="1"/>
  <c r="L190" i="1"/>
  <c r="V189" i="1"/>
  <c r="U189" i="1"/>
  <c r="T189" i="1"/>
  <c r="S189" i="1"/>
  <c r="Q189" i="1"/>
  <c r="P189" i="1" s="1"/>
  <c r="N189" i="1"/>
  <c r="M189" i="1"/>
  <c r="O189" i="1" s="1"/>
  <c r="L189" i="1"/>
  <c r="V188" i="1"/>
  <c r="U188" i="1"/>
  <c r="T188" i="1"/>
  <c r="S188" i="1"/>
  <c r="Q188" i="1"/>
  <c r="P188" i="1" s="1"/>
  <c r="N188" i="1"/>
  <c r="M188" i="1"/>
  <c r="L188" i="1"/>
  <c r="V187" i="1"/>
  <c r="U187" i="1"/>
  <c r="T187" i="1"/>
  <c r="S187" i="1"/>
  <c r="N187" i="1"/>
  <c r="M187" i="1"/>
  <c r="L187" i="1"/>
  <c r="Q187" i="1" s="1"/>
  <c r="P187" i="1" s="1"/>
  <c r="V186" i="1"/>
  <c r="U186" i="1"/>
  <c r="T186" i="1"/>
  <c r="S186" i="1"/>
  <c r="N186" i="1"/>
  <c r="M186" i="1"/>
  <c r="O186" i="1" s="1"/>
  <c r="L186" i="1"/>
  <c r="Q186" i="1" s="1"/>
  <c r="P186" i="1" s="1"/>
  <c r="V185" i="1"/>
  <c r="U185" i="1"/>
  <c r="T185" i="1"/>
  <c r="S185" i="1"/>
  <c r="N185" i="1"/>
  <c r="M185" i="1"/>
  <c r="L185" i="1"/>
  <c r="Q185" i="1" s="1"/>
  <c r="P185" i="1" s="1"/>
  <c r="V184" i="1"/>
  <c r="U184" i="1"/>
  <c r="T184" i="1"/>
  <c r="S184" i="1"/>
  <c r="N184" i="1"/>
  <c r="M184" i="1"/>
  <c r="L184" i="1"/>
  <c r="Q184" i="1" s="1"/>
  <c r="P184" i="1" s="1"/>
  <c r="V183" i="1"/>
  <c r="U183" i="1"/>
  <c r="T183" i="1"/>
  <c r="S183" i="1"/>
  <c r="N183" i="1"/>
  <c r="M183" i="1"/>
  <c r="O183" i="1" s="1"/>
  <c r="L183" i="1"/>
  <c r="Q183" i="1" s="1"/>
  <c r="P183" i="1" s="1"/>
  <c r="V182" i="1"/>
  <c r="U182" i="1"/>
  <c r="T182" i="1"/>
  <c r="S182" i="1"/>
  <c r="N182" i="1"/>
  <c r="M182" i="1"/>
  <c r="O182" i="1" s="1"/>
  <c r="L182" i="1"/>
  <c r="Q182" i="1" s="1"/>
  <c r="P182" i="1" s="1"/>
  <c r="V181" i="1"/>
  <c r="U181" i="1"/>
  <c r="T181" i="1"/>
  <c r="S181" i="1"/>
  <c r="N181" i="1"/>
  <c r="M181" i="1"/>
  <c r="O181" i="1" s="1"/>
  <c r="L181" i="1"/>
  <c r="Q181" i="1" s="1"/>
  <c r="P181" i="1" s="1"/>
  <c r="V180" i="1"/>
  <c r="U180" i="1"/>
  <c r="T180" i="1"/>
  <c r="S180" i="1"/>
  <c r="N180" i="1"/>
  <c r="M180" i="1"/>
  <c r="L180" i="1"/>
  <c r="Q180" i="1" s="1"/>
  <c r="P180" i="1" s="1"/>
  <c r="V179" i="1"/>
  <c r="U179" i="1"/>
  <c r="T179" i="1"/>
  <c r="S179" i="1"/>
  <c r="N179" i="1"/>
  <c r="M179" i="1"/>
  <c r="O179" i="1" s="1"/>
  <c r="L179" i="1"/>
  <c r="Q179" i="1" s="1"/>
  <c r="P179" i="1" s="1"/>
  <c r="V178" i="1"/>
  <c r="U178" i="1"/>
  <c r="T178" i="1"/>
  <c r="S178" i="1"/>
  <c r="N178" i="1"/>
  <c r="M178" i="1"/>
  <c r="O178" i="1" s="1"/>
  <c r="L178" i="1"/>
  <c r="Q178" i="1" s="1"/>
  <c r="P178" i="1" s="1"/>
  <c r="V177" i="1"/>
  <c r="U177" i="1"/>
  <c r="T177" i="1"/>
  <c r="S177" i="1"/>
  <c r="N177" i="1"/>
  <c r="M177" i="1"/>
  <c r="L177" i="1"/>
  <c r="Q177" i="1" s="1"/>
  <c r="P177" i="1" s="1"/>
  <c r="V176" i="1"/>
  <c r="U176" i="1"/>
  <c r="T176" i="1"/>
  <c r="S176" i="1"/>
  <c r="N176" i="1"/>
  <c r="M176" i="1"/>
  <c r="L176" i="1"/>
  <c r="Q176" i="1" s="1"/>
  <c r="P176" i="1" s="1"/>
  <c r="V175" i="1"/>
  <c r="U175" i="1"/>
  <c r="T175" i="1"/>
  <c r="S175" i="1"/>
  <c r="Q175" i="1"/>
  <c r="P175" i="1" s="1"/>
  <c r="N175" i="1"/>
  <c r="M175" i="1"/>
  <c r="O175" i="1" s="1"/>
  <c r="L175" i="1"/>
  <c r="V174" i="1"/>
  <c r="U174" i="1"/>
  <c r="T174" i="1"/>
  <c r="S174" i="1"/>
  <c r="Q174" i="1"/>
  <c r="P174" i="1" s="1"/>
  <c r="N174" i="1"/>
  <c r="M174" i="1"/>
  <c r="O174" i="1" s="1"/>
  <c r="L174" i="1"/>
  <c r="V173" i="1"/>
  <c r="U173" i="1"/>
  <c r="T173" i="1"/>
  <c r="S173" i="1"/>
  <c r="N173" i="1"/>
  <c r="M173" i="1"/>
  <c r="L173" i="1"/>
  <c r="Q173" i="1" s="1"/>
  <c r="P173" i="1" s="1"/>
  <c r="V172" i="1"/>
  <c r="U172" i="1"/>
  <c r="T172" i="1"/>
  <c r="S172" i="1"/>
  <c r="N172" i="1"/>
  <c r="M172" i="1"/>
  <c r="O172" i="1" s="1"/>
  <c r="L172" i="1"/>
  <c r="Q172" i="1" s="1"/>
  <c r="P172" i="1" s="1"/>
  <c r="V171" i="1"/>
  <c r="U171" i="1"/>
  <c r="T171" i="1"/>
  <c r="S171" i="1"/>
  <c r="N171" i="1"/>
  <c r="M171" i="1"/>
  <c r="L171" i="1"/>
  <c r="Q171" i="1" s="1"/>
  <c r="P171" i="1" s="1"/>
  <c r="V170" i="1"/>
  <c r="U170" i="1"/>
  <c r="T170" i="1"/>
  <c r="S170" i="1"/>
  <c r="N170" i="1"/>
  <c r="M170" i="1"/>
  <c r="L170" i="1"/>
  <c r="Q170" i="1" s="1"/>
  <c r="P170" i="1" s="1"/>
  <c r="V169" i="1"/>
  <c r="U169" i="1"/>
  <c r="T169" i="1"/>
  <c r="S169" i="1"/>
  <c r="N169" i="1"/>
  <c r="M169" i="1"/>
  <c r="L169" i="1"/>
  <c r="Q169" i="1" s="1"/>
  <c r="P169" i="1" s="1"/>
  <c r="V168" i="1"/>
  <c r="U168" i="1"/>
  <c r="T168" i="1"/>
  <c r="S168" i="1"/>
  <c r="N168" i="1"/>
  <c r="M168" i="1"/>
  <c r="L168" i="1"/>
  <c r="Q168" i="1" s="1"/>
  <c r="P168" i="1" s="1"/>
  <c r="V167" i="1"/>
  <c r="U167" i="1"/>
  <c r="T167" i="1"/>
  <c r="S167" i="1"/>
  <c r="N167" i="1"/>
  <c r="M167" i="1"/>
  <c r="L167" i="1"/>
  <c r="Q167" i="1" s="1"/>
  <c r="P167" i="1" s="1"/>
  <c r="V166" i="1"/>
  <c r="U166" i="1"/>
  <c r="T166" i="1"/>
  <c r="S166" i="1"/>
  <c r="N166" i="1"/>
  <c r="M166" i="1"/>
  <c r="O166" i="1" s="1"/>
  <c r="L166" i="1"/>
  <c r="Q166" i="1" s="1"/>
  <c r="P166" i="1" s="1"/>
  <c r="V165" i="1"/>
  <c r="U165" i="1"/>
  <c r="T165" i="1"/>
  <c r="S165" i="1"/>
  <c r="N165" i="1"/>
  <c r="M165" i="1"/>
  <c r="L165" i="1"/>
  <c r="Q165" i="1" s="1"/>
  <c r="P165" i="1" s="1"/>
  <c r="V164" i="1"/>
  <c r="U164" i="1"/>
  <c r="T164" i="1"/>
  <c r="S164" i="1"/>
  <c r="N164" i="1"/>
  <c r="M164" i="1"/>
  <c r="O164" i="1" s="1"/>
  <c r="L164" i="1"/>
  <c r="Q164" i="1" s="1"/>
  <c r="P164" i="1" s="1"/>
  <c r="V163" i="1"/>
  <c r="U163" i="1"/>
  <c r="T163" i="1"/>
  <c r="S163" i="1"/>
  <c r="N163" i="1"/>
  <c r="M163" i="1"/>
  <c r="O163" i="1" s="1"/>
  <c r="L163" i="1"/>
  <c r="Q163" i="1" s="1"/>
  <c r="P163" i="1" s="1"/>
  <c r="V162" i="1"/>
  <c r="U162" i="1"/>
  <c r="T162" i="1"/>
  <c r="S162" i="1"/>
  <c r="N162" i="1"/>
  <c r="M162" i="1"/>
  <c r="L162" i="1"/>
  <c r="Q162" i="1" s="1"/>
  <c r="P162" i="1" s="1"/>
  <c r="V161" i="1"/>
  <c r="U161" i="1"/>
  <c r="T161" i="1"/>
  <c r="S161" i="1"/>
  <c r="N161" i="1"/>
  <c r="M161" i="1"/>
  <c r="L161" i="1"/>
  <c r="Q161" i="1" s="1"/>
  <c r="P161" i="1" s="1"/>
  <c r="V160" i="1"/>
  <c r="U160" i="1"/>
  <c r="T160" i="1"/>
  <c r="S160" i="1"/>
  <c r="N160" i="1"/>
  <c r="M160" i="1"/>
  <c r="L160" i="1"/>
  <c r="Q160" i="1" s="1"/>
  <c r="P160" i="1" s="1"/>
  <c r="V159" i="1"/>
  <c r="U159" i="1"/>
  <c r="T159" i="1"/>
  <c r="S159" i="1"/>
  <c r="N159" i="1"/>
  <c r="O159" i="1" s="1"/>
  <c r="M159" i="1"/>
  <c r="L159" i="1"/>
  <c r="Q159" i="1" s="1"/>
  <c r="P159" i="1" s="1"/>
  <c r="V158" i="1"/>
  <c r="U158" i="1"/>
  <c r="T158" i="1"/>
  <c r="S158" i="1"/>
  <c r="Q158" i="1"/>
  <c r="P158" i="1" s="1"/>
  <c r="N158" i="1"/>
  <c r="M158" i="1"/>
  <c r="L158" i="1"/>
  <c r="V157" i="1"/>
  <c r="U157" i="1"/>
  <c r="T157" i="1"/>
  <c r="S157" i="1"/>
  <c r="Q157" i="1"/>
  <c r="P157" i="1" s="1"/>
  <c r="N157" i="1"/>
  <c r="M157" i="1"/>
  <c r="L157" i="1"/>
  <c r="V156" i="1"/>
  <c r="U156" i="1"/>
  <c r="T156" i="1"/>
  <c r="S156" i="1"/>
  <c r="N156" i="1"/>
  <c r="O156" i="1" s="1"/>
  <c r="M156" i="1"/>
  <c r="L156" i="1"/>
  <c r="Q156" i="1" s="1"/>
  <c r="P156" i="1" s="1"/>
  <c r="V155" i="1"/>
  <c r="U155" i="1"/>
  <c r="T155" i="1"/>
  <c r="S155" i="1"/>
  <c r="N155" i="1"/>
  <c r="M155" i="1"/>
  <c r="L155" i="1"/>
  <c r="Q155" i="1" s="1"/>
  <c r="P155" i="1" s="1"/>
  <c r="V154" i="1"/>
  <c r="U154" i="1"/>
  <c r="T154" i="1"/>
  <c r="S154" i="1"/>
  <c r="N154" i="1"/>
  <c r="M154" i="1"/>
  <c r="O154" i="1" s="1"/>
  <c r="L154" i="1"/>
  <c r="Q154" i="1" s="1"/>
  <c r="P154" i="1" s="1"/>
  <c r="V153" i="1"/>
  <c r="U153" i="1"/>
  <c r="T153" i="1"/>
  <c r="S153" i="1"/>
  <c r="N153" i="1"/>
  <c r="M153" i="1"/>
  <c r="O153" i="1" s="1"/>
  <c r="L153" i="1"/>
  <c r="Q153" i="1" s="1"/>
  <c r="P153" i="1" s="1"/>
  <c r="V152" i="1"/>
  <c r="U152" i="1"/>
  <c r="T152" i="1"/>
  <c r="S152" i="1"/>
  <c r="N152" i="1"/>
  <c r="M152" i="1"/>
  <c r="L152" i="1"/>
  <c r="Q152" i="1" s="1"/>
  <c r="P152" i="1" s="1"/>
  <c r="V151" i="1"/>
  <c r="U151" i="1"/>
  <c r="T151" i="1"/>
  <c r="S151" i="1"/>
  <c r="N151" i="1"/>
  <c r="M151" i="1"/>
  <c r="O151" i="1" s="1"/>
  <c r="L151" i="1"/>
  <c r="Q151" i="1" s="1"/>
  <c r="P151" i="1" s="1"/>
  <c r="V150" i="1"/>
  <c r="U150" i="1"/>
  <c r="T150" i="1"/>
  <c r="S150" i="1"/>
  <c r="N150" i="1"/>
  <c r="M150" i="1"/>
  <c r="O150" i="1" s="1"/>
  <c r="L150" i="1"/>
  <c r="Q150" i="1" s="1"/>
  <c r="P150" i="1" s="1"/>
  <c r="V149" i="1"/>
  <c r="U149" i="1"/>
  <c r="T149" i="1"/>
  <c r="S149" i="1"/>
  <c r="N149" i="1"/>
  <c r="M149" i="1"/>
  <c r="L149" i="1"/>
  <c r="Q149" i="1" s="1"/>
  <c r="P149" i="1" s="1"/>
  <c r="V148" i="1"/>
  <c r="U148" i="1"/>
  <c r="T148" i="1"/>
  <c r="S148" i="1"/>
  <c r="N148" i="1"/>
  <c r="M148" i="1"/>
  <c r="L148" i="1"/>
  <c r="Q148" i="1" s="1"/>
  <c r="P148" i="1" s="1"/>
  <c r="V147" i="1"/>
  <c r="U147" i="1"/>
  <c r="T147" i="1"/>
  <c r="S147" i="1"/>
  <c r="P147" i="1"/>
  <c r="N147" i="1"/>
  <c r="M147" i="1"/>
  <c r="O147" i="1" s="1"/>
  <c r="L147" i="1"/>
  <c r="Q147" i="1" s="1"/>
  <c r="V146" i="1"/>
  <c r="U146" i="1"/>
  <c r="T146" i="1"/>
  <c r="S146" i="1"/>
  <c r="Q146" i="1"/>
  <c r="P146" i="1" s="1"/>
  <c r="N146" i="1"/>
  <c r="M146" i="1"/>
  <c r="L146" i="1"/>
  <c r="V145" i="1"/>
  <c r="U145" i="1"/>
  <c r="T145" i="1"/>
  <c r="S145" i="1"/>
  <c r="N145" i="1"/>
  <c r="M145" i="1"/>
  <c r="L145" i="1"/>
  <c r="Q145" i="1" s="1"/>
  <c r="P145" i="1" s="1"/>
  <c r="V144" i="1"/>
  <c r="U144" i="1"/>
  <c r="T144" i="1"/>
  <c r="S144" i="1"/>
  <c r="N144" i="1"/>
  <c r="M144" i="1"/>
  <c r="L144" i="1"/>
  <c r="Q144" i="1" s="1"/>
  <c r="P144" i="1" s="1"/>
  <c r="V143" i="1"/>
  <c r="U143" i="1"/>
  <c r="T143" i="1"/>
  <c r="S143" i="1"/>
  <c r="N143" i="1"/>
  <c r="M143" i="1"/>
  <c r="O143" i="1" s="1"/>
  <c r="L143" i="1"/>
  <c r="Q143" i="1" s="1"/>
  <c r="P143" i="1" s="1"/>
  <c r="V142" i="1"/>
  <c r="U142" i="1"/>
  <c r="T142" i="1"/>
  <c r="S142" i="1"/>
  <c r="N142" i="1"/>
  <c r="M142" i="1"/>
  <c r="L142" i="1"/>
  <c r="Q142" i="1" s="1"/>
  <c r="P142" i="1" s="1"/>
  <c r="V141" i="1"/>
  <c r="U141" i="1"/>
  <c r="T141" i="1"/>
  <c r="S141" i="1"/>
  <c r="N141" i="1"/>
  <c r="M141" i="1"/>
  <c r="O141" i="1" s="1"/>
  <c r="L141" i="1"/>
  <c r="Q141" i="1" s="1"/>
  <c r="P141" i="1" s="1"/>
  <c r="V140" i="1"/>
  <c r="U140" i="1"/>
  <c r="T140" i="1"/>
  <c r="S140" i="1"/>
  <c r="N140" i="1"/>
  <c r="M140" i="1"/>
  <c r="O140" i="1" s="1"/>
  <c r="L140" i="1"/>
  <c r="Q140" i="1" s="1"/>
  <c r="P140" i="1" s="1"/>
  <c r="V139" i="1"/>
  <c r="U139" i="1"/>
  <c r="T139" i="1"/>
  <c r="S139" i="1"/>
  <c r="N139" i="1"/>
  <c r="M139" i="1"/>
  <c r="L139" i="1"/>
  <c r="Q139" i="1" s="1"/>
  <c r="P139" i="1" s="1"/>
  <c r="V138" i="1"/>
  <c r="U138" i="1"/>
  <c r="T138" i="1"/>
  <c r="S138" i="1"/>
  <c r="N138" i="1"/>
  <c r="M138" i="1"/>
  <c r="O138" i="1" s="1"/>
  <c r="L138" i="1"/>
  <c r="Q138" i="1" s="1"/>
  <c r="P138" i="1" s="1"/>
  <c r="V1218" i="1"/>
  <c r="U1218" i="1"/>
  <c r="T1218" i="1"/>
  <c r="S1218" i="1"/>
  <c r="N1218" i="1"/>
  <c r="M1218" i="1"/>
  <c r="L1218" i="1"/>
  <c r="Q1218" i="1" s="1"/>
  <c r="P1218" i="1" s="1"/>
  <c r="V1217" i="1"/>
  <c r="U1217" i="1"/>
  <c r="T1217" i="1"/>
  <c r="S1217" i="1"/>
  <c r="N1217" i="1"/>
  <c r="M1217" i="1"/>
  <c r="O1217" i="1" s="1"/>
  <c r="L1217" i="1"/>
  <c r="Q1217" i="1" s="1"/>
  <c r="P1217" i="1" s="1"/>
  <c r="V1216" i="1"/>
  <c r="U1216" i="1"/>
  <c r="T1216" i="1"/>
  <c r="S1216" i="1"/>
  <c r="N1216" i="1"/>
  <c r="M1216" i="1"/>
  <c r="O1216" i="1" s="1"/>
  <c r="L1216" i="1"/>
  <c r="Q1216" i="1" s="1"/>
  <c r="P1216" i="1" s="1"/>
  <c r="V1215" i="1"/>
  <c r="U1215" i="1"/>
  <c r="T1215" i="1"/>
  <c r="S1215" i="1"/>
  <c r="Q1215" i="1"/>
  <c r="P1215" i="1" s="1"/>
  <c r="N1215" i="1"/>
  <c r="M1215" i="1"/>
  <c r="L1215" i="1"/>
  <c r="V1214" i="1"/>
  <c r="U1214" i="1"/>
  <c r="T1214" i="1"/>
  <c r="S1214" i="1"/>
  <c r="N1214" i="1"/>
  <c r="M1214" i="1"/>
  <c r="O1214" i="1" s="1"/>
  <c r="L1214" i="1"/>
  <c r="Q1214" i="1" s="1"/>
  <c r="P1214" i="1" s="1"/>
  <c r="V1213" i="1"/>
  <c r="U1213" i="1"/>
  <c r="T1213" i="1"/>
  <c r="S1213" i="1"/>
  <c r="Q1213" i="1"/>
  <c r="P1213" i="1" s="1"/>
  <c r="N1213" i="1"/>
  <c r="M1213" i="1"/>
  <c r="L1213" i="1"/>
  <c r="V1212" i="1"/>
  <c r="U1212" i="1"/>
  <c r="T1212" i="1"/>
  <c r="S1212" i="1"/>
  <c r="N1212" i="1"/>
  <c r="M1212" i="1"/>
  <c r="O1212" i="1" s="1"/>
  <c r="L1212" i="1"/>
  <c r="Q1212" i="1" s="1"/>
  <c r="P1212" i="1" s="1"/>
  <c r="V1211" i="1"/>
  <c r="U1211" i="1"/>
  <c r="T1211" i="1"/>
  <c r="S1211" i="1"/>
  <c r="N1211" i="1"/>
  <c r="M1211" i="1"/>
  <c r="L1211" i="1"/>
  <c r="Q1211" i="1" s="1"/>
  <c r="P1211" i="1" s="1"/>
  <c r="V1210" i="1"/>
  <c r="U1210" i="1"/>
  <c r="T1210" i="1"/>
  <c r="S1210" i="1"/>
  <c r="N1210" i="1"/>
  <c r="M1210" i="1"/>
  <c r="L1210" i="1"/>
  <c r="Q1210" i="1" s="1"/>
  <c r="P1210" i="1" s="1"/>
  <c r="V1209" i="1"/>
  <c r="U1209" i="1"/>
  <c r="T1209" i="1"/>
  <c r="S1209" i="1"/>
  <c r="N1209" i="1"/>
  <c r="M1209" i="1"/>
  <c r="O1209" i="1" s="1"/>
  <c r="L1209" i="1"/>
  <c r="Q1209" i="1" s="1"/>
  <c r="P1209" i="1" s="1"/>
  <c r="V1208" i="1"/>
  <c r="U1208" i="1"/>
  <c r="T1208" i="1"/>
  <c r="S1208" i="1"/>
  <c r="N1208" i="1"/>
  <c r="M1208" i="1"/>
  <c r="O1208" i="1" s="1"/>
  <c r="L1208" i="1"/>
  <c r="Q1208" i="1" s="1"/>
  <c r="P1208" i="1" s="1"/>
  <c r="V1207" i="1"/>
  <c r="U1207" i="1"/>
  <c r="T1207" i="1"/>
  <c r="S1207" i="1"/>
  <c r="N1207" i="1"/>
  <c r="M1207" i="1"/>
  <c r="O1207" i="1" s="1"/>
  <c r="L1207" i="1"/>
  <c r="Q1207" i="1" s="1"/>
  <c r="P1207" i="1" s="1"/>
  <c r="V1206" i="1"/>
  <c r="U1206" i="1"/>
  <c r="T1206" i="1"/>
  <c r="S1206" i="1"/>
  <c r="N1206" i="1"/>
  <c r="M1206" i="1"/>
  <c r="L1206" i="1"/>
  <c r="Q1206" i="1" s="1"/>
  <c r="P1206" i="1" s="1"/>
  <c r="V1205" i="1"/>
  <c r="U1205" i="1"/>
  <c r="T1205" i="1"/>
  <c r="S1205" i="1"/>
  <c r="O1205" i="1"/>
  <c r="N1205" i="1"/>
  <c r="M1205" i="1"/>
  <c r="L1205" i="1"/>
  <c r="Q1205" i="1" s="1"/>
  <c r="P1205" i="1" s="1"/>
  <c r="V1204" i="1"/>
  <c r="U1204" i="1"/>
  <c r="T1204" i="1"/>
  <c r="S1204" i="1"/>
  <c r="N1204" i="1"/>
  <c r="M1204" i="1"/>
  <c r="L1204" i="1"/>
  <c r="Q1204" i="1" s="1"/>
  <c r="P1204" i="1" s="1"/>
  <c r="V1203" i="1"/>
  <c r="U1203" i="1"/>
  <c r="T1203" i="1"/>
  <c r="S1203" i="1"/>
  <c r="N1203" i="1"/>
  <c r="M1203" i="1"/>
  <c r="L1203" i="1"/>
  <c r="Q1203" i="1" s="1"/>
  <c r="P1203" i="1" s="1"/>
  <c r="V1202" i="1"/>
  <c r="U1202" i="1"/>
  <c r="T1202" i="1"/>
  <c r="S1202" i="1"/>
  <c r="N1202" i="1"/>
  <c r="M1202" i="1"/>
  <c r="L1202" i="1"/>
  <c r="Q1202" i="1" s="1"/>
  <c r="P1202" i="1" s="1"/>
  <c r="V1201" i="1"/>
  <c r="U1201" i="1"/>
  <c r="T1201" i="1"/>
  <c r="S1201" i="1"/>
  <c r="N1201" i="1"/>
  <c r="O1201" i="1" s="1"/>
  <c r="M1201" i="1"/>
  <c r="L1201" i="1"/>
  <c r="Q1201" i="1" s="1"/>
  <c r="P1201" i="1" s="1"/>
  <c r="V1200" i="1"/>
  <c r="U1200" i="1"/>
  <c r="T1200" i="1"/>
  <c r="S1200" i="1"/>
  <c r="N1200" i="1"/>
  <c r="M1200" i="1"/>
  <c r="L1200" i="1"/>
  <c r="Q1200" i="1" s="1"/>
  <c r="P1200" i="1" s="1"/>
  <c r="V1199" i="1"/>
  <c r="U1199" i="1"/>
  <c r="T1199" i="1"/>
  <c r="S1199" i="1"/>
  <c r="N1199" i="1"/>
  <c r="O1199" i="1" s="1"/>
  <c r="M1199" i="1"/>
  <c r="L1199" i="1"/>
  <c r="Q1199" i="1" s="1"/>
  <c r="P1199" i="1" s="1"/>
  <c r="V1198" i="1"/>
  <c r="U1198" i="1"/>
  <c r="T1198" i="1"/>
  <c r="S1198" i="1"/>
  <c r="N1198" i="1"/>
  <c r="M1198" i="1"/>
  <c r="L1198" i="1"/>
  <c r="Q1198" i="1" s="1"/>
  <c r="P1198" i="1" s="1"/>
  <c r="V1197" i="1"/>
  <c r="U1197" i="1"/>
  <c r="T1197" i="1"/>
  <c r="S1197" i="1"/>
  <c r="N1197" i="1"/>
  <c r="M1197" i="1"/>
  <c r="L1197" i="1"/>
  <c r="Q1197" i="1" s="1"/>
  <c r="P1197" i="1" s="1"/>
  <c r="V1196" i="1"/>
  <c r="U1196" i="1"/>
  <c r="T1196" i="1"/>
  <c r="S1196" i="1"/>
  <c r="N1196" i="1"/>
  <c r="M1196" i="1"/>
  <c r="L1196" i="1"/>
  <c r="Q1196" i="1" s="1"/>
  <c r="P1196" i="1" s="1"/>
  <c r="V1195" i="1"/>
  <c r="U1195" i="1"/>
  <c r="T1195" i="1"/>
  <c r="S1195" i="1"/>
  <c r="O1195" i="1"/>
  <c r="N1195" i="1"/>
  <c r="M1195" i="1"/>
  <c r="L1195" i="1"/>
  <c r="Q1195" i="1" s="1"/>
  <c r="P1195" i="1" s="1"/>
  <c r="V1194" i="1"/>
  <c r="U1194" i="1"/>
  <c r="T1194" i="1"/>
  <c r="S1194" i="1"/>
  <c r="Q1194" i="1"/>
  <c r="P1194" i="1" s="1"/>
  <c r="N1194" i="1"/>
  <c r="M1194" i="1"/>
  <c r="O1194" i="1" s="1"/>
  <c r="L1194" i="1"/>
  <c r="V1193" i="1"/>
  <c r="U1193" i="1"/>
  <c r="T1193" i="1"/>
  <c r="S1193" i="1"/>
  <c r="Q1193" i="1"/>
  <c r="P1193" i="1" s="1"/>
  <c r="N1193" i="1"/>
  <c r="M1193" i="1"/>
  <c r="L1193" i="1"/>
  <c r="V1192" i="1"/>
  <c r="U1192" i="1"/>
  <c r="T1192" i="1"/>
  <c r="S1192" i="1"/>
  <c r="Q1192" i="1"/>
  <c r="P1192" i="1" s="1"/>
  <c r="N1192" i="1"/>
  <c r="M1192" i="1"/>
  <c r="O1192" i="1" s="1"/>
  <c r="L1192" i="1"/>
  <c r="V1191" i="1"/>
  <c r="U1191" i="1"/>
  <c r="T1191" i="1"/>
  <c r="S1191" i="1"/>
  <c r="N1191" i="1"/>
  <c r="M1191" i="1"/>
  <c r="O1191" i="1" s="1"/>
  <c r="L1191" i="1"/>
  <c r="Q1191" i="1" s="1"/>
  <c r="P1191" i="1" s="1"/>
  <c r="V1190" i="1"/>
  <c r="U1190" i="1"/>
  <c r="T1190" i="1"/>
  <c r="S1190" i="1"/>
  <c r="N1190" i="1"/>
  <c r="M1190" i="1"/>
  <c r="L1190" i="1"/>
  <c r="Q1190" i="1" s="1"/>
  <c r="P1190" i="1" s="1"/>
  <c r="V1189" i="1"/>
  <c r="U1189" i="1"/>
  <c r="T1189" i="1"/>
  <c r="S1189" i="1"/>
  <c r="N1189" i="1"/>
  <c r="M1189" i="1"/>
  <c r="O1189" i="1" s="1"/>
  <c r="L1189" i="1"/>
  <c r="Q1189" i="1" s="1"/>
  <c r="P1189" i="1" s="1"/>
  <c r="V1188" i="1"/>
  <c r="U1188" i="1"/>
  <c r="T1188" i="1"/>
  <c r="S1188" i="1"/>
  <c r="N1188" i="1"/>
  <c r="M1188" i="1"/>
  <c r="L1188" i="1"/>
  <c r="Q1188" i="1" s="1"/>
  <c r="P1188" i="1" s="1"/>
  <c r="V1187" i="1"/>
  <c r="U1187" i="1"/>
  <c r="T1187" i="1"/>
  <c r="S1187" i="1"/>
  <c r="N1187" i="1"/>
  <c r="M1187" i="1"/>
  <c r="O1187" i="1" s="1"/>
  <c r="L1187" i="1"/>
  <c r="Q1187" i="1" s="1"/>
  <c r="P1187" i="1" s="1"/>
  <c r="V1186" i="1"/>
  <c r="U1186" i="1"/>
  <c r="T1186" i="1"/>
  <c r="S1186" i="1"/>
  <c r="N1186" i="1"/>
  <c r="M1186" i="1"/>
  <c r="O1186" i="1" s="1"/>
  <c r="L1186" i="1"/>
  <c r="Q1186" i="1" s="1"/>
  <c r="P1186" i="1" s="1"/>
  <c r="V1185" i="1"/>
  <c r="U1185" i="1"/>
  <c r="T1185" i="1"/>
  <c r="S1185" i="1"/>
  <c r="N1185" i="1"/>
  <c r="M1185" i="1"/>
  <c r="L1185" i="1"/>
  <c r="Q1185" i="1" s="1"/>
  <c r="P1185" i="1" s="1"/>
  <c r="V1184" i="1"/>
  <c r="U1184" i="1"/>
  <c r="T1184" i="1"/>
  <c r="S1184" i="1"/>
  <c r="N1184" i="1"/>
  <c r="O1184" i="1" s="1"/>
  <c r="M1184" i="1"/>
  <c r="L1184" i="1"/>
  <c r="Q1184" i="1" s="1"/>
  <c r="P1184" i="1" s="1"/>
  <c r="V1183" i="1"/>
  <c r="U1183" i="1"/>
  <c r="T1183" i="1"/>
  <c r="S1183" i="1"/>
  <c r="Q1183" i="1"/>
  <c r="P1183" i="1" s="1"/>
  <c r="N1183" i="1"/>
  <c r="M1183" i="1"/>
  <c r="L1183" i="1"/>
  <c r="V1182" i="1"/>
  <c r="U1182" i="1"/>
  <c r="T1182" i="1"/>
  <c r="S1182" i="1"/>
  <c r="Q1182" i="1"/>
  <c r="P1182" i="1" s="1"/>
  <c r="N1182" i="1"/>
  <c r="M1182" i="1"/>
  <c r="L1182" i="1"/>
  <c r="V1181" i="1"/>
  <c r="U1181" i="1"/>
  <c r="T1181" i="1"/>
  <c r="S1181" i="1"/>
  <c r="N1181" i="1"/>
  <c r="M1181" i="1"/>
  <c r="O1181" i="1" s="1"/>
  <c r="L1181" i="1"/>
  <c r="Q1181" i="1" s="1"/>
  <c r="P1181" i="1" s="1"/>
  <c r="V1469" i="1"/>
  <c r="U1469" i="1"/>
  <c r="T1469" i="1"/>
  <c r="S1469" i="1"/>
  <c r="N1469" i="1"/>
  <c r="M1469" i="1"/>
  <c r="O1469" i="1" s="1"/>
  <c r="L1469" i="1"/>
  <c r="Q1469" i="1" s="1"/>
  <c r="P1469" i="1" s="1"/>
  <c r="V1468" i="1"/>
  <c r="U1468" i="1"/>
  <c r="T1468" i="1"/>
  <c r="S1468" i="1"/>
  <c r="N1468" i="1"/>
  <c r="M1468" i="1"/>
  <c r="L1468" i="1"/>
  <c r="Q1468" i="1" s="1"/>
  <c r="P1468" i="1" s="1"/>
  <c r="V1467" i="1"/>
  <c r="U1467" i="1"/>
  <c r="T1467" i="1"/>
  <c r="S1467" i="1"/>
  <c r="N1467" i="1"/>
  <c r="M1467" i="1"/>
  <c r="O1467" i="1" s="1"/>
  <c r="L1467" i="1"/>
  <c r="Q1467" i="1" s="1"/>
  <c r="P1467" i="1" s="1"/>
  <c r="V1466" i="1"/>
  <c r="U1466" i="1"/>
  <c r="T1466" i="1"/>
  <c r="S1466" i="1"/>
  <c r="N1466" i="1"/>
  <c r="M1466" i="1"/>
  <c r="L1466" i="1"/>
  <c r="Q1466" i="1" s="1"/>
  <c r="P1466" i="1" s="1"/>
  <c r="V1465" i="1"/>
  <c r="U1465" i="1"/>
  <c r="T1465" i="1"/>
  <c r="S1465" i="1"/>
  <c r="N1465" i="1"/>
  <c r="M1465" i="1"/>
  <c r="O1465" i="1" s="1"/>
  <c r="L1465" i="1"/>
  <c r="Q1465" i="1" s="1"/>
  <c r="P1465" i="1" s="1"/>
  <c r="V1464" i="1"/>
  <c r="U1464" i="1"/>
  <c r="T1464" i="1"/>
  <c r="S1464" i="1"/>
  <c r="N1464" i="1"/>
  <c r="O1464" i="1" s="1"/>
  <c r="M1464" i="1"/>
  <c r="L1464" i="1"/>
  <c r="Q1464" i="1" s="1"/>
  <c r="P1464" i="1" s="1"/>
  <c r="V1463" i="1"/>
  <c r="U1463" i="1"/>
  <c r="T1463" i="1"/>
  <c r="S1463" i="1"/>
  <c r="N1463" i="1"/>
  <c r="M1463" i="1"/>
  <c r="L1463" i="1"/>
  <c r="Q1463" i="1" s="1"/>
  <c r="P1463" i="1" s="1"/>
  <c r="V1462" i="1"/>
  <c r="U1462" i="1"/>
  <c r="T1462" i="1"/>
  <c r="S1462" i="1"/>
  <c r="N1462" i="1"/>
  <c r="M1462" i="1"/>
  <c r="L1462" i="1"/>
  <c r="Q1462" i="1" s="1"/>
  <c r="P1462" i="1" s="1"/>
  <c r="V1461" i="1"/>
  <c r="U1461" i="1"/>
  <c r="T1461" i="1"/>
  <c r="S1461" i="1"/>
  <c r="N1461" i="1"/>
  <c r="M1461" i="1"/>
  <c r="L1461" i="1"/>
  <c r="Q1461" i="1" s="1"/>
  <c r="P1461" i="1" s="1"/>
  <c r="V1460" i="1"/>
  <c r="U1460" i="1"/>
  <c r="T1460" i="1"/>
  <c r="S1460" i="1"/>
  <c r="N1460" i="1"/>
  <c r="O1460" i="1" s="1"/>
  <c r="M1460" i="1"/>
  <c r="L1460" i="1"/>
  <c r="Q1460" i="1" s="1"/>
  <c r="P1460" i="1" s="1"/>
  <c r="V1459" i="1"/>
  <c r="U1459" i="1"/>
  <c r="T1459" i="1"/>
  <c r="S1459" i="1"/>
  <c r="N1459" i="1"/>
  <c r="M1459" i="1"/>
  <c r="L1459" i="1"/>
  <c r="Q1459" i="1" s="1"/>
  <c r="P1459" i="1" s="1"/>
  <c r="V1458" i="1"/>
  <c r="U1458" i="1"/>
  <c r="T1458" i="1"/>
  <c r="S1458" i="1"/>
  <c r="N1458" i="1"/>
  <c r="M1458" i="1"/>
  <c r="L1458" i="1"/>
  <c r="Q1458" i="1" s="1"/>
  <c r="P1458" i="1" s="1"/>
  <c r="V1457" i="1"/>
  <c r="U1457" i="1"/>
  <c r="T1457" i="1"/>
  <c r="S1457" i="1"/>
  <c r="N1457" i="1"/>
  <c r="M1457" i="1"/>
  <c r="L1457" i="1"/>
  <c r="Q1457" i="1" s="1"/>
  <c r="P1457" i="1" s="1"/>
  <c r="V1456" i="1"/>
  <c r="U1456" i="1"/>
  <c r="T1456" i="1"/>
  <c r="S1456" i="1"/>
  <c r="N1456" i="1"/>
  <c r="M1456" i="1"/>
  <c r="L1456" i="1"/>
  <c r="Q1456" i="1" s="1"/>
  <c r="P1456" i="1" s="1"/>
  <c r="V1455" i="1"/>
  <c r="U1455" i="1"/>
  <c r="T1455" i="1"/>
  <c r="S1455" i="1"/>
  <c r="N1455" i="1"/>
  <c r="M1455" i="1"/>
  <c r="O1455" i="1" s="1"/>
  <c r="L1455" i="1"/>
  <c r="Q1455" i="1" s="1"/>
  <c r="P1455" i="1" s="1"/>
  <c r="V1454" i="1"/>
  <c r="U1454" i="1"/>
  <c r="T1454" i="1"/>
  <c r="S1454" i="1"/>
  <c r="Q1454" i="1"/>
  <c r="P1454" i="1" s="1"/>
  <c r="N1454" i="1"/>
  <c r="M1454" i="1"/>
  <c r="O1454" i="1" s="1"/>
  <c r="L1454" i="1"/>
  <c r="V1453" i="1"/>
  <c r="U1453" i="1"/>
  <c r="T1453" i="1"/>
  <c r="S1453" i="1"/>
  <c r="Q1453" i="1"/>
  <c r="P1453" i="1" s="1"/>
  <c r="N1453" i="1"/>
  <c r="M1453" i="1"/>
  <c r="L1453" i="1"/>
  <c r="V1452" i="1"/>
  <c r="U1452" i="1"/>
  <c r="T1452" i="1"/>
  <c r="S1452" i="1"/>
  <c r="O1452" i="1"/>
  <c r="N1452" i="1"/>
  <c r="M1452" i="1"/>
  <c r="L1452" i="1"/>
  <c r="Q1452" i="1" s="1"/>
  <c r="P1452" i="1" s="1"/>
  <c r="V1451" i="1"/>
  <c r="U1451" i="1"/>
  <c r="T1451" i="1"/>
  <c r="S1451" i="1"/>
  <c r="Q1451" i="1"/>
  <c r="P1451" i="1" s="1"/>
  <c r="N1451" i="1"/>
  <c r="M1451" i="1"/>
  <c r="O1451" i="1" s="1"/>
  <c r="L1451" i="1"/>
  <c r="V1450" i="1"/>
  <c r="U1450" i="1"/>
  <c r="T1450" i="1"/>
  <c r="S1450" i="1"/>
  <c r="N1450" i="1"/>
  <c r="M1450" i="1"/>
  <c r="L1450" i="1"/>
  <c r="Q1450" i="1" s="1"/>
  <c r="P1450" i="1" s="1"/>
  <c r="V1449" i="1"/>
  <c r="U1449" i="1"/>
  <c r="T1449" i="1"/>
  <c r="S1449" i="1"/>
  <c r="N1449" i="1"/>
  <c r="M1449" i="1"/>
  <c r="O1449" i="1" s="1"/>
  <c r="L1449" i="1"/>
  <c r="Q1449" i="1" s="1"/>
  <c r="P1449" i="1" s="1"/>
  <c r="V1448" i="1"/>
  <c r="U1448" i="1"/>
  <c r="T1448" i="1"/>
  <c r="S1448" i="1"/>
  <c r="N1448" i="1"/>
  <c r="M1448" i="1"/>
  <c r="O1448" i="1" s="1"/>
  <c r="L1448" i="1"/>
  <c r="Q1448" i="1" s="1"/>
  <c r="P1448" i="1" s="1"/>
  <c r="V1447" i="1"/>
  <c r="U1447" i="1"/>
  <c r="T1447" i="1"/>
  <c r="S1447" i="1"/>
  <c r="N1447" i="1"/>
  <c r="M1447" i="1"/>
  <c r="L1447" i="1"/>
  <c r="Q1447" i="1" s="1"/>
  <c r="P1447" i="1" s="1"/>
  <c r="V1446" i="1"/>
  <c r="U1446" i="1"/>
  <c r="T1446" i="1"/>
  <c r="S1446" i="1"/>
  <c r="N1446" i="1"/>
  <c r="M1446" i="1"/>
  <c r="O1446" i="1" s="1"/>
  <c r="L1446" i="1"/>
  <c r="Q1446" i="1" s="1"/>
  <c r="P1446" i="1" s="1"/>
  <c r="V1445" i="1"/>
  <c r="U1445" i="1"/>
  <c r="T1445" i="1"/>
  <c r="S1445" i="1"/>
  <c r="N1445" i="1"/>
  <c r="M1445" i="1"/>
  <c r="L1445" i="1"/>
  <c r="Q1445" i="1" s="1"/>
  <c r="P1445" i="1" s="1"/>
  <c r="V1444" i="1"/>
  <c r="U1444" i="1"/>
  <c r="T1444" i="1"/>
  <c r="S1444" i="1"/>
  <c r="N1444" i="1"/>
  <c r="M1444" i="1"/>
  <c r="O1444" i="1" s="1"/>
  <c r="L1444" i="1"/>
  <c r="Q1444" i="1" s="1"/>
  <c r="P1444" i="1" s="1"/>
  <c r="V1443" i="1"/>
  <c r="U1443" i="1"/>
  <c r="T1443" i="1"/>
  <c r="S1443" i="1"/>
  <c r="N1443" i="1"/>
  <c r="M1443" i="1"/>
  <c r="O1443" i="1" s="1"/>
  <c r="L1443" i="1"/>
  <c r="Q1443" i="1" s="1"/>
  <c r="P1443" i="1" s="1"/>
  <c r="V1442" i="1"/>
  <c r="U1442" i="1"/>
  <c r="T1442" i="1"/>
  <c r="S1442" i="1"/>
  <c r="N1442" i="1"/>
  <c r="M1442" i="1"/>
  <c r="L1442" i="1"/>
  <c r="Q1442" i="1" s="1"/>
  <c r="P1442" i="1" s="1"/>
  <c r="V1441" i="1"/>
  <c r="U1441" i="1"/>
  <c r="T1441" i="1"/>
  <c r="S1441" i="1"/>
  <c r="N1441" i="1"/>
  <c r="M1441" i="1"/>
  <c r="O1441" i="1" s="1"/>
  <c r="L1441" i="1"/>
  <c r="Q1441" i="1" s="1"/>
  <c r="P1441" i="1" s="1"/>
  <c r="V1440" i="1"/>
  <c r="U1440" i="1"/>
  <c r="T1440" i="1"/>
  <c r="S1440" i="1"/>
  <c r="N1440" i="1"/>
  <c r="O1440" i="1" s="1"/>
  <c r="M1440" i="1"/>
  <c r="L1440" i="1"/>
  <c r="Q1440" i="1" s="1"/>
  <c r="P1440" i="1" s="1"/>
  <c r="V1439" i="1"/>
  <c r="U1439" i="1"/>
  <c r="T1439" i="1"/>
  <c r="S1439" i="1"/>
  <c r="N1439" i="1"/>
  <c r="O1439" i="1" s="1"/>
  <c r="M1439" i="1"/>
  <c r="L1439" i="1"/>
  <c r="Q1439" i="1" s="1"/>
  <c r="P1439" i="1" s="1"/>
  <c r="V1438" i="1"/>
  <c r="U1438" i="1"/>
  <c r="T1438" i="1"/>
  <c r="S1438" i="1"/>
  <c r="N1438" i="1"/>
  <c r="M1438" i="1"/>
  <c r="L1438" i="1"/>
  <c r="Q1438" i="1" s="1"/>
  <c r="P1438" i="1" s="1"/>
  <c r="V1437" i="1"/>
  <c r="U1437" i="1"/>
  <c r="T1437" i="1"/>
  <c r="S1437" i="1"/>
  <c r="N1437" i="1"/>
  <c r="M1437" i="1"/>
  <c r="L1437" i="1"/>
  <c r="Q1437" i="1" s="1"/>
  <c r="P1437" i="1" s="1"/>
  <c r="V1436" i="1"/>
  <c r="U1436" i="1"/>
  <c r="T1436" i="1"/>
  <c r="S1436" i="1"/>
  <c r="N1436" i="1"/>
  <c r="M1436" i="1"/>
  <c r="L1436" i="1"/>
  <c r="Q1436" i="1" s="1"/>
  <c r="P1436" i="1" s="1"/>
  <c r="V1435" i="1"/>
  <c r="U1435" i="1"/>
  <c r="T1435" i="1"/>
  <c r="S1435" i="1"/>
  <c r="N1435" i="1"/>
  <c r="M1435" i="1"/>
  <c r="L1435" i="1"/>
  <c r="Q1435" i="1" s="1"/>
  <c r="P1435" i="1" s="1"/>
  <c r="V1434" i="1"/>
  <c r="U1434" i="1"/>
  <c r="T1434" i="1"/>
  <c r="S1434" i="1"/>
  <c r="Q1434" i="1"/>
  <c r="P1434" i="1" s="1"/>
  <c r="N1434" i="1"/>
  <c r="M1434" i="1"/>
  <c r="L1434" i="1"/>
  <c r="V1433" i="1"/>
  <c r="U1433" i="1"/>
  <c r="T1433" i="1"/>
  <c r="S1433" i="1"/>
  <c r="Q1433" i="1"/>
  <c r="P1433" i="1" s="1"/>
  <c r="N1433" i="1"/>
  <c r="M1433" i="1"/>
  <c r="O1433" i="1" s="1"/>
  <c r="L1433" i="1"/>
  <c r="V1432" i="1"/>
  <c r="U1432" i="1"/>
  <c r="T1432" i="1"/>
  <c r="S1432" i="1"/>
  <c r="Q1432" i="1"/>
  <c r="P1432" i="1" s="1"/>
  <c r="N1432" i="1"/>
  <c r="M1432" i="1"/>
  <c r="O1432" i="1" s="1"/>
  <c r="L1432" i="1"/>
  <c r="V1431" i="1"/>
  <c r="U1431" i="1"/>
  <c r="T1431" i="1"/>
  <c r="S1431" i="1"/>
  <c r="Q1431" i="1"/>
  <c r="P1431" i="1" s="1"/>
  <c r="N1431" i="1"/>
  <c r="M1431" i="1"/>
  <c r="O1431" i="1" s="1"/>
  <c r="L1431" i="1"/>
  <c r="V1430" i="1"/>
  <c r="U1430" i="1"/>
  <c r="T1430" i="1"/>
  <c r="S1430" i="1"/>
  <c r="Q1430" i="1"/>
  <c r="P1430" i="1" s="1"/>
  <c r="N1430" i="1"/>
  <c r="M1430" i="1"/>
  <c r="L1430" i="1"/>
  <c r="V1429" i="1"/>
  <c r="U1429" i="1"/>
  <c r="T1429" i="1"/>
  <c r="S1429" i="1"/>
  <c r="N1429" i="1"/>
  <c r="M1429" i="1"/>
  <c r="O1429" i="1" s="1"/>
  <c r="L1429" i="1"/>
  <c r="Q1429" i="1" s="1"/>
  <c r="P1429" i="1" s="1"/>
  <c r="V1428" i="1"/>
  <c r="U1428" i="1"/>
  <c r="T1428" i="1"/>
  <c r="S1428" i="1"/>
  <c r="Q1428" i="1"/>
  <c r="P1428" i="1" s="1"/>
  <c r="N1428" i="1"/>
  <c r="M1428" i="1"/>
  <c r="O1428" i="1" s="1"/>
  <c r="L1428" i="1"/>
  <c r="V1427" i="1"/>
  <c r="U1427" i="1"/>
  <c r="T1427" i="1"/>
  <c r="S1427" i="1"/>
  <c r="N1427" i="1"/>
  <c r="M1427" i="1"/>
  <c r="L1427" i="1"/>
  <c r="Q1427" i="1" s="1"/>
  <c r="P1427" i="1" s="1"/>
  <c r="V1426" i="1"/>
  <c r="U1426" i="1"/>
  <c r="T1426" i="1"/>
  <c r="S1426" i="1"/>
  <c r="N1426" i="1"/>
  <c r="M1426" i="1"/>
  <c r="L1426" i="1"/>
  <c r="Q1426" i="1" s="1"/>
  <c r="P1426" i="1" s="1"/>
  <c r="V1425" i="1"/>
  <c r="U1425" i="1"/>
  <c r="T1425" i="1"/>
  <c r="S1425" i="1"/>
  <c r="N1425" i="1"/>
  <c r="M1425" i="1"/>
  <c r="O1425" i="1" s="1"/>
  <c r="L1425" i="1"/>
  <c r="Q1425" i="1" s="1"/>
  <c r="P1425" i="1" s="1"/>
  <c r="V1424" i="1"/>
  <c r="U1424" i="1"/>
  <c r="T1424" i="1"/>
  <c r="S1424" i="1"/>
  <c r="N1424" i="1"/>
  <c r="M1424" i="1"/>
  <c r="L1424" i="1"/>
  <c r="Q1424" i="1" s="1"/>
  <c r="P1424" i="1" s="1"/>
  <c r="V1423" i="1"/>
  <c r="U1423" i="1"/>
  <c r="T1423" i="1"/>
  <c r="S1423" i="1"/>
  <c r="N1423" i="1"/>
  <c r="M1423" i="1"/>
  <c r="O1423" i="1" s="1"/>
  <c r="L1423" i="1"/>
  <c r="Q1423" i="1" s="1"/>
  <c r="P1423" i="1" s="1"/>
  <c r="V1422" i="1"/>
  <c r="U1422" i="1"/>
  <c r="T1422" i="1"/>
  <c r="S1422" i="1"/>
  <c r="N1422" i="1"/>
  <c r="M1422" i="1"/>
  <c r="O1422" i="1" s="1"/>
  <c r="L1422" i="1"/>
  <c r="Q1422" i="1" s="1"/>
  <c r="P1422" i="1" s="1"/>
  <c r="V1421" i="1"/>
  <c r="U1421" i="1"/>
  <c r="T1421" i="1"/>
  <c r="S1421" i="1"/>
  <c r="Q1421" i="1"/>
  <c r="P1421" i="1" s="1"/>
  <c r="N1421" i="1"/>
  <c r="O1421" i="1" s="1"/>
  <c r="M1421" i="1"/>
  <c r="L1421" i="1"/>
  <c r="V1420" i="1"/>
  <c r="U1420" i="1"/>
  <c r="T1420" i="1"/>
  <c r="S1420" i="1"/>
  <c r="N1420" i="1"/>
  <c r="O1420" i="1" s="1"/>
  <c r="M1420" i="1"/>
  <c r="L1420" i="1"/>
  <c r="Q1420" i="1" s="1"/>
  <c r="P1420" i="1" s="1"/>
  <c r="V1419" i="1"/>
  <c r="U1419" i="1"/>
  <c r="T1419" i="1"/>
  <c r="S1419" i="1"/>
  <c r="N1419" i="1"/>
  <c r="M1419" i="1"/>
  <c r="L1419" i="1"/>
  <c r="Q1419" i="1" s="1"/>
  <c r="P1419" i="1" s="1"/>
  <c r="V1418" i="1"/>
  <c r="U1418" i="1"/>
  <c r="T1418" i="1"/>
  <c r="S1418" i="1"/>
  <c r="N1418" i="1"/>
  <c r="M1418" i="1"/>
  <c r="L1418" i="1"/>
  <c r="Q1418" i="1" s="1"/>
  <c r="P1418" i="1" s="1"/>
  <c r="V1417" i="1"/>
  <c r="U1417" i="1"/>
  <c r="T1417" i="1"/>
  <c r="S1417" i="1"/>
  <c r="N1417" i="1"/>
  <c r="M1417" i="1"/>
  <c r="O1417" i="1" s="1"/>
  <c r="L1417" i="1"/>
  <c r="Q1417" i="1" s="1"/>
  <c r="P1417" i="1" s="1"/>
  <c r="V1416" i="1"/>
  <c r="U1416" i="1"/>
  <c r="T1416" i="1"/>
  <c r="S1416" i="1"/>
  <c r="N1416" i="1"/>
  <c r="M1416" i="1"/>
  <c r="O1416" i="1" s="1"/>
  <c r="L1416" i="1"/>
  <c r="Q1416" i="1" s="1"/>
  <c r="P1416" i="1" s="1"/>
  <c r="V1415" i="1"/>
  <c r="U1415" i="1"/>
  <c r="T1415" i="1"/>
  <c r="S1415" i="1"/>
  <c r="N1415" i="1"/>
  <c r="M1415" i="1"/>
  <c r="L1415" i="1"/>
  <c r="Q1415" i="1" s="1"/>
  <c r="P1415" i="1" s="1"/>
  <c r="V1414" i="1"/>
  <c r="U1414" i="1"/>
  <c r="T1414" i="1"/>
  <c r="S1414" i="1"/>
  <c r="N1414" i="1"/>
  <c r="M1414" i="1"/>
  <c r="L1414" i="1"/>
  <c r="Q1414" i="1" s="1"/>
  <c r="P1414" i="1" s="1"/>
  <c r="V1413" i="1"/>
  <c r="U1413" i="1"/>
  <c r="T1413" i="1"/>
  <c r="S1413" i="1"/>
  <c r="N1413" i="1"/>
  <c r="M1413" i="1"/>
  <c r="L1413" i="1"/>
  <c r="Q1413" i="1" s="1"/>
  <c r="P1413" i="1" s="1"/>
  <c r="V1412" i="1"/>
  <c r="U1412" i="1"/>
  <c r="T1412" i="1"/>
  <c r="S1412" i="1"/>
  <c r="N1412" i="1"/>
  <c r="M1412" i="1"/>
  <c r="L1412" i="1"/>
  <c r="Q1412" i="1" s="1"/>
  <c r="P1412" i="1" s="1"/>
  <c r="V1411" i="1"/>
  <c r="U1411" i="1"/>
  <c r="T1411" i="1"/>
  <c r="S1411" i="1"/>
  <c r="N1411" i="1"/>
  <c r="M1411" i="1"/>
  <c r="L1411" i="1"/>
  <c r="Q1411" i="1" s="1"/>
  <c r="P1411" i="1" s="1"/>
  <c r="V1410" i="1"/>
  <c r="U1410" i="1"/>
  <c r="T1410" i="1"/>
  <c r="S1410" i="1"/>
  <c r="N1410" i="1"/>
  <c r="M1410" i="1"/>
  <c r="L1410" i="1"/>
  <c r="Q1410" i="1" s="1"/>
  <c r="P1410" i="1" s="1"/>
  <c r="V1409" i="1"/>
  <c r="U1409" i="1"/>
  <c r="T1409" i="1"/>
  <c r="S1409" i="1"/>
  <c r="N1409" i="1"/>
  <c r="M1409" i="1"/>
  <c r="L1409" i="1"/>
  <c r="Q1409" i="1" s="1"/>
  <c r="P1409" i="1" s="1"/>
  <c r="V1408" i="1"/>
  <c r="U1408" i="1"/>
  <c r="T1408" i="1"/>
  <c r="S1408" i="1"/>
  <c r="N1408" i="1"/>
  <c r="M1408" i="1"/>
  <c r="L1408" i="1"/>
  <c r="Q1408" i="1" s="1"/>
  <c r="P1408" i="1" s="1"/>
  <c r="V1407" i="1"/>
  <c r="U1407" i="1"/>
  <c r="T1407" i="1"/>
  <c r="S1407" i="1"/>
  <c r="N1407" i="1"/>
  <c r="M1407" i="1"/>
  <c r="O1407" i="1" s="1"/>
  <c r="L1407" i="1"/>
  <c r="Q1407" i="1" s="1"/>
  <c r="P1407" i="1" s="1"/>
  <c r="V1406" i="1"/>
  <c r="U1406" i="1"/>
  <c r="T1406" i="1"/>
  <c r="S1406" i="1"/>
  <c r="N1406" i="1"/>
  <c r="M1406" i="1"/>
  <c r="L1406" i="1"/>
  <c r="Q1406" i="1" s="1"/>
  <c r="P1406" i="1" s="1"/>
  <c r="V1405" i="1"/>
  <c r="U1405" i="1"/>
  <c r="T1405" i="1"/>
  <c r="S1405" i="1"/>
  <c r="N1405" i="1"/>
  <c r="O1405" i="1" s="1"/>
  <c r="M1405" i="1"/>
  <c r="L1405" i="1"/>
  <c r="Q1405" i="1" s="1"/>
  <c r="P1405" i="1" s="1"/>
  <c r="V1404" i="1"/>
  <c r="U1404" i="1"/>
  <c r="T1404" i="1"/>
  <c r="S1404" i="1"/>
  <c r="Q1404" i="1"/>
  <c r="P1404" i="1" s="1"/>
  <c r="N1404" i="1"/>
  <c r="M1404" i="1"/>
  <c r="L1404" i="1"/>
  <c r="V1403" i="1"/>
  <c r="U1403" i="1"/>
  <c r="T1403" i="1"/>
  <c r="S1403" i="1"/>
  <c r="N1403" i="1"/>
  <c r="O1403" i="1" s="1"/>
  <c r="M1403" i="1"/>
  <c r="L1403" i="1"/>
  <c r="Q1403" i="1" s="1"/>
  <c r="P1403" i="1" s="1"/>
  <c r="V1402" i="1"/>
  <c r="U1402" i="1"/>
  <c r="T1402" i="1"/>
  <c r="S1402" i="1"/>
  <c r="Q1402" i="1"/>
  <c r="P1402" i="1" s="1"/>
  <c r="N1402" i="1"/>
  <c r="O1402" i="1" s="1"/>
  <c r="M1402" i="1"/>
  <c r="L1402" i="1"/>
  <c r="V1401" i="1"/>
  <c r="U1401" i="1"/>
  <c r="T1401" i="1"/>
  <c r="S1401" i="1"/>
  <c r="Q1401" i="1"/>
  <c r="P1401" i="1" s="1"/>
  <c r="N1401" i="1"/>
  <c r="M1401" i="1"/>
  <c r="L1401" i="1"/>
  <c r="V1400" i="1"/>
  <c r="U1400" i="1"/>
  <c r="T1400" i="1"/>
  <c r="S1400" i="1"/>
  <c r="N1400" i="1"/>
  <c r="M1400" i="1"/>
  <c r="O1400" i="1" s="1"/>
  <c r="L1400" i="1"/>
  <c r="Q1400" i="1" s="1"/>
  <c r="P1400" i="1" s="1"/>
  <c r="V1399" i="1"/>
  <c r="U1399" i="1"/>
  <c r="T1399" i="1"/>
  <c r="S1399" i="1"/>
  <c r="N1399" i="1"/>
  <c r="M1399" i="1"/>
  <c r="O1399" i="1" s="1"/>
  <c r="L1399" i="1"/>
  <c r="Q1399" i="1" s="1"/>
  <c r="P1399" i="1" s="1"/>
  <c r="V1398" i="1"/>
  <c r="U1398" i="1"/>
  <c r="T1398" i="1"/>
  <c r="S1398" i="1"/>
  <c r="N1398" i="1"/>
  <c r="M1398" i="1"/>
  <c r="L1398" i="1"/>
  <c r="Q1398" i="1" s="1"/>
  <c r="P1398" i="1" s="1"/>
  <c r="V1397" i="1"/>
  <c r="U1397" i="1"/>
  <c r="T1397" i="1"/>
  <c r="S1397" i="1"/>
  <c r="N1397" i="1"/>
  <c r="M1397" i="1"/>
  <c r="O1397" i="1" s="1"/>
  <c r="L1397" i="1"/>
  <c r="Q1397" i="1" s="1"/>
  <c r="P1397" i="1" s="1"/>
  <c r="V1396" i="1"/>
  <c r="U1396" i="1"/>
  <c r="T1396" i="1"/>
  <c r="S1396" i="1"/>
  <c r="N1396" i="1"/>
  <c r="M1396" i="1"/>
  <c r="L1396" i="1"/>
  <c r="Q1396" i="1" s="1"/>
  <c r="P1396" i="1" s="1"/>
  <c r="V1395" i="1"/>
  <c r="U1395" i="1"/>
  <c r="T1395" i="1"/>
  <c r="S1395" i="1"/>
  <c r="Q1395" i="1"/>
  <c r="P1395" i="1" s="1"/>
  <c r="N1395" i="1"/>
  <c r="M1395" i="1"/>
  <c r="O1395" i="1" s="1"/>
  <c r="L1395" i="1"/>
  <c r="V1394" i="1"/>
  <c r="U1394" i="1"/>
  <c r="T1394" i="1"/>
  <c r="S1394" i="1"/>
  <c r="Q1394" i="1"/>
  <c r="P1394" i="1" s="1"/>
  <c r="N1394" i="1"/>
  <c r="M1394" i="1"/>
  <c r="L1394" i="1"/>
  <c r="V1393" i="1"/>
  <c r="U1393" i="1"/>
  <c r="T1393" i="1"/>
  <c r="S1393" i="1"/>
  <c r="N1393" i="1"/>
  <c r="M1393" i="1"/>
  <c r="L1393" i="1"/>
  <c r="Q1393" i="1" s="1"/>
  <c r="P1393" i="1" s="1"/>
  <c r="V1392" i="1"/>
  <c r="U1392" i="1"/>
  <c r="T1392" i="1"/>
  <c r="S1392" i="1"/>
  <c r="N1392" i="1"/>
  <c r="M1392" i="1"/>
  <c r="L1392" i="1"/>
  <c r="Q1392" i="1" s="1"/>
  <c r="P1392" i="1" s="1"/>
  <c r="V1391" i="1"/>
  <c r="U1391" i="1"/>
  <c r="T1391" i="1"/>
  <c r="S1391" i="1"/>
  <c r="N1391" i="1"/>
  <c r="M1391" i="1"/>
  <c r="L1391" i="1"/>
  <c r="Q1391" i="1" s="1"/>
  <c r="P1391" i="1" s="1"/>
  <c r="V1390" i="1"/>
  <c r="U1390" i="1"/>
  <c r="T1390" i="1"/>
  <c r="S1390" i="1"/>
  <c r="N1390" i="1"/>
  <c r="O1390" i="1" s="1"/>
  <c r="M1390" i="1"/>
  <c r="L1390" i="1"/>
  <c r="Q1390" i="1" s="1"/>
  <c r="P1390" i="1" s="1"/>
  <c r="V1389" i="1"/>
  <c r="U1389" i="1"/>
  <c r="T1389" i="1"/>
  <c r="S1389" i="1"/>
  <c r="N1389" i="1"/>
  <c r="M1389" i="1"/>
  <c r="L1389" i="1"/>
  <c r="Q1389" i="1" s="1"/>
  <c r="P1389" i="1" s="1"/>
  <c r="V1388" i="1"/>
  <c r="U1388" i="1"/>
  <c r="T1388" i="1"/>
  <c r="S1388" i="1"/>
  <c r="N1388" i="1"/>
  <c r="M1388" i="1"/>
  <c r="O1388" i="1" s="1"/>
  <c r="L1388" i="1"/>
  <c r="Q1388" i="1" s="1"/>
  <c r="P1388" i="1" s="1"/>
  <c r="V1387" i="1"/>
  <c r="U1387" i="1"/>
  <c r="T1387" i="1"/>
  <c r="S1387" i="1"/>
  <c r="N1387" i="1"/>
  <c r="M1387" i="1"/>
  <c r="O1387" i="1" s="1"/>
  <c r="L1387" i="1"/>
  <c r="Q1387" i="1" s="1"/>
  <c r="P1387" i="1" s="1"/>
  <c r="V1386" i="1"/>
  <c r="U1386" i="1"/>
  <c r="T1386" i="1"/>
  <c r="S1386" i="1"/>
  <c r="N1386" i="1"/>
  <c r="M1386" i="1"/>
  <c r="L1386" i="1"/>
  <c r="Q1386" i="1" s="1"/>
  <c r="P1386" i="1" s="1"/>
  <c r="V1385" i="1"/>
  <c r="U1385" i="1"/>
  <c r="T1385" i="1"/>
  <c r="S1385" i="1"/>
  <c r="N1385" i="1"/>
  <c r="M1385" i="1"/>
  <c r="O1385" i="1" s="1"/>
  <c r="L1385" i="1"/>
  <c r="Q1385" i="1" s="1"/>
  <c r="P1385" i="1" s="1"/>
  <c r="V1384" i="1"/>
  <c r="U1384" i="1"/>
  <c r="T1384" i="1"/>
  <c r="S1384" i="1"/>
  <c r="N1384" i="1"/>
  <c r="M1384" i="1"/>
  <c r="O1384" i="1" s="1"/>
  <c r="L1384" i="1"/>
  <c r="Q1384" i="1" s="1"/>
  <c r="P1384" i="1" s="1"/>
  <c r="V1383" i="1"/>
  <c r="U1383" i="1"/>
  <c r="T1383" i="1"/>
  <c r="S1383" i="1"/>
  <c r="N1383" i="1"/>
  <c r="M1383" i="1"/>
  <c r="O1383" i="1" s="1"/>
  <c r="L1383" i="1"/>
  <c r="Q1383" i="1" s="1"/>
  <c r="P1383" i="1" s="1"/>
  <c r="V1382" i="1"/>
  <c r="U1382" i="1"/>
  <c r="T1382" i="1"/>
  <c r="S1382" i="1"/>
  <c r="N1382" i="1"/>
  <c r="M1382" i="1"/>
  <c r="O1382" i="1" s="1"/>
  <c r="L1382" i="1"/>
  <c r="Q1382" i="1" s="1"/>
  <c r="P1382" i="1" s="1"/>
  <c r="V1381" i="1"/>
  <c r="U1381" i="1"/>
  <c r="T1381" i="1"/>
  <c r="S1381" i="1"/>
  <c r="N1381" i="1"/>
  <c r="M1381" i="1"/>
  <c r="O1381" i="1" s="1"/>
  <c r="L1381" i="1"/>
  <c r="Q1381" i="1" s="1"/>
  <c r="P1381" i="1" s="1"/>
  <c r="V1380" i="1"/>
  <c r="U1380" i="1"/>
  <c r="T1380" i="1"/>
  <c r="S1380" i="1"/>
  <c r="N1380" i="1"/>
  <c r="M1380" i="1"/>
  <c r="O1380" i="1" s="1"/>
  <c r="L1380" i="1"/>
  <c r="Q1380" i="1" s="1"/>
  <c r="P1380" i="1" s="1"/>
  <c r="V1379" i="1"/>
  <c r="U1379" i="1"/>
  <c r="T1379" i="1"/>
  <c r="S1379" i="1"/>
  <c r="N1379" i="1"/>
  <c r="M1379" i="1"/>
  <c r="L1379" i="1"/>
  <c r="Q1379" i="1" s="1"/>
  <c r="P1379" i="1" s="1"/>
  <c r="V1378" i="1"/>
  <c r="U1378" i="1"/>
  <c r="T1378" i="1"/>
  <c r="S1378" i="1"/>
  <c r="N1378" i="1"/>
  <c r="M1378" i="1"/>
  <c r="L1378" i="1"/>
  <c r="Q1378" i="1" s="1"/>
  <c r="P1378" i="1" s="1"/>
  <c r="V1377" i="1"/>
  <c r="U1377" i="1"/>
  <c r="T1377" i="1"/>
  <c r="S1377" i="1"/>
  <c r="N1377" i="1"/>
  <c r="M1377" i="1"/>
  <c r="L1377" i="1"/>
  <c r="Q1377" i="1" s="1"/>
  <c r="P1377" i="1" s="1"/>
  <c r="V1376" i="1"/>
  <c r="U1376" i="1"/>
  <c r="T1376" i="1"/>
  <c r="S1376" i="1"/>
  <c r="N1376" i="1"/>
  <c r="M1376" i="1"/>
  <c r="L1376" i="1"/>
  <c r="Q1376" i="1" s="1"/>
  <c r="P1376" i="1" s="1"/>
  <c r="V1375" i="1"/>
  <c r="U1375" i="1"/>
  <c r="T1375" i="1"/>
  <c r="S1375" i="1"/>
  <c r="N1375" i="1"/>
  <c r="M1375" i="1"/>
  <c r="O1375" i="1" s="1"/>
  <c r="L1375" i="1"/>
  <c r="Q1375" i="1" s="1"/>
  <c r="P1375" i="1" s="1"/>
  <c r="V1374" i="1"/>
  <c r="U1374" i="1"/>
  <c r="T1374" i="1"/>
  <c r="S1374" i="1"/>
  <c r="N1374" i="1"/>
  <c r="M1374" i="1"/>
  <c r="L1374" i="1"/>
  <c r="Q1374" i="1" s="1"/>
  <c r="P1374" i="1" s="1"/>
  <c r="V1373" i="1"/>
  <c r="U1373" i="1"/>
  <c r="T1373" i="1"/>
  <c r="S1373" i="1"/>
  <c r="N1373" i="1"/>
  <c r="M1373" i="1"/>
  <c r="L1373" i="1"/>
  <c r="Q1373" i="1" s="1"/>
  <c r="P1373" i="1" s="1"/>
  <c r="V1372" i="1"/>
  <c r="U1372" i="1"/>
  <c r="T1372" i="1"/>
  <c r="S1372" i="1"/>
  <c r="N1372" i="1"/>
  <c r="M1372" i="1"/>
  <c r="L1372" i="1"/>
  <c r="Q1372" i="1" s="1"/>
  <c r="P1372" i="1" s="1"/>
  <c r="V1371" i="1"/>
  <c r="U1371" i="1"/>
  <c r="T1371" i="1"/>
  <c r="S1371" i="1"/>
  <c r="N1371" i="1"/>
  <c r="M1371" i="1"/>
  <c r="L1371" i="1"/>
  <c r="Q1371" i="1" s="1"/>
  <c r="P1371" i="1" s="1"/>
  <c r="V1370" i="1"/>
  <c r="U1370" i="1"/>
  <c r="T1370" i="1"/>
  <c r="S1370" i="1"/>
  <c r="N1370" i="1"/>
  <c r="M1370" i="1"/>
  <c r="L1370" i="1"/>
  <c r="Q1370" i="1" s="1"/>
  <c r="P1370" i="1" s="1"/>
  <c r="V1369" i="1"/>
  <c r="U1369" i="1"/>
  <c r="T1369" i="1"/>
  <c r="S1369" i="1"/>
  <c r="N1369" i="1"/>
  <c r="M1369" i="1"/>
  <c r="O1369" i="1" s="1"/>
  <c r="L1369" i="1"/>
  <c r="Q1369" i="1" s="1"/>
  <c r="P1369" i="1" s="1"/>
  <c r="V1368" i="1"/>
  <c r="U1368" i="1"/>
  <c r="T1368" i="1"/>
  <c r="S1368" i="1"/>
  <c r="Q1368" i="1"/>
  <c r="P1368" i="1" s="1"/>
  <c r="N1368" i="1"/>
  <c r="M1368" i="1"/>
  <c r="L1368" i="1"/>
  <c r="V1367" i="1"/>
  <c r="U1367" i="1"/>
  <c r="T1367" i="1"/>
  <c r="S1367" i="1"/>
  <c r="N1367" i="1"/>
  <c r="M1367" i="1"/>
  <c r="L1367" i="1"/>
  <c r="Q1367" i="1" s="1"/>
  <c r="P1367" i="1" s="1"/>
  <c r="V1366" i="1"/>
  <c r="U1366" i="1"/>
  <c r="T1366" i="1"/>
  <c r="S1366" i="1"/>
  <c r="N1366" i="1"/>
  <c r="M1366" i="1"/>
  <c r="L1366" i="1"/>
  <c r="Q1366" i="1" s="1"/>
  <c r="P1366" i="1" s="1"/>
  <c r="V1365" i="1"/>
  <c r="U1365" i="1"/>
  <c r="T1365" i="1"/>
  <c r="S1365" i="1"/>
  <c r="N1365" i="1"/>
  <c r="M1365" i="1"/>
  <c r="O1365" i="1" s="1"/>
  <c r="L1365" i="1"/>
  <c r="Q1365" i="1" s="1"/>
  <c r="P1365" i="1" s="1"/>
  <c r="V1364" i="1"/>
  <c r="U1364" i="1"/>
  <c r="T1364" i="1"/>
  <c r="S1364" i="1"/>
  <c r="N1364" i="1"/>
  <c r="M1364" i="1"/>
  <c r="O1364" i="1" s="1"/>
  <c r="L1364" i="1"/>
  <c r="Q1364" i="1" s="1"/>
  <c r="P1364" i="1" s="1"/>
  <c r="V1363" i="1"/>
  <c r="U1363" i="1"/>
  <c r="T1363" i="1"/>
  <c r="S1363" i="1"/>
  <c r="N1363" i="1"/>
  <c r="M1363" i="1"/>
  <c r="L1363" i="1"/>
  <c r="Q1363" i="1" s="1"/>
  <c r="P1363" i="1" s="1"/>
  <c r="V1362" i="1"/>
  <c r="U1362" i="1"/>
  <c r="T1362" i="1"/>
  <c r="S1362" i="1"/>
  <c r="N1362" i="1"/>
  <c r="M1362" i="1"/>
  <c r="L1362" i="1"/>
  <c r="Q1362" i="1" s="1"/>
  <c r="P1362" i="1" s="1"/>
  <c r="V1361" i="1"/>
  <c r="U1361" i="1"/>
  <c r="T1361" i="1"/>
  <c r="S1361" i="1"/>
  <c r="N1361" i="1"/>
  <c r="M1361" i="1"/>
  <c r="L1361" i="1"/>
  <c r="Q1361" i="1" s="1"/>
  <c r="P1361" i="1" s="1"/>
  <c r="V1360" i="1"/>
  <c r="U1360" i="1"/>
  <c r="T1360" i="1"/>
  <c r="S1360" i="1"/>
  <c r="Q1360" i="1"/>
  <c r="P1360" i="1" s="1"/>
  <c r="N1360" i="1"/>
  <c r="M1360" i="1"/>
  <c r="L1360" i="1"/>
  <c r="V1359" i="1"/>
  <c r="U1359" i="1"/>
  <c r="T1359" i="1"/>
  <c r="S1359" i="1"/>
  <c r="Q1359" i="1"/>
  <c r="P1359" i="1" s="1"/>
  <c r="N1359" i="1"/>
  <c r="M1359" i="1"/>
  <c r="L1359" i="1"/>
  <c r="V1358" i="1"/>
  <c r="U1358" i="1"/>
  <c r="T1358" i="1"/>
  <c r="S1358" i="1"/>
  <c r="Q1358" i="1"/>
  <c r="P1358" i="1" s="1"/>
  <c r="N1358" i="1"/>
  <c r="M1358" i="1"/>
  <c r="L1358" i="1"/>
  <c r="V1357" i="1"/>
  <c r="U1357" i="1"/>
  <c r="T1357" i="1"/>
  <c r="S1357" i="1"/>
  <c r="Q1357" i="1"/>
  <c r="P1357" i="1" s="1"/>
  <c r="N1357" i="1"/>
  <c r="M1357" i="1"/>
  <c r="L1357" i="1"/>
  <c r="V1356" i="1"/>
  <c r="U1356" i="1"/>
  <c r="T1356" i="1"/>
  <c r="S1356" i="1"/>
  <c r="N1356" i="1"/>
  <c r="O1356" i="1" s="1"/>
  <c r="M1356" i="1"/>
  <c r="L1356" i="1"/>
  <c r="Q1356" i="1" s="1"/>
  <c r="P1356" i="1" s="1"/>
  <c r="V1355" i="1"/>
  <c r="U1355" i="1"/>
  <c r="T1355" i="1"/>
  <c r="S1355" i="1"/>
  <c r="Q1355" i="1"/>
  <c r="P1355" i="1" s="1"/>
  <c r="N1355" i="1"/>
  <c r="M1355" i="1"/>
  <c r="L1355" i="1"/>
  <c r="V1354" i="1"/>
  <c r="U1354" i="1"/>
  <c r="T1354" i="1"/>
  <c r="S1354" i="1"/>
  <c r="Q1354" i="1"/>
  <c r="P1354" i="1" s="1"/>
  <c r="N1354" i="1"/>
  <c r="M1354" i="1"/>
  <c r="L1354" i="1"/>
  <c r="V1353" i="1"/>
  <c r="U1353" i="1"/>
  <c r="T1353" i="1"/>
  <c r="S1353" i="1"/>
  <c r="Q1353" i="1"/>
  <c r="P1353" i="1" s="1"/>
  <c r="N1353" i="1"/>
  <c r="M1353" i="1"/>
  <c r="L1353" i="1"/>
  <c r="V1352" i="1"/>
  <c r="U1352" i="1"/>
  <c r="T1352" i="1"/>
  <c r="S1352" i="1"/>
  <c r="N1352" i="1"/>
  <c r="M1352" i="1"/>
  <c r="O1352" i="1" s="1"/>
  <c r="L1352" i="1"/>
  <c r="Q1352" i="1" s="1"/>
  <c r="P1352" i="1" s="1"/>
  <c r="V1351" i="1"/>
  <c r="U1351" i="1"/>
  <c r="T1351" i="1"/>
  <c r="S1351" i="1"/>
  <c r="N1351" i="1"/>
  <c r="M1351" i="1"/>
  <c r="L1351" i="1"/>
  <c r="Q1351" i="1" s="1"/>
  <c r="P1351" i="1" s="1"/>
  <c r="V1350" i="1"/>
  <c r="U1350" i="1"/>
  <c r="T1350" i="1"/>
  <c r="S1350" i="1"/>
  <c r="N1350" i="1"/>
  <c r="M1350" i="1"/>
  <c r="L1350" i="1"/>
  <c r="Q1350" i="1" s="1"/>
  <c r="P1350" i="1" s="1"/>
  <c r="V1349" i="1"/>
  <c r="U1349" i="1"/>
  <c r="T1349" i="1"/>
  <c r="S1349" i="1"/>
  <c r="N1349" i="1"/>
  <c r="M1349" i="1"/>
  <c r="L1349" i="1"/>
  <c r="Q1349" i="1" s="1"/>
  <c r="P1349" i="1" s="1"/>
  <c r="V1348" i="1"/>
  <c r="U1348" i="1"/>
  <c r="T1348" i="1"/>
  <c r="S1348" i="1"/>
  <c r="N1348" i="1"/>
  <c r="M1348" i="1"/>
  <c r="L1348" i="1"/>
  <c r="Q1348" i="1" s="1"/>
  <c r="P1348" i="1" s="1"/>
  <c r="V1347" i="1"/>
  <c r="U1347" i="1"/>
  <c r="T1347" i="1"/>
  <c r="S1347" i="1"/>
  <c r="N1347" i="1"/>
  <c r="M1347" i="1"/>
  <c r="O1347" i="1" s="1"/>
  <c r="L1347" i="1"/>
  <c r="Q1347" i="1" s="1"/>
  <c r="P1347" i="1" s="1"/>
  <c r="V1346" i="1"/>
  <c r="U1346" i="1"/>
  <c r="T1346" i="1"/>
  <c r="S1346" i="1"/>
  <c r="N1346" i="1"/>
  <c r="M1346" i="1"/>
  <c r="L1346" i="1"/>
  <c r="Q1346" i="1" s="1"/>
  <c r="P1346" i="1" s="1"/>
  <c r="V1345" i="1"/>
  <c r="U1345" i="1"/>
  <c r="T1345" i="1"/>
  <c r="S1345" i="1"/>
  <c r="N1345" i="1"/>
  <c r="M1345" i="1"/>
  <c r="L1345" i="1"/>
  <c r="Q1345" i="1" s="1"/>
  <c r="P1345" i="1" s="1"/>
  <c r="V1344" i="1"/>
  <c r="U1344" i="1"/>
  <c r="T1344" i="1"/>
  <c r="S1344" i="1"/>
  <c r="N1344" i="1"/>
  <c r="M1344" i="1"/>
  <c r="L1344" i="1"/>
  <c r="Q1344" i="1" s="1"/>
  <c r="P1344" i="1" s="1"/>
  <c r="V1343" i="1"/>
  <c r="U1343" i="1"/>
  <c r="T1343" i="1"/>
  <c r="S1343" i="1"/>
  <c r="N1343" i="1"/>
  <c r="O1343" i="1" s="1"/>
  <c r="M1343" i="1"/>
  <c r="L1343" i="1"/>
  <c r="Q1343" i="1" s="1"/>
  <c r="P1343" i="1" s="1"/>
  <c r="V1342" i="1"/>
  <c r="U1342" i="1"/>
  <c r="T1342" i="1"/>
  <c r="S1342" i="1"/>
  <c r="Q1342" i="1"/>
  <c r="P1342" i="1" s="1"/>
  <c r="O1342" i="1"/>
  <c r="N1342" i="1"/>
  <c r="M1342" i="1"/>
  <c r="L1342" i="1"/>
  <c r="V1839" i="1"/>
  <c r="U1839" i="1"/>
  <c r="T1839" i="1"/>
  <c r="S1839" i="1"/>
  <c r="Q1839" i="1"/>
  <c r="P1839" i="1" s="1"/>
  <c r="N1839" i="1"/>
  <c r="M1839" i="1"/>
  <c r="L1839" i="1"/>
  <c r="V1838" i="1"/>
  <c r="U1838" i="1"/>
  <c r="T1838" i="1"/>
  <c r="S1838" i="1"/>
  <c r="Q1838" i="1"/>
  <c r="P1838" i="1" s="1"/>
  <c r="N1838" i="1"/>
  <c r="M1838" i="1"/>
  <c r="O1838" i="1" s="1"/>
  <c r="L1838" i="1"/>
  <c r="V1837" i="1"/>
  <c r="U1837" i="1"/>
  <c r="T1837" i="1"/>
  <c r="S1837" i="1"/>
  <c r="N1837" i="1"/>
  <c r="M1837" i="1"/>
  <c r="L1837" i="1"/>
  <c r="Q1837" i="1" s="1"/>
  <c r="P1837" i="1" s="1"/>
  <c r="V1836" i="1"/>
  <c r="U1836" i="1"/>
  <c r="T1836" i="1"/>
  <c r="S1836" i="1"/>
  <c r="N1836" i="1"/>
  <c r="M1836" i="1"/>
  <c r="O1836" i="1" s="1"/>
  <c r="L1836" i="1"/>
  <c r="Q1836" i="1" s="1"/>
  <c r="P1836" i="1" s="1"/>
  <c r="V1835" i="1"/>
  <c r="U1835" i="1"/>
  <c r="T1835" i="1"/>
  <c r="S1835" i="1"/>
  <c r="N1835" i="1"/>
  <c r="O1835" i="1" s="1"/>
  <c r="M1835" i="1"/>
  <c r="L1835" i="1"/>
  <c r="Q1835" i="1" s="1"/>
  <c r="P1835" i="1" s="1"/>
  <c r="V1834" i="1"/>
  <c r="U1834" i="1"/>
  <c r="T1834" i="1"/>
  <c r="S1834" i="1"/>
  <c r="Q1834" i="1"/>
  <c r="P1834" i="1" s="1"/>
  <c r="O1834" i="1"/>
  <c r="N1834" i="1"/>
  <c r="M1834" i="1"/>
  <c r="L1834" i="1"/>
  <c r="V1833" i="1"/>
  <c r="U1833" i="1"/>
  <c r="T1833" i="1"/>
  <c r="S1833" i="1"/>
  <c r="N1833" i="1"/>
  <c r="M1833" i="1"/>
  <c r="L1833" i="1"/>
  <c r="Q1833" i="1" s="1"/>
  <c r="P1833" i="1" s="1"/>
  <c r="V1832" i="1"/>
  <c r="U1832" i="1"/>
  <c r="T1832" i="1"/>
  <c r="S1832" i="1"/>
  <c r="N1832" i="1"/>
  <c r="M1832" i="1"/>
  <c r="O1832" i="1" s="1"/>
  <c r="L1832" i="1"/>
  <c r="Q1832" i="1" s="1"/>
  <c r="P1832" i="1" s="1"/>
  <c r="V1831" i="1"/>
  <c r="U1831" i="1"/>
  <c r="T1831" i="1"/>
  <c r="S1831" i="1"/>
  <c r="N1831" i="1"/>
  <c r="M1831" i="1"/>
  <c r="O1831" i="1" s="1"/>
  <c r="L1831" i="1"/>
  <c r="Q1831" i="1" s="1"/>
  <c r="P1831" i="1" s="1"/>
  <c r="V1830" i="1"/>
  <c r="U1830" i="1"/>
  <c r="T1830" i="1"/>
  <c r="S1830" i="1"/>
  <c r="N1830" i="1"/>
  <c r="M1830" i="1"/>
  <c r="L1830" i="1"/>
  <c r="Q1830" i="1" s="1"/>
  <c r="P1830" i="1" s="1"/>
  <c r="V1829" i="1"/>
  <c r="U1829" i="1"/>
  <c r="T1829" i="1"/>
  <c r="S1829" i="1"/>
  <c r="N1829" i="1"/>
  <c r="M1829" i="1"/>
  <c r="L1829" i="1"/>
  <c r="Q1829" i="1" s="1"/>
  <c r="P1829" i="1" s="1"/>
  <c r="V1828" i="1"/>
  <c r="U1828" i="1"/>
  <c r="T1828" i="1"/>
  <c r="S1828" i="1"/>
  <c r="N1828" i="1"/>
  <c r="O1828" i="1" s="1"/>
  <c r="M1828" i="1"/>
  <c r="L1828" i="1"/>
  <c r="Q1828" i="1" s="1"/>
  <c r="P1828" i="1" s="1"/>
  <c r="V1827" i="1"/>
  <c r="U1827" i="1"/>
  <c r="T1827" i="1"/>
  <c r="S1827" i="1"/>
  <c r="N1827" i="1"/>
  <c r="M1827" i="1"/>
  <c r="L1827" i="1"/>
  <c r="Q1827" i="1" s="1"/>
  <c r="P1827" i="1" s="1"/>
  <c r="V1826" i="1"/>
  <c r="U1826" i="1"/>
  <c r="T1826" i="1"/>
  <c r="S1826" i="1"/>
  <c r="N1826" i="1"/>
  <c r="M1826" i="1"/>
  <c r="L1826" i="1"/>
  <c r="Q1826" i="1" s="1"/>
  <c r="P1826" i="1" s="1"/>
  <c r="V1825" i="1"/>
  <c r="U1825" i="1"/>
  <c r="T1825" i="1"/>
  <c r="S1825" i="1"/>
  <c r="N1825" i="1"/>
  <c r="M1825" i="1"/>
  <c r="L1825" i="1"/>
  <c r="Q1825" i="1" s="1"/>
  <c r="P1825" i="1" s="1"/>
  <c r="V1824" i="1"/>
  <c r="U1824" i="1"/>
  <c r="T1824" i="1"/>
  <c r="S1824" i="1"/>
  <c r="N1824" i="1"/>
  <c r="M1824" i="1"/>
  <c r="O1824" i="1" s="1"/>
  <c r="L1824" i="1"/>
  <c r="Q1824" i="1" s="1"/>
  <c r="P1824" i="1" s="1"/>
  <c r="V1823" i="1"/>
  <c r="U1823" i="1"/>
  <c r="T1823" i="1"/>
  <c r="S1823" i="1"/>
  <c r="N1823" i="1"/>
  <c r="M1823" i="1"/>
  <c r="L1823" i="1"/>
  <c r="Q1823" i="1" s="1"/>
  <c r="P1823" i="1" s="1"/>
  <c r="V1822" i="1"/>
  <c r="U1822" i="1"/>
  <c r="T1822" i="1"/>
  <c r="S1822" i="1"/>
  <c r="Q1822" i="1"/>
  <c r="P1822" i="1" s="1"/>
  <c r="N1822" i="1"/>
  <c r="M1822" i="1"/>
  <c r="O1822" i="1" s="1"/>
  <c r="L1822" i="1"/>
  <c r="V1821" i="1"/>
  <c r="U1821" i="1"/>
  <c r="T1821" i="1"/>
  <c r="S1821" i="1"/>
  <c r="N1821" i="1"/>
  <c r="O1821" i="1" s="1"/>
  <c r="M1821" i="1"/>
  <c r="L1821" i="1"/>
  <c r="Q1821" i="1" s="1"/>
  <c r="P1821" i="1" s="1"/>
  <c r="V1820" i="1"/>
  <c r="U1820" i="1"/>
  <c r="T1820" i="1"/>
  <c r="S1820" i="1"/>
  <c r="N1820" i="1"/>
  <c r="M1820" i="1"/>
  <c r="L1820" i="1"/>
  <c r="Q1820" i="1" s="1"/>
  <c r="P1820" i="1" s="1"/>
  <c r="V1819" i="1"/>
  <c r="U1819" i="1"/>
  <c r="T1819" i="1"/>
  <c r="S1819" i="1"/>
  <c r="N1819" i="1"/>
  <c r="M1819" i="1"/>
  <c r="O1819" i="1" s="1"/>
  <c r="L1819" i="1"/>
  <c r="Q1819" i="1" s="1"/>
  <c r="P1819" i="1" s="1"/>
  <c r="V1818" i="1"/>
  <c r="U1818" i="1"/>
  <c r="T1818" i="1"/>
  <c r="S1818" i="1"/>
  <c r="N1818" i="1"/>
  <c r="M1818" i="1"/>
  <c r="O1818" i="1" s="1"/>
  <c r="L1818" i="1"/>
  <c r="Q1818" i="1" s="1"/>
  <c r="P1818" i="1" s="1"/>
  <c r="V1817" i="1"/>
  <c r="U1817" i="1"/>
  <c r="T1817" i="1"/>
  <c r="S1817" i="1"/>
  <c r="N1817" i="1"/>
  <c r="M1817" i="1"/>
  <c r="L1817" i="1"/>
  <c r="Q1817" i="1" s="1"/>
  <c r="P1817" i="1" s="1"/>
  <c r="V1816" i="1"/>
  <c r="U1816" i="1"/>
  <c r="T1816" i="1"/>
  <c r="S1816" i="1"/>
  <c r="N1816" i="1"/>
  <c r="M1816" i="1"/>
  <c r="L1816" i="1"/>
  <c r="Q1816" i="1" s="1"/>
  <c r="P1816" i="1" s="1"/>
  <c r="V1815" i="1"/>
  <c r="U1815" i="1"/>
  <c r="T1815" i="1"/>
  <c r="S1815" i="1"/>
  <c r="N1815" i="1"/>
  <c r="M1815" i="1"/>
  <c r="O1815" i="1" s="1"/>
  <c r="L1815" i="1"/>
  <c r="Q1815" i="1" s="1"/>
  <c r="P1815" i="1" s="1"/>
  <c r="V1814" i="1"/>
  <c r="U1814" i="1"/>
  <c r="T1814" i="1"/>
  <c r="S1814" i="1"/>
  <c r="N1814" i="1"/>
  <c r="M1814" i="1"/>
  <c r="O1814" i="1" s="1"/>
  <c r="L1814" i="1"/>
  <c r="Q1814" i="1" s="1"/>
  <c r="P1814" i="1" s="1"/>
  <c r="V1813" i="1"/>
  <c r="U1813" i="1"/>
  <c r="T1813" i="1"/>
  <c r="S1813" i="1"/>
  <c r="N1813" i="1"/>
  <c r="M1813" i="1"/>
  <c r="L1813" i="1"/>
  <c r="Q1813" i="1" s="1"/>
  <c r="P1813" i="1" s="1"/>
  <c r="V1812" i="1"/>
  <c r="U1812" i="1"/>
  <c r="T1812" i="1"/>
  <c r="S1812" i="1"/>
  <c r="N1812" i="1"/>
  <c r="M1812" i="1"/>
  <c r="L1812" i="1"/>
  <c r="Q1812" i="1" s="1"/>
  <c r="P1812" i="1" s="1"/>
  <c r="V1811" i="1"/>
  <c r="U1811" i="1"/>
  <c r="T1811" i="1"/>
  <c r="S1811" i="1"/>
  <c r="N1811" i="1"/>
  <c r="M1811" i="1"/>
  <c r="L1811" i="1"/>
  <c r="Q1811" i="1" s="1"/>
  <c r="P1811" i="1" s="1"/>
  <c r="V1810" i="1"/>
  <c r="U1810" i="1"/>
  <c r="T1810" i="1"/>
  <c r="S1810" i="1"/>
  <c r="N1810" i="1"/>
  <c r="M1810" i="1"/>
  <c r="O1810" i="1" s="1"/>
  <c r="L1810" i="1"/>
  <c r="Q1810" i="1" s="1"/>
  <c r="P1810" i="1" s="1"/>
  <c r="V1809" i="1"/>
  <c r="U1809" i="1"/>
  <c r="T1809" i="1"/>
  <c r="S1809" i="1"/>
  <c r="N1809" i="1"/>
  <c r="M1809" i="1"/>
  <c r="O1809" i="1" s="1"/>
  <c r="L1809" i="1"/>
  <c r="Q1809" i="1" s="1"/>
  <c r="P1809" i="1" s="1"/>
  <c r="V1808" i="1"/>
  <c r="U1808" i="1"/>
  <c r="T1808" i="1"/>
  <c r="S1808" i="1"/>
  <c r="N1808" i="1"/>
  <c r="M1808" i="1"/>
  <c r="L1808" i="1"/>
  <c r="Q1808" i="1" s="1"/>
  <c r="P1808" i="1" s="1"/>
  <c r="V1807" i="1"/>
  <c r="U1807" i="1"/>
  <c r="T1807" i="1"/>
  <c r="S1807" i="1"/>
  <c r="N1807" i="1"/>
  <c r="M1807" i="1"/>
  <c r="O1807" i="1" s="1"/>
  <c r="L1807" i="1"/>
  <c r="Q1807" i="1" s="1"/>
  <c r="P1807" i="1" s="1"/>
  <c r="V1806" i="1"/>
  <c r="U1806" i="1"/>
  <c r="T1806" i="1"/>
  <c r="S1806" i="1"/>
  <c r="N1806" i="1"/>
  <c r="M1806" i="1"/>
  <c r="O1806" i="1" s="1"/>
  <c r="L1806" i="1"/>
  <c r="Q1806" i="1" s="1"/>
  <c r="P1806" i="1" s="1"/>
  <c r="V1805" i="1"/>
  <c r="U1805" i="1"/>
  <c r="T1805" i="1"/>
  <c r="S1805" i="1"/>
  <c r="O1805" i="1"/>
  <c r="N1805" i="1"/>
  <c r="M1805" i="1"/>
  <c r="L1805" i="1"/>
  <c r="Q1805" i="1" s="1"/>
  <c r="P1805" i="1" s="1"/>
  <c r="V1804" i="1"/>
  <c r="U1804" i="1"/>
  <c r="T1804" i="1"/>
  <c r="S1804" i="1"/>
  <c r="N1804" i="1"/>
  <c r="M1804" i="1"/>
  <c r="L1804" i="1"/>
  <c r="Q1804" i="1" s="1"/>
  <c r="P1804" i="1" s="1"/>
  <c r="V1803" i="1"/>
  <c r="U1803" i="1"/>
  <c r="T1803" i="1"/>
  <c r="S1803" i="1"/>
  <c r="Q1803" i="1"/>
  <c r="P1803" i="1" s="1"/>
  <c r="N1803" i="1"/>
  <c r="M1803" i="1"/>
  <c r="L1803" i="1"/>
  <c r="V1802" i="1"/>
  <c r="U1802" i="1"/>
  <c r="T1802" i="1"/>
  <c r="S1802" i="1"/>
  <c r="Q1802" i="1"/>
  <c r="P1802" i="1" s="1"/>
  <c r="O1802" i="1"/>
  <c r="N1802" i="1"/>
  <c r="M1802" i="1"/>
  <c r="L1802" i="1"/>
  <c r="V1801" i="1"/>
  <c r="U1801" i="1"/>
  <c r="T1801" i="1"/>
  <c r="S1801" i="1"/>
  <c r="Q1801" i="1"/>
  <c r="P1801" i="1" s="1"/>
  <c r="N1801" i="1"/>
  <c r="M1801" i="1"/>
  <c r="L1801" i="1"/>
  <c r="V1800" i="1"/>
  <c r="U1800" i="1"/>
  <c r="T1800" i="1"/>
  <c r="S1800" i="1"/>
  <c r="Q1800" i="1"/>
  <c r="P1800" i="1" s="1"/>
  <c r="N1800" i="1"/>
  <c r="M1800" i="1"/>
  <c r="L1800" i="1"/>
  <c r="V1799" i="1"/>
  <c r="U1799" i="1"/>
  <c r="T1799" i="1"/>
  <c r="S1799" i="1"/>
  <c r="N1799" i="1"/>
  <c r="M1799" i="1"/>
  <c r="L1799" i="1"/>
  <c r="Q1799" i="1" s="1"/>
  <c r="P1799" i="1" s="1"/>
  <c r="V1798" i="1"/>
  <c r="U1798" i="1"/>
  <c r="T1798" i="1"/>
  <c r="S1798" i="1"/>
  <c r="Q1798" i="1"/>
  <c r="P1798" i="1" s="1"/>
  <c r="N1798" i="1"/>
  <c r="M1798" i="1"/>
  <c r="L1798" i="1"/>
  <c r="V1797" i="1"/>
  <c r="U1797" i="1"/>
  <c r="T1797" i="1"/>
  <c r="S1797" i="1"/>
  <c r="N1797" i="1"/>
  <c r="M1797" i="1"/>
  <c r="O1797" i="1" s="1"/>
  <c r="L1797" i="1"/>
  <c r="Q1797" i="1" s="1"/>
  <c r="P1797" i="1" s="1"/>
  <c r="V1796" i="1"/>
  <c r="U1796" i="1"/>
  <c r="T1796" i="1"/>
  <c r="S1796" i="1"/>
  <c r="N1796" i="1"/>
  <c r="M1796" i="1"/>
  <c r="L1796" i="1"/>
  <c r="Q1796" i="1" s="1"/>
  <c r="P1796" i="1" s="1"/>
  <c r="V1795" i="1"/>
  <c r="U1795" i="1"/>
  <c r="T1795" i="1"/>
  <c r="S1795" i="1"/>
  <c r="N1795" i="1"/>
  <c r="M1795" i="1"/>
  <c r="L1795" i="1"/>
  <c r="Q1795" i="1" s="1"/>
  <c r="P1795" i="1" s="1"/>
  <c r="V1794" i="1"/>
  <c r="U1794" i="1"/>
  <c r="T1794" i="1"/>
  <c r="S1794" i="1"/>
  <c r="N1794" i="1"/>
  <c r="M1794" i="1"/>
  <c r="L1794" i="1"/>
  <c r="Q1794" i="1" s="1"/>
  <c r="P1794" i="1" s="1"/>
  <c r="V1793" i="1"/>
  <c r="U1793" i="1"/>
  <c r="T1793" i="1"/>
  <c r="S1793" i="1"/>
  <c r="N1793" i="1"/>
  <c r="M1793" i="1"/>
  <c r="L1793" i="1"/>
  <c r="Q1793" i="1" s="1"/>
  <c r="P1793" i="1" s="1"/>
  <c r="V1792" i="1"/>
  <c r="U1792" i="1"/>
  <c r="T1792" i="1"/>
  <c r="S1792" i="1"/>
  <c r="N1792" i="1"/>
  <c r="M1792" i="1"/>
  <c r="L1792" i="1"/>
  <c r="Q1792" i="1" s="1"/>
  <c r="P1792" i="1" s="1"/>
  <c r="V1791" i="1"/>
  <c r="U1791" i="1"/>
  <c r="T1791" i="1"/>
  <c r="S1791" i="1"/>
  <c r="N1791" i="1"/>
  <c r="M1791" i="1"/>
  <c r="O1791" i="1" s="1"/>
  <c r="L1791" i="1"/>
  <c r="Q1791" i="1" s="1"/>
  <c r="P1791" i="1" s="1"/>
  <c r="V1790" i="1"/>
  <c r="U1790" i="1"/>
  <c r="T1790" i="1"/>
  <c r="S1790" i="1"/>
  <c r="N1790" i="1"/>
  <c r="M1790" i="1"/>
  <c r="O1790" i="1" s="1"/>
  <c r="L1790" i="1"/>
  <c r="Q1790" i="1" s="1"/>
  <c r="P1790" i="1" s="1"/>
  <c r="V1789" i="1"/>
  <c r="U1789" i="1"/>
  <c r="T1789" i="1"/>
  <c r="S1789" i="1"/>
  <c r="N1789" i="1"/>
  <c r="M1789" i="1"/>
  <c r="L1789" i="1"/>
  <c r="Q1789" i="1" s="1"/>
  <c r="P1789" i="1" s="1"/>
  <c r="V1788" i="1"/>
  <c r="U1788" i="1"/>
  <c r="T1788" i="1"/>
  <c r="S1788" i="1"/>
  <c r="N1788" i="1"/>
  <c r="M1788" i="1"/>
  <c r="O1788" i="1" s="1"/>
  <c r="L1788" i="1"/>
  <c r="Q1788" i="1" s="1"/>
  <c r="P1788" i="1" s="1"/>
  <c r="V1787" i="1"/>
  <c r="U1787" i="1"/>
  <c r="T1787" i="1"/>
  <c r="S1787" i="1"/>
  <c r="N1787" i="1"/>
  <c r="M1787" i="1"/>
  <c r="L1787" i="1"/>
  <c r="Q1787" i="1" s="1"/>
  <c r="P1787" i="1" s="1"/>
  <c r="V1786" i="1"/>
  <c r="U1786" i="1"/>
  <c r="T1786" i="1"/>
  <c r="S1786" i="1"/>
  <c r="N1786" i="1"/>
  <c r="M1786" i="1"/>
  <c r="L1786" i="1"/>
  <c r="Q1786" i="1" s="1"/>
  <c r="P1786" i="1" s="1"/>
  <c r="V1785" i="1"/>
  <c r="U1785" i="1"/>
  <c r="T1785" i="1"/>
  <c r="S1785" i="1"/>
  <c r="N1785" i="1"/>
  <c r="M1785" i="1"/>
  <c r="O1785" i="1" s="1"/>
  <c r="L1785" i="1"/>
  <c r="Q1785" i="1" s="1"/>
  <c r="P1785" i="1" s="1"/>
  <c r="V1784" i="1"/>
  <c r="U1784" i="1"/>
  <c r="T1784" i="1"/>
  <c r="S1784" i="1"/>
  <c r="N1784" i="1"/>
  <c r="M1784" i="1"/>
  <c r="L1784" i="1"/>
  <c r="Q1784" i="1" s="1"/>
  <c r="P1784" i="1" s="1"/>
  <c r="V1783" i="1"/>
  <c r="U1783" i="1"/>
  <c r="T1783" i="1"/>
  <c r="S1783" i="1"/>
  <c r="N1783" i="1"/>
  <c r="M1783" i="1"/>
  <c r="L1783" i="1"/>
  <c r="Q1783" i="1" s="1"/>
  <c r="P1783" i="1" s="1"/>
  <c r="V1782" i="1"/>
  <c r="U1782" i="1"/>
  <c r="T1782" i="1"/>
  <c r="S1782" i="1"/>
  <c r="N1782" i="1"/>
  <c r="M1782" i="1"/>
  <c r="L1782" i="1"/>
  <c r="Q1782" i="1" s="1"/>
  <c r="P1782" i="1" s="1"/>
  <c r="V1781" i="1"/>
  <c r="U1781" i="1"/>
  <c r="T1781" i="1"/>
  <c r="S1781" i="1"/>
  <c r="N1781" i="1"/>
  <c r="M1781" i="1"/>
  <c r="O1781" i="1" s="1"/>
  <c r="L1781" i="1"/>
  <c r="Q1781" i="1" s="1"/>
  <c r="P1781" i="1" s="1"/>
  <c r="V1780" i="1"/>
  <c r="U1780" i="1"/>
  <c r="T1780" i="1"/>
  <c r="S1780" i="1"/>
  <c r="N1780" i="1"/>
  <c r="M1780" i="1"/>
  <c r="L1780" i="1"/>
  <c r="Q1780" i="1" s="1"/>
  <c r="P1780" i="1" s="1"/>
  <c r="V1779" i="1"/>
  <c r="U1779" i="1"/>
  <c r="T1779" i="1"/>
  <c r="S1779" i="1"/>
  <c r="N1779" i="1"/>
  <c r="M1779" i="1"/>
  <c r="O1779" i="1" s="1"/>
  <c r="L1779" i="1"/>
  <c r="Q1779" i="1" s="1"/>
  <c r="P1779" i="1" s="1"/>
  <c r="V1778" i="1"/>
  <c r="U1778" i="1"/>
  <c r="T1778" i="1"/>
  <c r="S1778" i="1"/>
  <c r="Q1778" i="1"/>
  <c r="P1778" i="1" s="1"/>
  <c r="N1778" i="1"/>
  <c r="M1778" i="1"/>
  <c r="O1778" i="1" s="1"/>
  <c r="L1778" i="1"/>
  <c r="V1777" i="1"/>
  <c r="U1777" i="1"/>
  <c r="T1777" i="1"/>
  <c r="S1777" i="1"/>
  <c r="N1777" i="1"/>
  <c r="M1777" i="1"/>
  <c r="L1777" i="1"/>
  <c r="Q1777" i="1" s="1"/>
  <c r="P1777" i="1" s="1"/>
  <c r="V1776" i="1"/>
  <c r="U1776" i="1"/>
  <c r="T1776" i="1"/>
  <c r="S1776" i="1"/>
  <c r="Q1776" i="1"/>
  <c r="P1776" i="1" s="1"/>
  <c r="N1776" i="1"/>
  <c r="M1776" i="1"/>
  <c r="L1776" i="1"/>
  <c r="V1775" i="1"/>
  <c r="U1775" i="1"/>
  <c r="T1775" i="1"/>
  <c r="S1775" i="1"/>
  <c r="Q1775" i="1"/>
  <c r="P1775" i="1" s="1"/>
  <c r="O1775" i="1"/>
  <c r="N1775" i="1"/>
  <c r="M1775" i="1"/>
  <c r="L1775" i="1"/>
  <c r="V1774" i="1"/>
  <c r="U1774" i="1"/>
  <c r="T1774" i="1"/>
  <c r="S1774" i="1"/>
  <c r="Q1774" i="1"/>
  <c r="P1774" i="1" s="1"/>
  <c r="N1774" i="1"/>
  <c r="M1774" i="1"/>
  <c r="L1774" i="1"/>
  <c r="V1773" i="1"/>
  <c r="U1773" i="1"/>
  <c r="T1773" i="1"/>
  <c r="S1773" i="1"/>
  <c r="Q1773" i="1"/>
  <c r="P1773" i="1" s="1"/>
  <c r="N1773" i="1"/>
  <c r="M1773" i="1"/>
  <c r="L1773" i="1"/>
  <c r="V1772" i="1"/>
  <c r="U1772" i="1"/>
  <c r="T1772" i="1"/>
  <c r="S1772" i="1"/>
  <c r="Q1772" i="1"/>
  <c r="P1772" i="1" s="1"/>
  <c r="N1772" i="1"/>
  <c r="O1772" i="1" s="1"/>
  <c r="M1772" i="1"/>
  <c r="L1772" i="1"/>
  <c r="V1771" i="1"/>
  <c r="U1771" i="1"/>
  <c r="T1771" i="1"/>
  <c r="S1771" i="1"/>
  <c r="Q1771" i="1"/>
  <c r="P1771" i="1" s="1"/>
  <c r="N1771" i="1"/>
  <c r="M1771" i="1"/>
  <c r="L1771" i="1"/>
  <c r="V1770" i="1"/>
  <c r="U1770" i="1"/>
  <c r="T1770" i="1"/>
  <c r="S1770" i="1"/>
  <c r="N1770" i="1"/>
  <c r="M1770" i="1"/>
  <c r="L1770" i="1"/>
  <c r="Q1770" i="1" s="1"/>
  <c r="P1770" i="1" s="1"/>
  <c r="V1769" i="1"/>
  <c r="U1769" i="1"/>
  <c r="T1769" i="1"/>
  <c r="S1769" i="1"/>
  <c r="N1769" i="1"/>
  <c r="M1769" i="1"/>
  <c r="L1769" i="1"/>
  <c r="Q1769" i="1" s="1"/>
  <c r="P1769" i="1" s="1"/>
  <c r="V1768" i="1"/>
  <c r="U1768" i="1"/>
  <c r="T1768" i="1"/>
  <c r="S1768" i="1"/>
  <c r="N1768" i="1"/>
  <c r="M1768" i="1"/>
  <c r="L1768" i="1"/>
  <c r="Q1768" i="1" s="1"/>
  <c r="P1768" i="1" s="1"/>
  <c r="V1767" i="1"/>
  <c r="U1767" i="1"/>
  <c r="T1767" i="1"/>
  <c r="S1767" i="1"/>
  <c r="N1767" i="1"/>
  <c r="M1767" i="1"/>
  <c r="O1767" i="1" s="1"/>
  <c r="L1767" i="1"/>
  <c r="Q1767" i="1" s="1"/>
  <c r="P1767" i="1" s="1"/>
  <c r="V1766" i="1"/>
  <c r="U1766" i="1"/>
  <c r="T1766" i="1"/>
  <c r="S1766" i="1"/>
  <c r="N1766" i="1"/>
  <c r="M1766" i="1"/>
  <c r="O1766" i="1" s="1"/>
  <c r="L1766" i="1"/>
  <c r="Q1766" i="1" s="1"/>
  <c r="P1766" i="1" s="1"/>
  <c r="V1765" i="1"/>
  <c r="U1765" i="1"/>
  <c r="T1765" i="1"/>
  <c r="S1765" i="1"/>
  <c r="N1765" i="1"/>
  <c r="M1765" i="1"/>
  <c r="L1765" i="1"/>
  <c r="Q1765" i="1" s="1"/>
  <c r="P1765" i="1" s="1"/>
  <c r="V1764" i="1"/>
  <c r="U1764" i="1"/>
  <c r="T1764" i="1"/>
  <c r="S1764" i="1"/>
  <c r="N1764" i="1"/>
  <c r="M1764" i="1"/>
  <c r="O1764" i="1" s="1"/>
  <c r="L1764" i="1"/>
  <c r="Q1764" i="1" s="1"/>
  <c r="P1764" i="1" s="1"/>
  <c r="V1763" i="1"/>
  <c r="U1763" i="1"/>
  <c r="T1763" i="1"/>
  <c r="S1763" i="1"/>
  <c r="N1763" i="1"/>
  <c r="M1763" i="1"/>
  <c r="O1763" i="1" s="1"/>
  <c r="L1763" i="1"/>
  <c r="Q1763" i="1" s="1"/>
  <c r="P1763" i="1" s="1"/>
  <c r="V1762" i="1"/>
  <c r="U1762" i="1"/>
  <c r="T1762" i="1"/>
  <c r="S1762" i="1"/>
  <c r="N1762" i="1"/>
  <c r="M1762" i="1"/>
  <c r="O1762" i="1" s="1"/>
  <c r="L1762" i="1"/>
  <c r="Q1762" i="1" s="1"/>
  <c r="P1762" i="1" s="1"/>
  <c r="V1761" i="1"/>
  <c r="U1761" i="1"/>
  <c r="T1761" i="1"/>
  <c r="S1761" i="1"/>
  <c r="N1761" i="1"/>
  <c r="M1761" i="1"/>
  <c r="L1761" i="1"/>
  <c r="Q1761" i="1" s="1"/>
  <c r="P1761" i="1" s="1"/>
  <c r="V1760" i="1"/>
  <c r="U1760" i="1"/>
  <c r="T1760" i="1"/>
  <c r="S1760" i="1"/>
  <c r="N1760" i="1"/>
  <c r="M1760" i="1"/>
  <c r="L1760" i="1"/>
  <c r="Q1760" i="1" s="1"/>
  <c r="P1760" i="1" s="1"/>
  <c r="V1759" i="1"/>
  <c r="U1759" i="1"/>
  <c r="T1759" i="1"/>
  <c r="S1759" i="1"/>
  <c r="Q1759" i="1"/>
  <c r="P1759" i="1" s="1"/>
  <c r="N1759" i="1"/>
  <c r="M1759" i="1"/>
  <c r="L1759" i="1"/>
  <c r="V1758" i="1"/>
  <c r="U1758" i="1"/>
  <c r="T1758" i="1"/>
  <c r="S1758" i="1"/>
  <c r="N1758" i="1"/>
  <c r="O1758" i="1" s="1"/>
  <c r="M1758" i="1"/>
  <c r="L1758" i="1"/>
  <c r="Q1758" i="1" s="1"/>
  <c r="P1758" i="1" s="1"/>
  <c r="V1757" i="1"/>
  <c r="U1757" i="1"/>
  <c r="T1757" i="1"/>
  <c r="S1757" i="1"/>
  <c r="N1757" i="1"/>
  <c r="M1757" i="1"/>
  <c r="L1757" i="1"/>
  <c r="Q1757" i="1" s="1"/>
  <c r="P1757" i="1" s="1"/>
  <c r="V1756" i="1"/>
  <c r="U1756" i="1"/>
  <c r="T1756" i="1"/>
  <c r="S1756" i="1"/>
  <c r="N1756" i="1"/>
  <c r="M1756" i="1"/>
  <c r="O1756" i="1" s="1"/>
  <c r="L1756" i="1"/>
  <c r="Q1756" i="1" s="1"/>
  <c r="P1756" i="1" s="1"/>
  <c r="V1755" i="1"/>
  <c r="U1755" i="1"/>
  <c r="T1755" i="1"/>
  <c r="S1755" i="1"/>
  <c r="N1755" i="1"/>
  <c r="M1755" i="1"/>
  <c r="O1755" i="1" s="1"/>
  <c r="L1755" i="1"/>
  <c r="Q1755" i="1" s="1"/>
  <c r="P1755" i="1" s="1"/>
  <c r="V1754" i="1"/>
  <c r="U1754" i="1"/>
  <c r="T1754" i="1"/>
  <c r="S1754" i="1"/>
  <c r="N1754" i="1"/>
  <c r="M1754" i="1"/>
  <c r="L1754" i="1"/>
  <c r="Q1754" i="1" s="1"/>
  <c r="P1754" i="1" s="1"/>
  <c r="V1753" i="1"/>
  <c r="U1753" i="1"/>
  <c r="T1753" i="1"/>
  <c r="S1753" i="1"/>
  <c r="N1753" i="1"/>
  <c r="M1753" i="1"/>
  <c r="L1753" i="1"/>
  <c r="Q1753" i="1" s="1"/>
  <c r="P1753" i="1" s="1"/>
  <c r="V1752" i="1"/>
  <c r="U1752" i="1"/>
  <c r="T1752" i="1"/>
  <c r="S1752" i="1"/>
  <c r="N1752" i="1"/>
  <c r="M1752" i="1"/>
  <c r="L1752" i="1"/>
  <c r="Q1752" i="1" s="1"/>
  <c r="P1752" i="1" s="1"/>
  <c r="V1751" i="1"/>
  <c r="U1751" i="1"/>
  <c r="T1751" i="1"/>
  <c r="S1751" i="1"/>
  <c r="N1751" i="1"/>
  <c r="M1751" i="1"/>
  <c r="O1751" i="1" s="1"/>
  <c r="L1751" i="1"/>
  <c r="Q1751" i="1" s="1"/>
  <c r="P1751" i="1" s="1"/>
  <c r="V1750" i="1"/>
  <c r="U1750" i="1"/>
  <c r="T1750" i="1"/>
  <c r="S1750" i="1"/>
  <c r="N1750" i="1"/>
  <c r="M1750" i="1"/>
  <c r="L1750" i="1"/>
  <c r="Q1750" i="1" s="1"/>
  <c r="P1750" i="1" s="1"/>
  <c r="V1749" i="1"/>
  <c r="U1749" i="1"/>
  <c r="T1749" i="1"/>
  <c r="S1749" i="1"/>
  <c r="N1749" i="1"/>
  <c r="M1749" i="1"/>
  <c r="O1749" i="1" s="1"/>
  <c r="L1749" i="1"/>
  <c r="Q1749" i="1" s="1"/>
  <c r="P1749" i="1" s="1"/>
  <c r="V1748" i="1"/>
  <c r="U1748" i="1"/>
  <c r="T1748" i="1"/>
  <c r="S1748" i="1"/>
  <c r="N1748" i="1"/>
  <c r="M1748" i="1"/>
  <c r="O1748" i="1" s="1"/>
  <c r="L1748" i="1"/>
  <c r="Q1748" i="1" s="1"/>
  <c r="P1748" i="1" s="1"/>
  <c r="V1747" i="1"/>
  <c r="U1747" i="1"/>
  <c r="T1747" i="1"/>
  <c r="S1747" i="1"/>
  <c r="N1747" i="1"/>
  <c r="M1747" i="1"/>
  <c r="O1747" i="1" s="1"/>
  <c r="L1747" i="1"/>
  <c r="Q1747" i="1" s="1"/>
  <c r="P1747" i="1" s="1"/>
  <c r="V1746" i="1"/>
  <c r="U1746" i="1"/>
  <c r="T1746" i="1"/>
  <c r="S1746" i="1"/>
  <c r="N1746" i="1"/>
  <c r="M1746" i="1"/>
  <c r="L1746" i="1"/>
  <c r="Q1746" i="1" s="1"/>
  <c r="P1746" i="1" s="1"/>
  <c r="V1745" i="1"/>
  <c r="U1745" i="1"/>
  <c r="T1745" i="1"/>
  <c r="S1745" i="1"/>
  <c r="N1745" i="1"/>
  <c r="M1745" i="1"/>
  <c r="L1745" i="1"/>
  <c r="Q1745" i="1" s="1"/>
  <c r="P1745" i="1" s="1"/>
  <c r="V1744" i="1"/>
  <c r="U1744" i="1"/>
  <c r="T1744" i="1"/>
  <c r="S1744" i="1"/>
  <c r="N1744" i="1"/>
  <c r="M1744" i="1"/>
  <c r="O1744" i="1" s="1"/>
  <c r="L1744" i="1"/>
  <c r="Q1744" i="1" s="1"/>
  <c r="P1744" i="1" s="1"/>
  <c r="V1743" i="1"/>
  <c r="U1743" i="1"/>
  <c r="T1743" i="1"/>
  <c r="S1743" i="1"/>
  <c r="N1743" i="1"/>
  <c r="M1743" i="1"/>
  <c r="O1743" i="1" s="1"/>
  <c r="L1743" i="1"/>
  <c r="Q1743" i="1" s="1"/>
  <c r="P1743" i="1" s="1"/>
  <c r="V1742" i="1"/>
  <c r="U1742" i="1"/>
  <c r="T1742" i="1"/>
  <c r="S1742" i="1"/>
  <c r="N1742" i="1"/>
  <c r="M1742" i="1"/>
  <c r="O1742" i="1" s="1"/>
  <c r="L1742" i="1"/>
  <c r="Q1742" i="1" s="1"/>
  <c r="P1742" i="1" s="1"/>
  <c r="V1741" i="1"/>
  <c r="U1741" i="1"/>
  <c r="T1741" i="1"/>
  <c r="S1741" i="1"/>
  <c r="N1741" i="1"/>
  <c r="M1741" i="1"/>
  <c r="L1741" i="1"/>
  <c r="Q1741" i="1" s="1"/>
  <c r="P1741" i="1" s="1"/>
  <c r="V1740" i="1"/>
  <c r="U1740" i="1"/>
  <c r="T1740" i="1"/>
  <c r="S1740" i="1"/>
  <c r="N1740" i="1"/>
  <c r="M1740" i="1"/>
  <c r="L1740" i="1"/>
  <c r="Q1740" i="1" s="1"/>
  <c r="P1740" i="1" s="1"/>
  <c r="V1739" i="1"/>
  <c r="U1739" i="1"/>
  <c r="T1739" i="1"/>
  <c r="S1739" i="1"/>
  <c r="N1739" i="1"/>
  <c r="M1739" i="1"/>
  <c r="O1739" i="1" s="1"/>
  <c r="L1739" i="1"/>
  <c r="Q1739" i="1" s="1"/>
  <c r="P1739" i="1" s="1"/>
  <c r="V1738" i="1"/>
  <c r="U1738" i="1"/>
  <c r="T1738" i="1"/>
  <c r="S1738" i="1"/>
  <c r="N1738" i="1"/>
  <c r="M1738" i="1"/>
  <c r="L1738" i="1"/>
  <c r="Q1738" i="1" s="1"/>
  <c r="P1738" i="1" s="1"/>
  <c r="V1737" i="1"/>
  <c r="U1737" i="1"/>
  <c r="T1737" i="1"/>
  <c r="S1737" i="1"/>
  <c r="N1737" i="1"/>
  <c r="M1737" i="1"/>
  <c r="O1737" i="1" s="1"/>
  <c r="L1737" i="1"/>
  <c r="Q1737" i="1" s="1"/>
  <c r="P1737" i="1" s="1"/>
  <c r="V1736" i="1"/>
  <c r="U1736" i="1"/>
  <c r="T1736" i="1"/>
  <c r="S1736" i="1"/>
  <c r="N1736" i="1"/>
  <c r="M1736" i="1"/>
  <c r="L1736" i="1"/>
  <c r="Q1736" i="1" s="1"/>
  <c r="P1736" i="1" s="1"/>
  <c r="V1735" i="1"/>
  <c r="U1735" i="1"/>
  <c r="T1735" i="1"/>
  <c r="S1735" i="1"/>
  <c r="O1735" i="1"/>
  <c r="N1735" i="1"/>
  <c r="M1735" i="1"/>
  <c r="L1735" i="1"/>
  <c r="Q1735" i="1" s="1"/>
  <c r="P1735" i="1" s="1"/>
  <c r="V1734" i="1"/>
  <c r="U1734" i="1"/>
  <c r="T1734" i="1"/>
  <c r="S1734" i="1"/>
  <c r="Q1734" i="1"/>
  <c r="P1734" i="1" s="1"/>
  <c r="N1734" i="1"/>
  <c r="M1734" i="1"/>
  <c r="L1734" i="1"/>
  <c r="V1733" i="1"/>
  <c r="U1733" i="1"/>
  <c r="T1733" i="1"/>
  <c r="S1733" i="1"/>
  <c r="N1733" i="1"/>
  <c r="M1733" i="1"/>
  <c r="L1733" i="1"/>
  <c r="Q1733" i="1" s="1"/>
  <c r="P1733" i="1" s="1"/>
  <c r="V1732" i="1"/>
  <c r="U1732" i="1"/>
  <c r="T1732" i="1"/>
  <c r="S1732" i="1"/>
  <c r="N1732" i="1"/>
  <c r="O1732" i="1" s="1"/>
  <c r="M1732" i="1"/>
  <c r="L1732" i="1"/>
  <c r="Q1732" i="1" s="1"/>
  <c r="P1732" i="1" s="1"/>
  <c r="V1731" i="1"/>
  <c r="U1731" i="1"/>
  <c r="T1731" i="1"/>
  <c r="S1731" i="1"/>
  <c r="N1731" i="1"/>
  <c r="M1731" i="1"/>
  <c r="L1731" i="1"/>
  <c r="Q1731" i="1" s="1"/>
  <c r="P1731" i="1" s="1"/>
  <c r="V1730" i="1"/>
  <c r="U1730" i="1"/>
  <c r="T1730" i="1"/>
  <c r="S1730" i="1"/>
  <c r="N1730" i="1"/>
  <c r="M1730" i="1"/>
  <c r="L1730" i="1"/>
  <c r="Q1730" i="1" s="1"/>
  <c r="P1730" i="1" s="1"/>
  <c r="V1729" i="1"/>
  <c r="U1729" i="1"/>
  <c r="T1729" i="1"/>
  <c r="S1729" i="1"/>
  <c r="N1729" i="1"/>
  <c r="M1729" i="1"/>
  <c r="O1729" i="1" s="1"/>
  <c r="L1729" i="1"/>
  <c r="Q1729" i="1" s="1"/>
  <c r="P1729" i="1" s="1"/>
  <c r="V1728" i="1"/>
  <c r="U1728" i="1"/>
  <c r="T1728" i="1"/>
  <c r="S1728" i="1"/>
  <c r="N1728" i="1"/>
  <c r="O1728" i="1" s="1"/>
  <c r="M1728" i="1"/>
  <c r="L1728" i="1"/>
  <c r="Q1728" i="1" s="1"/>
  <c r="P1728" i="1" s="1"/>
  <c r="V1727" i="1"/>
  <c r="U1727" i="1"/>
  <c r="T1727" i="1"/>
  <c r="S1727" i="1"/>
  <c r="N1727" i="1"/>
  <c r="O1727" i="1" s="1"/>
  <c r="M1727" i="1"/>
  <c r="L1727" i="1"/>
  <c r="Q1727" i="1" s="1"/>
  <c r="P1727" i="1" s="1"/>
  <c r="V1726" i="1"/>
  <c r="U1726" i="1"/>
  <c r="T1726" i="1"/>
  <c r="S1726" i="1"/>
  <c r="N1726" i="1"/>
  <c r="M1726" i="1"/>
  <c r="L1726" i="1"/>
  <c r="Q1726" i="1" s="1"/>
  <c r="P1726" i="1" s="1"/>
  <c r="V1725" i="1"/>
  <c r="U1725" i="1"/>
  <c r="T1725" i="1"/>
  <c r="S1725" i="1"/>
  <c r="N1725" i="1"/>
  <c r="M1725" i="1"/>
  <c r="O1725" i="1" s="1"/>
  <c r="L1725" i="1"/>
  <c r="Q1725" i="1" s="1"/>
  <c r="P1725" i="1" s="1"/>
  <c r="V1724" i="1"/>
  <c r="U1724" i="1"/>
  <c r="T1724" i="1"/>
  <c r="S1724" i="1"/>
  <c r="N1724" i="1"/>
  <c r="M1724" i="1"/>
  <c r="L1724" i="1"/>
  <c r="Q1724" i="1" s="1"/>
  <c r="P1724" i="1" s="1"/>
  <c r="V1723" i="1"/>
  <c r="U1723" i="1"/>
  <c r="T1723" i="1"/>
  <c r="S1723" i="1"/>
  <c r="N1723" i="1"/>
  <c r="M1723" i="1"/>
  <c r="L1723" i="1"/>
  <c r="Q1723" i="1" s="1"/>
  <c r="P1723" i="1" s="1"/>
  <c r="V1722" i="1"/>
  <c r="U1722" i="1"/>
  <c r="T1722" i="1"/>
  <c r="S1722" i="1"/>
  <c r="N1722" i="1"/>
  <c r="M1722" i="1"/>
  <c r="L1722" i="1"/>
  <c r="Q1722" i="1" s="1"/>
  <c r="P1722" i="1" s="1"/>
  <c r="V1721" i="1"/>
  <c r="U1721" i="1"/>
  <c r="T1721" i="1"/>
  <c r="S1721" i="1"/>
  <c r="N1721" i="1"/>
  <c r="M1721" i="1"/>
  <c r="O1721" i="1" s="1"/>
  <c r="L1721" i="1"/>
  <c r="Q1721" i="1" s="1"/>
  <c r="P1721" i="1" s="1"/>
  <c r="V1720" i="1"/>
  <c r="U1720" i="1"/>
  <c r="T1720" i="1"/>
  <c r="S1720" i="1"/>
  <c r="N1720" i="1"/>
  <c r="M1720" i="1"/>
  <c r="O1720" i="1" s="1"/>
  <c r="L1720" i="1"/>
  <c r="Q1720" i="1" s="1"/>
  <c r="P1720" i="1" s="1"/>
  <c r="V1719" i="1"/>
  <c r="U1719" i="1"/>
  <c r="T1719" i="1"/>
  <c r="S1719" i="1"/>
  <c r="Q1719" i="1"/>
  <c r="P1719" i="1" s="1"/>
  <c r="N1719" i="1"/>
  <c r="M1719" i="1"/>
  <c r="O1719" i="1" s="1"/>
  <c r="L1719" i="1"/>
  <c r="V1718" i="1"/>
  <c r="U1718" i="1"/>
  <c r="T1718" i="1"/>
  <c r="S1718" i="1"/>
  <c r="N1718" i="1"/>
  <c r="M1718" i="1"/>
  <c r="L1718" i="1"/>
  <c r="Q1718" i="1" s="1"/>
  <c r="P1718" i="1" s="1"/>
  <c r="V1717" i="1"/>
  <c r="U1717" i="1"/>
  <c r="T1717" i="1"/>
  <c r="S1717" i="1"/>
  <c r="N1717" i="1"/>
  <c r="M1717" i="1"/>
  <c r="L1717" i="1"/>
  <c r="Q1717" i="1" s="1"/>
  <c r="P1717" i="1" s="1"/>
  <c r="V1716" i="1"/>
  <c r="U1716" i="1"/>
  <c r="T1716" i="1"/>
  <c r="S1716" i="1"/>
  <c r="N1716" i="1"/>
  <c r="M1716" i="1"/>
  <c r="L1716" i="1"/>
  <c r="Q1716" i="1" s="1"/>
  <c r="P1716" i="1" s="1"/>
  <c r="V1715" i="1"/>
  <c r="U1715" i="1"/>
  <c r="T1715" i="1"/>
  <c r="S1715" i="1"/>
  <c r="N1715" i="1"/>
  <c r="M1715" i="1"/>
  <c r="L1715" i="1"/>
  <c r="Q1715" i="1" s="1"/>
  <c r="P1715" i="1" s="1"/>
  <c r="V1714" i="1"/>
  <c r="U1714" i="1"/>
  <c r="T1714" i="1"/>
  <c r="S1714" i="1"/>
  <c r="N1714" i="1"/>
  <c r="M1714" i="1"/>
  <c r="L1714" i="1"/>
  <c r="Q1714" i="1" s="1"/>
  <c r="P1714" i="1" s="1"/>
  <c r="V1713" i="1"/>
  <c r="U1713" i="1"/>
  <c r="T1713" i="1"/>
  <c r="S1713" i="1"/>
  <c r="Q1713" i="1"/>
  <c r="P1713" i="1" s="1"/>
  <c r="N1713" i="1"/>
  <c r="O1713" i="1" s="1"/>
  <c r="M1713" i="1"/>
  <c r="L1713" i="1"/>
  <c r="V1712" i="1"/>
  <c r="U1712" i="1"/>
  <c r="T1712" i="1"/>
  <c r="S1712" i="1"/>
  <c r="N1712" i="1"/>
  <c r="M1712" i="1"/>
  <c r="L1712" i="1"/>
  <c r="Q1712" i="1" s="1"/>
  <c r="P1712" i="1" s="1"/>
  <c r="V1711" i="1"/>
  <c r="U1711" i="1"/>
  <c r="T1711" i="1"/>
  <c r="S1711" i="1"/>
  <c r="N1711" i="1"/>
  <c r="M1711" i="1"/>
  <c r="L1711" i="1"/>
  <c r="Q1711" i="1" s="1"/>
  <c r="P1711" i="1" s="1"/>
  <c r="V1710" i="1"/>
  <c r="U1710" i="1"/>
  <c r="T1710" i="1"/>
  <c r="S1710" i="1"/>
  <c r="N1710" i="1"/>
  <c r="M1710" i="1"/>
  <c r="O1710" i="1" s="1"/>
  <c r="L1710" i="1"/>
  <c r="Q1710" i="1" s="1"/>
  <c r="P1710" i="1" s="1"/>
  <c r="V1709" i="1"/>
  <c r="U1709" i="1"/>
  <c r="T1709" i="1"/>
  <c r="S1709" i="1"/>
  <c r="N1709" i="1"/>
  <c r="M1709" i="1"/>
  <c r="L1709" i="1"/>
  <c r="Q1709" i="1" s="1"/>
  <c r="P1709" i="1" s="1"/>
  <c r="V1708" i="1"/>
  <c r="U1708" i="1"/>
  <c r="T1708" i="1"/>
  <c r="S1708" i="1"/>
  <c r="N1708" i="1"/>
  <c r="M1708" i="1"/>
  <c r="L1708" i="1"/>
  <c r="Q1708" i="1" s="1"/>
  <c r="P1708" i="1" s="1"/>
  <c r="V1707" i="1"/>
  <c r="U1707" i="1"/>
  <c r="T1707" i="1"/>
  <c r="S1707" i="1"/>
  <c r="N1707" i="1"/>
  <c r="M1707" i="1"/>
  <c r="L1707" i="1"/>
  <c r="Q1707" i="1" s="1"/>
  <c r="P1707" i="1" s="1"/>
  <c r="V1706" i="1"/>
  <c r="U1706" i="1"/>
  <c r="T1706" i="1"/>
  <c r="S1706" i="1"/>
  <c r="N1706" i="1"/>
  <c r="M1706" i="1"/>
  <c r="L1706" i="1"/>
  <c r="Q1706" i="1" s="1"/>
  <c r="P1706" i="1" s="1"/>
  <c r="V1705" i="1"/>
  <c r="U1705" i="1"/>
  <c r="T1705" i="1"/>
  <c r="S1705" i="1"/>
  <c r="N1705" i="1"/>
  <c r="O1705" i="1" s="1"/>
  <c r="M1705" i="1"/>
  <c r="L1705" i="1"/>
  <c r="Q1705" i="1" s="1"/>
  <c r="P1705" i="1" s="1"/>
  <c r="V1704" i="1"/>
  <c r="U1704" i="1"/>
  <c r="T1704" i="1"/>
  <c r="S1704" i="1"/>
  <c r="N1704" i="1"/>
  <c r="O1704" i="1" s="1"/>
  <c r="M1704" i="1"/>
  <c r="L1704" i="1"/>
  <c r="Q1704" i="1" s="1"/>
  <c r="P1704" i="1" s="1"/>
  <c r="V1703" i="1"/>
  <c r="U1703" i="1"/>
  <c r="T1703" i="1"/>
  <c r="S1703" i="1"/>
  <c r="N1703" i="1"/>
  <c r="M1703" i="1"/>
  <c r="L1703" i="1"/>
  <c r="Q1703" i="1" s="1"/>
  <c r="P1703" i="1" s="1"/>
  <c r="V1702" i="1"/>
  <c r="U1702" i="1"/>
  <c r="T1702" i="1"/>
  <c r="S1702" i="1"/>
  <c r="N1702" i="1"/>
  <c r="M1702" i="1"/>
  <c r="O1702" i="1" s="1"/>
  <c r="L1702" i="1"/>
  <c r="Q1702" i="1" s="1"/>
  <c r="P1702" i="1" s="1"/>
  <c r="V1701" i="1"/>
  <c r="U1701" i="1"/>
  <c r="T1701" i="1"/>
  <c r="S1701" i="1"/>
  <c r="N1701" i="1"/>
  <c r="M1701" i="1"/>
  <c r="L1701" i="1"/>
  <c r="Q1701" i="1" s="1"/>
  <c r="P1701" i="1" s="1"/>
  <c r="V1700" i="1"/>
  <c r="U1700" i="1"/>
  <c r="T1700" i="1"/>
  <c r="S1700" i="1"/>
  <c r="N1700" i="1"/>
  <c r="M1700" i="1"/>
  <c r="L1700" i="1"/>
  <c r="Q1700" i="1" s="1"/>
  <c r="P1700" i="1" s="1"/>
  <c r="V1699" i="1"/>
  <c r="U1699" i="1"/>
  <c r="T1699" i="1"/>
  <c r="S1699" i="1"/>
  <c r="N1699" i="1"/>
  <c r="M1699" i="1"/>
  <c r="L1699" i="1"/>
  <c r="Q1699" i="1" s="1"/>
  <c r="P1699" i="1" s="1"/>
  <c r="V1698" i="1"/>
  <c r="U1698" i="1"/>
  <c r="T1698" i="1"/>
  <c r="S1698" i="1"/>
  <c r="N1698" i="1"/>
  <c r="M1698" i="1"/>
  <c r="O1698" i="1" s="1"/>
  <c r="L1698" i="1"/>
  <c r="Q1698" i="1" s="1"/>
  <c r="P1698" i="1" s="1"/>
  <c r="V1697" i="1"/>
  <c r="U1697" i="1"/>
  <c r="T1697" i="1"/>
  <c r="S1697" i="1"/>
  <c r="N1697" i="1"/>
  <c r="M1697" i="1"/>
  <c r="L1697" i="1"/>
  <c r="Q1697" i="1" s="1"/>
  <c r="P1697" i="1" s="1"/>
  <c r="V1696" i="1"/>
  <c r="U1696" i="1"/>
  <c r="T1696" i="1"/>
  <c r="S1696" i="1"/>
  <c r="N1696" i="1"/>
  <c r="M1696" i="1"/>
  <c r="L1696" i="1"/>
  <c r="Q1696" i="1" s="1"/>
  <c r="P1696" i="1" s="1"/>
  <c r="V1695" i="1"/>
  <c r="U1695" i="1"/>
  <c r="T1695" i="1"/>
  <c r="S1695" i="1"/>
  <c r="N1695" i="1"/>
  <c r="M1695" i="1"/>
  <c r="L1695" i="1"/>
  <c r="Q1695" i="1" s="1"/>
  <c r="P1695" i="1" s="1"/>
  <c r="V1694" i="1"/>
  <c r="U1694" i="1"/>
  <c r="T1694" i="1"/>
  <c r="S1694" i="1"/>
  <c r="N1694" i="1"/>
  <c r="M1694" i="1"/>
  <c r="L1694" i="1"/>
  <c r="Q1694" i="1" s="1"/>
  <c r="P1694" i="1" s="1"/>
  <c r="V1693" i="1"/>
  <c r="U1693" i="1"/>
  <c r="T1693" i="1"/>
  <c r="S1693" i="1"/>
  <c r="N1693" i="1"/>
  <c r="M1693" i="1"/>
  <c r="L1693" i="1"/>
  <c r="Q1693" i="1" s="1"/>
  <c r="P1693" i="1" s="1"/>
  <c r="V1692" i="1"/>
  <c r="U1692" i="1"/>
  <c r="T1692" i="1"/>
  <c r="S1692" i="1"/>
  <c r="N1692" i="1"/>
  <c r="M1692" i="1"/>
  <c r="L1692" i="1"/>
  <c r="Q1692" i="1" s="1"/>
  <c r="P1692" i="1" s="1"/>
  <c r="V1691" i="1"/>
  <c r="U1691" i="1"/>
  <c r="T1691" i="1"/>
  <c r="S1691" i="1"/>
  <c r="N1691" i="1"/>
  <c r="M1691" i="1"/>
  <c r="L1691" i="1"/>
  <c r="Q1691" i="1" s="1"/>
  <c r="P1691" i="1" s="1"/>
  <c r="V1690" i="1"/>
  <c r="U1690" i="1"/>
  <c r="T1690" i="1"/>
  <c r="S1690" i="1"/>
  <c r="N1690" i="1"/>
  <c r="M1690" i="1"/>
  <c r="L1690" i="1"/>
  <c r="Q1690" i="1" s="1"/>
  <c r="P1690" i="1" s="1"/>
  <c r="V1689" i="1"/>
  <c r="U1689" i="1"/>
  <c r="T1689" i="1"/>
  <c r="S1689" i="1"/>
  <c r="N1689" i="1"/>
  <c r="M1689" i="1"/>
  <c r="L1689" i="1"/>
  <c r="Q1689" i="1" s="1"/>
  <c r="P1689" i="1" s="1"/>
  <c r="V1688" i="1"/>
  <c r="U1688" i="1"/>
  <c r="T1688" i="1"/>
  <c r="S1688" i="1"/>
  <c r="N1688" i="1"/>
  <c r="O1688" i="1" s="1"/>
  <c r="M1688" i="1"/>
  <c r="L1688" i="1"/>
  <c r="Q1688" i="1" s="1"/>
  <c r="P1688" i="1" s="1"/>
  <c r="V1687" i="1"/>
  <c r="U1687" i="1"/>
  <c r="T1687" i="1"/>
  <c r="S1687" i="1"/>
  <c r="N1687" i="1"/>
  <c r="M1687" i="1"/>
  <c r="L1687" i="1"/>
  <c r="Q1687" i="1" s="1"/>
  <c r="P1687" i="1" s="1"/>
  <c r="V1686" i="1"/>
  <c r="U1686" i="1"/>
  <c r="T1686" i="1"/>
  <c r="S1686" i="1"/>
  <c r="N1686" i="1"/>
  <c r="M1686" i="1"/>
  <c r="L1686" i="1"/>
  <c r="Q1686" i="1" s="1"/>
  <c r="P1686" i="1" s="1"/>
  <c r="V1685" i="1"/>
  <c r="U1685" i="1"/>
  <c r="T1685" i="1"/>
  <c r="S1685" i="1"/>
  <c r="N1685" i="1"/>
  <c r="M1685" i="1"/>
  <c r="L1685" i="1"/>
  <c r="Q1685" i="1" s="1"/>
  <c r="P1685" i="1" s="1"/>
  <c r="V1684" i="1"/>
  <c r="U1684" i="1"/>
  <c r="T1684" i="1"/>
  <c r="S1684" i="1"/>
  <c r="N1684" i="1"/>
  <c r="M1684" i="1"/>
  <c r="L1684" i="1"/>
  <c r="Q1684" i="1" s="1"/>
  <c r="P1684" i="1" s="1"/>
  <c r="V1683" i="1"/>
  <c r="U1683" i="1"/>
  <c r="T1683" i="1"/>
  <c r="S1683" i="1"/>
  <c r="N1683" i="1"/>
  <c r="M1683" i="1"/>
  <c r="L1683" i="1"/>
  <c r="Q1683" i="1" s="1"/>
  <c r="P1683" i="1" s="1"/>
  <c r="V1682" i="1"/>
  <c r="U1682" i="1"/>
  <c r="T1682" i="1"/>
  <c r="S1682" i="1"/>
  <c r="N1682" i="1"/>
  <c r="M1682" i="1"/>
  <c r="L1682" i="1"/>
  <c r="Q1682" i="1" s="1"/>
  <c r="P1682" i="1" s="1"/>
  <c r="V1681" i="1"/>
  <c r="U1681" i="1"/>
  <c r="T1681" i="1"/>
  <c r="S1681" i="1"/>
  <c r="N1681" i="1"/>
  <c r="O1681" i="1" s="1"/>
  <c r="M1681" i="1"/>
  <c r="L1681" i="1"/>
  <c r="Q1681" i="1" s="1"/>
  <c r="P1681" i="1" s="1"/>
  <c r="V1680" i="1"/>
  <c r="U1680" i="1"/>
  <c r="T1680" i="1"/>
  <c r="S1680" i="1"/>
  <c r="N1680" i="1"/>
  <c r="M1680" i="1"/>
  <c r="L1680" i="1"/>
  <c r="Q1680" i="1" s="1"/>
  <c r="P1680" i="1" s="1"/>
  <c r="V1679" i="1"/>
  <c r="U1679" i="1"/>
  <c r="T1679" i="1"/>
  <c r="S1679" i="1"/>
  <c r="N1679" i="1"/>
  <c r="M1679" i="1"/>
  <c r="L1679" i="1"/>
  <c r="Q1679" i="1" s="1"/>
  <c r="P1679" i="1" s="1"/>
  <c r="V1678" i="1"/>
  <c r="U1678" i="1"/>
  <c r="T1678" i="1"/>
  <c r="S1678" i="1"/>
  <c r="N1678" i="1"/>
  <c r="M1678" i="1"/>
  <c r="L1678" i="1"/>
  <c r="Q1678" i="1" s="1"/>
  <c r="P1678" i="1" s="1"/>
  <c r="V1677" i="1"/>
  <c r="U1677" i="1"/>
  <c r="T1677" i="1"/>
  <c r="S1677" i="1"/>
  <c r="N1677" i="1"/>
  <c r="O1677" i="1" s="1"/>
  <c r="M1677" i="1"/>
  <c r="L1677" i="1"/>
  <c r="Q1677" i="1" s="1"/>
  <c r="P1677" i="1" s="1"/>
  <c r="V1676" i="1"/>
  <c r="U1676" i="1"/>
  <c r="T1676" i="1"/>
  <c r="S1676" i="1"/>
  <c r="N1676" i="1"/>
  <c r="M1676" i="1"/>
  <c r="L1676" i="1"/>
  <c r="Q1676" i="1" s="1"/>
  <c r="P1676" i="1" s="1"/>
  <c r="V1675" i="1"/>
  <c r="U1675" i="1"/>
  <c r="T1675" i="1"/>
  <c r="S1675" i="1"/>
  <c r="N1675" i="1"/>
  <c r="M1675" i="1"/>
  <c r="L1675" i="1"/>
  <c r="Q1675" i="1" s="1"/>
  <c r="P1675" i="1" s="1"/>
  <c r="V1674" i="1"/>
  <c r="U1674" i="1"/>
  <c r="T1674" i="1"/>
  <c r="S1674" i="1"/>
  <c r="N1674" i="1"/>
  <c r="M1674" i="1"/>
  <c r="L1674" i="1"/>
  <c r="Q1674" i="1" s="1"/>
  <c r="P1674" i="1" s="1"/>
  <c r="V1673" i="1"/>
  <c r="U1673" i="1"/>
  <c r="T1673" i="1"/>
  <c r="S1673" i="1"/>
  <c r="N1673" i="1"/>
  <c r="O1673" i="1" s="1"/>
  <c r="M1673" i="1"/>
  <c r="L1673" i="1"/>
  <c r="Q1673" i="1" s="1"/>
  <c r="P1673" i="1" s="1"/>
  <c r="V1672" i="1"/>
  <c r="U1672" i="1"/>
  <c r="T1672" i="1"/>
  <c r="S1672" i="1"/>
  <c r="N1672" i="1"/>
  <c r="M1672" i="1"/>
  <c r="L1672" i="1"/>
  <c r="Q1672" i="1" s="1"/>
  <c r="P1672" i="1" s="1"/>
  <c r="V1671" i="1"/>
  <c r="U1671" i="1"/>
  <c r="T1671" i="1"/>
  <c r="S1671" i="1"/>
  <c r="N1671" i="1"/>
  <c r="M1671" i="1"/>
  <c r="L1671" i="1"/>
  <c r="Q1671" i="1" s="1"/>
  <c r="P1671" i="1" s="1"/>
  <c r="V1670" i="1"/>
  <c r="U1670" i="1"/>
  <c r="T1670" i="1"/>
  <c r="S1670" i="1"/>
  <c r="N1670" i="1"/>
  <c r="M1670" i="1"/>
  <c r="L1670" i="1"/>
  <c r="Q1670" i="1" s="1"/>
  <c r="P1670" i="1" s="1"/>
  <c r="V1669" i="1"/>
  <c r="U1669" i="1"/>
  <c r="T1669" i="1"/>
  <c r="S1669" i="1"/>
  <c r="N1669" i="1"/>
  <c r="M1669" i="1"/>
  <c r="L1669" i="1"/>
  <c r="Q1669" i="1" s="1"/>
  <c r="P1669" i="1" s="1"/>
  <c r="V1668" i="1"/>
  <c r="U1668" i="1"/>
  <c r="T1668" i="1"/>
  <c r="S1668" i="1"/>
  <c r="N1668" i="1"/>
  <c r="O1668" i="1" s="1"/>
  <c r="M1668" i="1"/>
  <c r="L1668" i="1"/>
  <c r="Q1668" i="1" s="1"/>
  <c r="P1668" i="1" s="1"/>
  <c r="V1667" i="1"/>
  <c r="U1667" i="1"/>
  <c r="T1667" i="1"/>
  <c r="S1667" i="1"/>
  <c r="N1667" i="1"/>
  <c r="M1667" i="1"/>
  <c r="L1667" i="1"/>
  <c r="Q1667" i="1" s="1"/>
  <c r="P1667" i="1" s="1"/>
  <c r="V1666" i="1"/>
  <c r="U1666" i="1"/>
  <c r="T1666" i="1"/>
  <c r="S1666" i="1"/>
  <c r="N1666" i="1"/>
  <c r="M1666" i="1"/>
  <c r="O1666" i="1" s="1"/>
  <c r="L1666" i="1"/>
  <c r="Q1666" i="1" s="1"/>
  <c r="P1666" i="1" s="1"/>
  <c r="V1665" i="1"/>
  <c r="U1665" i="1"/>
  <c r="T1665" i="1"/>
  <c r="S1665" i="1"/>
  <c r="Q1665" i="1"/>
  <c r="P1665" i="1" s="1"/>
  <c r="N1665" i="1"/>
  <c r="M1665" i="1"/>
  <c r="L1665" i="1"/>
  <c r="V1664" i="1"/>
  <c r="U1664" i="1"/>
  <c r="T1664" i="1"/>
  <c r="S1664" i="1"/>
  <c r="N1664" i="1"/>
  <c r="M1664" i="1"/>
  <c r="L1664" i="1"/>
  <c r="Q1664" i="1" s="1"/>
  <c r="P1664" i="1" s="1"/>
  <c r="V1663" i="1"/>
  <c r="U1663" i="1"/>
  <c r="T1663" i="1"/>
  <c r="S1663" i="1"/>
  <c r="N1663" i="1"/>
  <c r="M1663" i="1"/>
  <c r="L1663" i="1"/>
  <c r="Q1663" i="1" s="1"/>
  <c r="P1663" i="1" s="1"/>
  <c r="V1662" i="1"/>
  <c r="U1662" i="1"/>
  <c r="T1662" i="1"/>
  <c r="S1662" i="1"/>
  <c r="N1662" i="1"/>
  <c r="M1662" i="1"/>
  <c r="O1662" i="1" s="1"/>
  <c r="L1662" i="1"/>
  <c r="Q1662" i="1" s="1"/>
  <c r="P1662" i="1" s="1"/>
  <c r="V32" i="1"/>
  <c r="U32" i="1"/>
  <c r="T32" i="1"/>
  <c r="S32" i="1"/>
  <c r="N32" i="1"/>
  <c r="M32" i="1"/>
  <c r="L32" i="1"/>
  <c r="Q32" i="1" s="1"/>
  <c r="P32" i="1" s="1"/>
  <c r="V31" i="1"/>
  <c r="U31" i="1"/>
  <c r="T31" i="1"/>
  <c r="S31" i="1"/>
  <c r="N31" i="1"/>
  <c r="O31" i="1" s="1"/>
  <c r="M31" i="1"/>
  <c r="L31" i="1"/>
  <c r="Q31" i="1" s="1"/>
  <c r="P31" i="1" s="1"/>
  <c r="V30" i="1"/>
  <c r="U30" i="1"/>
  <c r="T30" i="1"/>
  <c r="S30" i="1"/>
  <c r="N30" i="1"/>
  <c r="M30" i="1"/>
  <c r="L30" i="1"/>
  <c r="Q30" i="1" s="1"/>
  <c r="P30" i="1" s="1"/>
  <c r="V29" i="1"/>
  <c r="U29" i="1"/>
  <c r="T29" i="1"/>
  <c r="S29" i="1"/>
  <c r="N29" i="1"/>
  <c r="M29" i="1"/>
  <c r="L29" i="1"/>
  <c r="Q29" i="1" s="1"/>
  <c r="P29" i="1" s="1"/>
  <c r="V28" i="1"/>
  <c r="U28" i="1"/>
  <c r="T28" i="1"/>
  <c r="S28" i="1"/>
  <c r="N28" i="1"/>
  <c r="M28" i="1"/>
  <c r="L28" i="1"/>
  <c r="Q28" i="1" s="1"/>
  <c r="P28" i="1" s="1"/>
  <c r="V27" i="1"/>
  <c r="U27" i="1"/>
  <c r="T27" i="1"/>
  <c r="S27" i="1"/>
  <c r="N27" i="1"/>
  <c r="M27" i="1"/>
  <c r="L27" i="1"/>
  <c r="Q27" i="1" s="1"/>
  <c r="P27" i="1" s="1"/>
  <c r="V26" i="1"/>
  <c r="U26" i="1"/>
  <c r="T26" i="1"/>
  <c r="S26" i="1"/>
  <c r="N26" i="1"/>
  <c r="M26" i="1"/>
  <c r="L26" i="1"/>
  <c r="Q26" i="1" s="1"/>
  <c r="P26" i="1" s="1"/>
  <c r="V25" i="1"/>
  <c r="U25" i="1"/>
  <c r="T25" i="1"/>
  <c r="S25" i="1"/>
  <c r="N25" i="1"/>
  <c r="M25" i="1"/>
  <c r="O25" i="1" s="1"/>
  <c r="L25" i="1"/>
  <c r="Q25" i="1" s="1"/>
  <c r="P25" i="1" s="1"/>
  <c r="V24" i="1"/>
  <c r="U24" i="1"/>
  <c r="T24" i="1"/>
  <c r="S24" i="1"/>
  <c r="N24" i="1"/>
  <c r="M24" i="1"/>
  <c r="L24" i="1"/>
  <c r="Q24" i="1" s="1"/>
  <c r="P24" i="1" s="1"/>
  <c r="V23" i="1"/>
  <c r="U23" i="1"/>
  <c r="T23" i="1"/>
  <c r="S23" i="1"/>
  <c r="N23" i="1"/>
  <c r="O23" i="1" s="1"/>
  <c r="M23" i="1"/>
  <c r="L23" i="1"/>
  <c r="Q23" i="1" s="1"/>
  <c r="P23" i="1" s="1"/>
  <c r="V22" i="1"/>
  <c r="U22" i="1"/>
  <c r="T22" i="1"/>
  <c r="S22" i="1"/>
  <c r="N22" i="1"/>
  <c r="M22" i="1"/>
  <c r="L22" i="1"/>
  <c r="Q22" i="1" s="1"/>
  <c r="P22" i="1" s="1"/>
  <c r="V21" i="1"/>
  <c r="U21" i="1"/>
  <c r="T21" i="1"/>
  <c r="S21" i="1"/>
  <c r="N21" i="1"/>
  <c r="M21" i="1"/>
  <c r="L21" i="1"/>
  <c r="Q21" i="1" s="1"/>
  <c r="P21" i="1" s="1"/>
  <c r="V20" i="1"/>
  <c r="U20" i="1"/>
  <c r="T20" i="1"/>
  <c r="S20" i="1"/>
  <c r="Q20" i="1"/>
  <c r="P20" i="1" s="1"/>
  <c r="N20" i="1"/>
  <c r="M20" i="1"/>
  <c r="L20" i="1"/>
  <c r="V19" i="1"/>
  <c r="U19" i="1"/>
  <c r="T19" i="1"/>
  <c r="S19" i="1"/>
  <c r="N19" i="1"/>
  <c r="M19" i="1"/>
  <c r="L19" i="1"/>
  <c r="Q19" i="1" s="1"/>
  <c r="P19" i="1" s="1"/>
  <c r="V18" i="1"/>
  <c r="U18" i="1"/>
  <c r="T18" i="1"/>
  <c r="S18" i="1"/>
  <c r="N18" i="1"/>
  <c r="M18" i="1"/>
  <c r="L18" i="1"/>
  <c r="Q18" i="1" s="1"/>
  <c r="P18" i="1" s="1"/>
  <c r="V17" i="1"/>
  <c r="U17" i="1"/>
  <c r="T17" i="1"/>
  <c r="S17" i="1"/>
  <c r="N17" i="1"/>
  <c r="M17" i="1"/>
  <c r="L17" i="1"/>
  <c r="Q17" i="1" s="1"/>
  <c r="P17" i="1" s="1"/>
  <c r="V16" i="1"/>
  <c r="U16" i="1"/>
  <c r="T16" i="1"/>
  <c r="S16" i="1"/>
  <c r="N16" i="1"/>
  <c r="M16" i="1"/>
  <c r="L16" i="1"/>
  <c r="Q16" i="1" s="1"/>
  <c r="P16" i="1" s="1"/>
  <c r="V15" i="1"/>
  <c r="U15" i="1"/>
  <c r="T15" i="1"/>
  <c r="S15" i="1"/>
  <c r="N15" i="1"/>
  <c r="M15" i="1"/>
  <c r="L15" i="1"/>
  <c r="Q15" i="1" s="1"/>
  <c r="P15" i="1" s="1"/>
  <c r="V14" i="1"/>
  <c r="U14" i="1"/>
  <c r="T14" i="1"/>
  <c r="S14" i="1"/>
  <c r="N14" i="1"/>
  <c r="M14" i="1"/>
  <c r="L14" i="1"/>
  <c r="Q14" i="1" s="1"/>
  <c r="P14" i="1" s="1"/>
  <c r="V13" i="1"/>
  <c r="U13" i="1"/>
  <c r="T13" i="1"/>
  <c r="S13" i="1"/>
  <c r="N13" i="1"/>
  <c r="O13" i="1" s="1"/>
  <c r="M13" i="1"/>
  <c r="L13" i="1"/>
  <c r="Q13" i="1" s="1"/>
  <c r="P13" i="1" s="1"/>
  <c r="V12" i="1"/>
  <c r="U12" i="1"/>
  <c r="T12" i="1"/>
  <c r="S12" i="1"/>
  <c r="Q12" i="1"/>
  <c r="P12" i="1" s="1"/>
  <c r="N12" i="1"/>
  <c r="O12" i="1" s="1"/>
  <c r="M12" i="1"/>
  <c r="L12" i="1"/>
  <c r="V11" i="1"/>
  <c r="U11" i="1"/>
  <c r="T11" i="1"/>
  <c r="S11" i="1"/>
  <c r="N11" i="1"/>
  <c r="M11" i="1"/>
  <c r="L11" i="1"/>
  <c r="Q11" i="1" s="1"/>
  <c r="P11" i="1" s="1"/>
  <c r="V10" i="1"/>
  <c r="U10" i="1"/>
  <c r="T10" i="1"/>
  <c r="S10" i="1"/>
  <c r="N10" i="1"/>
  <c r="M10" i="1"/>
  <c r="L10" i="1"/>
  <c r="Q10" i="1" s="1"/>
  <c r="P10" i="1" s="1"/>
  <c r="V9" i="1"/>
  <c r="U9" i="1"/>
  <c r="T9" i="1"/>
  <c r="S9" i="1"/>
  <c r="N9" i="1"/>
  <c r="M9" i="1"/>
  <c r="O9" i="1" s="1"/>
  <c r="L9" i="1"/>
  <c r="Q9" i="1" s="1"/>
  <c r="P9" i="1" s="1"/>
  <c r="V8" i="1"/>
  <c r="U8" i="1"/>
  <c r="T8" i="1"/>
  <c r="S8" i="1"/>
  <c r="N8" i="1"/>
  <c r="M8" i="1"/>
  <c r="L8" i="1"/>
  <c r="Q8" i="1" s="1"/>
  <c r="P8" i="1" s="1"/>
  <c r="V7" i="1"/>
  <c r="U7" i="1"/>
  <c r="T7" i="1"/>
  <c r="S7" i="1"/>
  <c r="N7" i="1"/>
  <c r="M7" i="1"/>
  <c r="L7" i="1"/>
  <c r="Q7" i="1" s="1"/>
  <c r="P7" i="1" s="1"/>
  <c r="V6" i="1"/>
  <c r="U6" i="1"/>
  <c r="T6" i="1"/>
  <c r="S6" i="1"/>
  <c r="N6" i="1"/>
  <c r="M6" i="1"/>
  <c r="L6" i="1"/>
  <c r="Q6" i="1" s="1"/>
  <c r="P6" i="1" s="1"/>
  <c r="V137" i="1"/>
  <c r="U137" i="1"/>
  <c r="T137" i="1"/>
  <c r="S137" i="1"/>
  <c r="N137" i="1"/>
  <c r="M137" i="1"/>
  <c r="L137" i="1"/>
  <c r="Q137" i="1" s="1"/>
  <c r="P137" i="1" s="1"/>
  <c r="V136" i="1"/>
  <c r="U136" i="1"/>
  <c r="T136" i="1"/>
  <c r="S136" i="1"/>
  <c r="Q136" i="1"/>
  <c r="P136" i="1" s="1"/>
  <c r="N136" i="1"/>
  <c r="O136" i="1" s="1"/>
  <c r="M136" i="1"/>
  <c r="L136" i="1"/>
  <c r="V135" i="1"/>
  <c r="U135" i="1"/>
  <c r="T135" i="1"/>
  <c r="S135" i="1"/>
  <c r="N135" i="1"/>
  <c r="M135" i="1"/>
  <c r="L135" i="1"/>
  <c r="Q135" i="1" s="1"/>
  <c r="P135" i="1" s="1"/>
  <c r="V134" i="1"/>
  <c r="U134" i="1"/>
  <c r="T134" i="1"/>
  <c r="S134" i="1"/>
  <c r="N134" i="1"/>
  <c r="M134" i="1"/>
  <c r="L134" i="1"/>
  <c r="Q134" i="1" s="1"/>
  <c r="P134" i="1" s="1"/>
  <c r="V133" i="1"/>
  <c r="U133" i="1"/>
  <c r="T133" i="1"/>
  <c r="S133" i="1"/>
  <c r="N133" i="1"/>
  <c r="M133" i="1"/>
  <c r="O133" i="1" s="1"/>
  <c r="L133" i="1"/>
  <c r="Q133" i="1" s="1"/>
  <c r="P133" i="1" s="1"/>
  <c r="V132" i="1"/>
  <c r="U132" i="1"/>
  <c r="T132" i="1"/>
  <c r="S132" i="1"/>
  <c r="N132" i="1"/>
  <c r="M132" i="1"/>
  <c r="L132" i="1"/>
  <c r="Q132" i="1" s="1"/>
  <c r="P132" i="1" s="1"/>
  <c r="V131" i="1"/>
  <c r="U131" i="1"/>
  <c r="T131" i="1"/>
  <c r="S131" i="1"/>
  <c r="N131" i="1"/>
  <c r="O131" i="1" s="1"/>
  <c r="M131" i="1"/>
  <c r="L131" i="1"/>
  <c r="Q131" i="1" s="1"/>
  <c r="P131" i="1" s="1"/>
  <c r="V130" i="1"/>
  <c r="U130" i="1"/>
  <c r="T130" i="1"/>
  <c r="S130" i="1"/>
  <c r="N130" i="1"/>
  <c r="M130" i="1"/>
  <c r="L130" i="1"/>
  <c r="Q130" i="1" s="1"/>
  <c r="P130" i="1" s="1"/>
  <c r="V129" i="1"/>
  <c r="U129" i="1"/>
  <c r="T129" i="1"/>
  <c r="S129" i="1"/>
  <c r="N129" i="1"/>
  <c r="M129" i="1"/>
  <c r="O129" i="1" s="1"/>
  <c r="L129" i="1"/>
  <c r="Q129" i="1" s="1"/>
  <c r="P129" i="1" s="1"/>
  <c r="V128" i="1"/>
  <c r="U128" i="1"/>
  <c r="T128" i="1"/>
  <c r="S128" i="1"/>
  <c r="N128" i="1"/>
  <c r="M128" i="1"/>
  <c r="L128" i="1"/>
  <c r="Q128" i="1" s="1"/>
  <c r="P128" i="1" s="1"/>
  <c r="V127" i="1"/>
  <c r="U127" i="1"/>
  <c r="T127" i="1"/>
  <c r="S127" i="1"/>
  <c r="N127" i="1"/>
  <c r="M127" i="1"/>
  <c r="L127" i="1"/>
  <c r="Q127" i="1" s="1"/>
  <c r="P127" i="1" s="1"/>
  <c r="V126" i="1"/>
  <c r="U126" i="1"/>
  <c r="T126" i="1"/>
  <c r="S126" i="1"/>
  <c r="N126" i="1"/>
  <c r="M126" i="1"/>
  <c r="L126" i="1"/>
  <c r="Q126" i="1" s="1"/>
  <c r="P126" i="1" s="1"/>
  <c r="V125" i="1"/>
  <c r="U125" i="1"/>
  <c r="T125" i="1"/>
  <c r="S125" i="1"/>
  <c r="N125" i="1"/>
  <c r="M125" i="1"/>
  <c r="L125" i="1"/>
  <c r="Q125" i="1" s="1"/>
  <c r="P125" i="1" s="1"/>
  <c r="V124" i="1"/>
  <c r="U124" i="1"/>
  <c r="T124" i="1"/>
  <c r="S124" i="1"/>
  <c r="Q124" i="1"/>
  <c r="P124" i="1" s="1"/>
  <c r="N124" i="1"/>
  <c r="M124" i="1"/>
  <c r="L124" i="1"/>
  <c r="V123" i="1"/>
  <c r="U123" i="1"/>
  <c r="T123" i="1"/>
  <c r="S123" i="1"/>
  <c r="N123" i="1"/>
  <c r="M123" i="1"/>
  <c r="L123" i="1"/>
  <c r="Q123" i="1" s="1"/>
  <c r="P123" i="1" s="1"/>
  <c r="V122" i="1"/>
  <c r="U122" i="1"/>
  <c r="T122" i="1"/>
  <c r="S122" i="1"/>
  <c r="N122" i="1"/>
  <c r="M122" i="1"/>
  <c r="L122" i="1"/>
  <c r="Q122" i="1" s="1"/>
  <c r="P122" i="1" s="1"/>
  <c r="V121" i="1"/>
  <c r="U121" i="1"/>
  <c r="T121" i="1"/>
  <c r="S121" i="1"/>
  <c r="N121" i="1"/>
  <c r="M121" i="1"/>
  <c r="L121" i="1"/>
  <c r="Q121" i="1" s="1"/>
  <c r="P121" i="1" s="1"/>
  <c r="V120" i="1"/>
  <c r="U120" i="1"/>
  <c r="T120" i="1"/>
  <c r="S120" i="1"/>
  <c r="Q120" i="1"/>
  <c r="P120" i="1" s="1"/>
  <c r="N120" i="1"/>
  <c r="M120" i="1"/>
  <c r="L120" i="1"/>
  <c r="V119" i="1"/>
  <c r="U119" i="1"/>
  <c r="T119" i="1"/>
  <c r="S119" i="1"/>
  <c r="N119" i="1"/>
  <c r="M119" i="1"/>
  <c r="L119" i="1"/>
  <c r="Q119" i="1" s="1"/>
  <c r="P119" i="1" s="1"/>
  <c r="V118" i="1"/>
  <c r="U118" i="1"/>
  <c r="T118" i="1"/>
  <c r="S118" i="1"/>
  <c r="N118" i="1"/>
  <c r="M118" i="1"/>
  <c r="L118" i="1"/>
  <c r="Q118" i="1" s="1"/>
  <c r="P118" i="1" s="1"/>
  <c r="V117" i="1"/>
  <c r="U117" i="1"/>
  <c r="T117" i="1"/>
  <c r="S117" i="1"/>
  <c r="N117" i="1"/>
  <c r="M117" i="1"/>
  <c r="O117" i="1" s="1"/>
  <c r="L117" i="1"/>
  <c r="Q117" i="1" s="1"/>
  <c r="P117" i="1" s="1"/>
  <c r="V116" i="1"/>
  <c r="U116" i="1"/>
  <c r="T116" i="1"/>
  <c r="S116" i="1"/>
  <c r="N116" i="1"/>
  <c r="M116" i="1"/>
  <c r="L116" i="1"/>
  <c r="Q116" i="1" s="1"/>
  <c r="P116" i="1" s="1"/>
  <c r="V115" i="1"/>
  <c r="U115" i="1"/>
  <c r="T115" i="1"/>
  <c r="S115" i="1"/>
  <c r="N115" i="1"/>
  <c r="M115" i="1"/>
  <c r="L115" i="1"/>
  <c r="Q115" i="1" s="1"/>
  <c r="P115" i="1" s="1"/>
  <c r="V114" i="1"/>
  <c r="U114" i="1"/>
  <c r="T114" i="1"/>
  <c r="S114" i="1"/>
  <c r="N114" i="1"/>
  <c r="M114" i="1"/>
  <c r="L114" i="1"/>
  <c r="Q114" i="1" s="1"/>
  <c r="P114" i="1" s="1"/>
  <c r="V113" i="1"/>
  <c r="U113" i="1"/>
  <c r="T113" i="1"/>
  <c r="S113" i="1"/>
  <c r="N113" i="1"/>
  <c r="M113" i="1"/>
  <c r="L113" i="1"/>
  <c r="Q113" i="1" s="1"/>
  <c r="P113" i="1" s="1"/>
  <c r="V112" i="1"/>
  <c r="U112" i="1"/>
  <c r="T112" i="1"/>
  <c r="S112" i="1"/>
  <c r="N112" i="1"/>
  <c r="M112" i="1"/>
  <c r="L112" i="1"/>
  <c r="Q112" i="1" s="1"/>
  <c r="P112" i="1" s="1"/>
  <c r="V111" i="1"/>
  <c r="U111" i="1"/>
  <c r="T111" i="1"/>
  <c r="S111" i="1"/>
  <c r="N111" i="1"/>
  <c r="M111" i="1"/>
  <c r="O111" i="1" s="1"/>
  <c r="L111" i="1"/>
  <c r="Q111" i="1" s="1"/>
  <c r="P111" i="1" s="1"/>
  <c r="V110" i="1"/>
  <c r="U110" i="1"/>
  <c r="T110" i="1"/>
  <c r="S110" i="1"/>
  <c r="N110" i="1"/>
  <c r="M110" i="1"/>
  <c r="L110" i="1"/>
  <c r="Q110" i="1" s="1"/>
  <c r="P110" i="1" s="1"/>
  <c r="V109" i="1"/>
  <c r="U109" i="1"/>
  <c r="T109" i="1"/>
  <c r="S109" i="1"/>
  <c r="N109" i="1"/>
  <c r="O109" i="1" s="1"/>
  <c r="M109" i="1"/>
  <c r="L109" i="1"/>
  <c r="Q109" i="1" s="1"/>
  <c r="P109" i="1" s="1"/>
  <c r="V108" i="1"/>
  <c r="U108" i="1"/>
  <c r="T108" i="1"/>
  <c r="S108" i="1"/>
  <c r="N108" i="1"/>
  <c r="M108" i="1"/>
  <c r="L108" i="1"/>
  <c r="Q108" i="1" s="1"/>
  <c r="P108" i="1" s="1"/>
  <c r="V107" i="1"/>
  <c r="U107" i="1"/>
  <c r="T107" i="1"/>
  <c r="S107" i="1"/>
  <c r="N107" i="1"/>
  <c r="M107" i="1"/>
  <c r="L107" i="1"/>
  <c r="Q107" i="1" s="1"/>
  <c r="P107" i="1" s="1"/>
  <c r="V106" i="1"/>
  <c r="U106" i="1"/>
  <c r="T106" i="1"/>
  <c r="S106" i="1"/>
  <c r="N106" i="1"/>
  <c r="M106" i="1"/>
  <c r="L106" i="1"/>
  <c r="Q106" i="1" s="1"/>
  <c r="P106" i="1" s="1"/>
  <c r="V413" i="1"/>
  <c r="U413" i="1"/>
  <c r="T413" i="1"/>
  <c r="S413" i="1"/>
  <c r="N413" i="1"/>
  <c r="M413" i="1"/>
  <c r="L413" i="1"/>
  <c r="Q413" i="1" s="1"/>
  <c r="P413" i="1" s="1"/>
  <c r="V412" i="1"/>
  <c r="U412" i="1"/>
  <c r="T412" i="1"/>
  <c r="S412" i="1"/>
  <c r="Q412" i="1"/>
  <c r="P412" i="1" s="1"/>
  <c r="N412" i="1"/>
  <c r="O412" i="1" s="1"/>
  <c r="M412" i="1"/>
  <c r="L412" i="1"/>
  <c r="V411" i="1"/>
  <c r="U411" i="1"/>
  <c r="T411" i="1"/>
  <c r="S411" i="1"/>
  <c r="N411" i="1"/>
  <c r="M411" i="1"/>
  <c r="L411" i="1"/>
  <c r="Q411" i="1" s="1"/>
  <c r="P411" i="1" s="1"/>
  <c r="V410" i="1"/>
  <c r="U410" i="1"/>
  <c r="T410" i="1"/>
  <c r="S410" i="1"/>
  <c r="N410" i="1"/>
  <c r="M410" i="1"/>
  <c r="L410" i="1"/>
  <c r="Q410" i="1" s="1"/>
  <c r="P410" i="1" s="1"/>
  <c r="V409" i="1"/>
  <c r="U409" i="1"/>
  <c r="T409" i="1"/>
  <c r="S409" i="1"/>
  <c r="N409" i="1"/>
  <c r="M409" i="1"/>
  <c r="O409" i="1" s="1"/>
  <c r="L409" i="1"/>
  <c r="Q409" i="1" s="1"/>
  <c r="P409" i="1" s="1"/>
  <c r="V408" i="1"/>
  <c r="U408" i="1"/>
  <c r="T408" i="1"/>
  <c r="S408" i="1"/>
  <c r="N408" i="1"/>
  <c r="M408" i="1"/>
  <c r="L408" i="1"/>
  <c r="Q408" i="1" s="1"/>
  <c r="P408" i="1" s="1"/>
  <c r="V407" i="1"/>
  <c r="U407" i="1"/>
  <c r="T407" i="1"/>
  <c r="S407" i="1"/>
  <c r="N407" i="1"/>
  <c r="M407" i="1"/>
  <c r="L407" i="1"/>
  <c r="Q407" i="1" s="1"/>
  <c r="P407" i="1" s="1"/>
  <c r="V406" i="1"/>
  <c r="U406" i="1"/>
  <c r="T406" i="1"/>
  <c r="S406" i="1"/>
  <c r="N406" i="1"/>
  <c r="M406" i="1"/>
  <c r="L406" i="1"/>
  <c r="Q406" i="1" s="1"/>
  <c r="P406" i="1" s="1"/>
  <c r="V405" i="1"/>
  <c r="U405" i="1"/>
  <c r="T405" i="1"/>
  <c r="S405" i="1"/>
  <c r="N405" i="1"/>
  <c r="M405" i="1"/>
  <c r="L405" i="1"/>
  <c r="Q405" i="1" s="1"/>
  <c r="P405" i="1" s="1"/>
  <c r="V404" i="1"/>
  <c r="U404" i="1"/>
  <c r="T404" i="1"/>
  <c r="S404" i="1"/>
  <c r="N404" i="1"/>
  <c r="M404" i="1"/>
  <c r="L404" i="1"/>
  <c r="Q404" i="1" s="1"/>
  <c r="P404" i="1" s="1"/>
  <c r="V403" i="1"/>
  <c r="U403" i="1"/>
  <c r="T403" i="1"/>
  <c r="S403" i="1"/>
  <c r="N403" i="1"/>
  <c r="M403" i="1"/>
  <c r="L403" i="1"/>
  <c r="Q403" i="1" s="1"/>
  <c r="P403" i="1" s="1"/>
  <c r="V402" i="1"/>
  <c r="U402" i="1"/>
  <c r="T402" i="1"/>
  <c r="S402" i="1"/>
  <c r="N402" i="1"/>
  <c r="M402" i="1"/>
  <c r="L402" i="1"/>
  <c r="Q402" i="1" s="1"/>
  <c r="P402" i="1" s="1"/>
  <c r="V401" i="1"/>
  <c r="U401" i="1"/>
  <c r="T401" i="1"/>
  <c r="S401" i="1"/>
  <c r="N401" i="1"/>
  <c r="M401" i="1"/>
  <c r="L401" i="1"/>
  <c r="Q401" i="1" s="1"/>
  <c r="P401" i="1" s="1"/>
  <c r="V400" i="1"/>
  <c r="U400" i="1"/>
  <c r="T400" i="1"/>
  <c r="S400" i="1"/>
  <c r="N400" i="1"/>
  <c r="M400" i="1"/>
  <c r="L400" i="1"/>
  <c r="Q400" i="1" s="1"/>
  <c r="P400" i="1" s="1"/>
  <c r="V399" i="1"/>
  <c r="U399" i="1"/>
  <c r="T399" i="1"/>
  <c r="S399" i="1"/>
  <c r="N399" i="1"/>
  <c r="M399" i="1"/>
  <c r="L399" i="1"/>
  <c r="Q399" i="1" s="1"/>
  <c r="P399" i="1" s="1"/>
  <c r="V398" i="1"/>
  <c r="U398" i="1"/>
  <c r="T398" i="1"/>
  <c r="S398" i="1"/>
  <c r="N398" i="1"/>
  <c r="M398" i="1"/>
  <c r="L398" i="1"/>
  <c r="Q398" i="1" s="1"/>
  <c r="P398" i="1" s="1"/>
  <c r="V397" i="1"/>
  <c r="U397" i="1"/>
  <c r="T397" i="1"/>
  <c r="S397" i="1"/>
  <c r="N397" i="1"/>
  <c r="M397" i="1"/>
  <c r="O397" i="1" s="1"/>
  <c r="L397" i="1"/>
  <c r="Q397" i="1" s="1"/>
  <c r="P397" i="1" s="1"/>
  <c r="V396" i="1"/>
  <c r="U396" i="1"/>
  <c r="T396" i="1"/>
  <c r="S396" i="1"/>
  <c r="N396" i="1"/>
  <c r="M396" i="1"/>
  <c r="L396" i="1"/>
  <c r="Q396" i="1" s="1"/>
  <c r="P396" i="1" s="1"/>
  <c r="V395" i="1"/>
  <c r="U395" i="1"/>
  <c r="T395" i="1"/>
  <c r="S395" i="1"/>
  <c r="N395" i="1"/>
  <c r="M395" i="1"/>
  <c r="L395" i="1"/>
  <c r="Q395" i="1" s="1"/>
  <c r="P395" i="1" s="1"/>
  <c r="V394" i="1"/>
  <c r="U394" i="1"/>
  <c r="T394" i="1"/>
  <c r="S394" i="1"/>
  <c r="N394" i="1"/>
  <c r="M394" i="1"/>
  <c r="L394" i="1"/>
  <c r="Q394" i="1" s="1"/>
  <c r="P394" i="1" s="1"/>
  <c r="V393" i="1"/>
  <c r="U393" i="1"/>
  <c r="T393" i="1"/>
  <c r="S393" i="1"/>
  <c r="N393" i="1"/>
  <c r="M393" i="1"/>
  <c r="L393" i="1"/>
  <c r="Q393" i="1" s="1"/>
  <c r="P393" i="1" s="1"/>
  <c r="V392" i="1"/>
  <c r="U392" i="1"/>
  <c r="T392" i="1"/>
  <c r="S392" i="1"/>
  <c r="N392" i="1"/>
  <c r="M392" i="1"/>
  <c r="L392" i="1"/>
  <c r="Q392" i="1" s="1"/>
  <c r="P392" i="1" s="1"/>
  <c r="V391" i="1"/>
  <c r="U391" i="1"/>
  <c r="T391" i="1"/>
  <c r="S391" i="1"/>
  <c r="N391" i="1"/>
  <c r="M391" i="1"/>
  <c r="L391" i="1"/>
  <c r="Q391" i="1" s="1"/>
  <c r="P391" i="1" s="1"/>
  <c r="V390" i="1"/>
  <c r="U390" i="1"/>
  <c r="T390" i="1"/>
  <c r="S390" i="1"/>
  <c r="N390" i="1"/>
  <c r="M390" i="1"/>
  <c r="L390" i="1"/>
  <c r="Q390" i="1" s="1"/>
  <c r="P390" i="1" s="1"/>
  <c r="V389" i="1"/>
  <c r="U389" i="1"/>
  <c r="T389" i="1"/>
  <c r="S389" i="1"/>
  <c r="N389" i="1"/>
  <c r="O389" i="1" s="1"/>
  <c r="M389" i="1"/>
  <c r="L389" i="1"/>
  <c r="Q389" i="1" s="1"/>
  <c r="P389" i="1" s="1"/>
  <c r="V388" i="1"/>
  <c r="U388" i="1"/>
  <c r="T388" i="1"/>
  <c r="S388" i="1"/>
  <c r="N388" i="1"/>
  <c r="O388" i="1" s="1"/>
  <c r="M388" i="1"/>
  <c r="L388" i="1"/>
  <c r="Q388" i="1" s="1"/>
  <c r="P388" i="1" s="1"/>
  <c r="V387" i="1"/>
  <c r="U387" i="1"/>
  <c r="T387" i="1"/>
  <c r="S387" i="1"/>
  <c r="N387" i="1"/>
  <c r="M387" i="1"/>
  <c r="O387" i="1" s="1"/>
  <c r="L387" i="1"/>
  <c r="Q387" i="1" s="1"/>
  <c r="P387" i="1" s="1"/>
  <c r="V386" i="1"/>
  <c r="U386" i="1"/>
  <c r="T386" i="1"/>
  <c r="S386" i="1"/>
  <c r="N386" i="1"/>
  <c r="M386" i="1"/>
  <c r="L386" i="1"/>
  <c r="Q386" i="1" s="1"/>
  <c r="P386" i="1" s="1"/>
  <c r="V385" i="1"/>
  <c r="U385" i="1"/>
  <c r="T385" i="1"/>
  <c r="S385" i="1"/>
  <c r="N385" i="1"/>
  <c r="M385" i="1"/>
  <c r="L385" i="1"/>
  <c r="Q385" i="1" s="1"/>
  <c r="P385" i="1" s="1"/>
  <c r="V384" i="1"/>
  <c r="U384" i="1"/>
  <c r="T384" i="1"/>
  <c r="S384" i="1"/>
  <c r="N384" i="1"/>
  <c r="M384" i="1"/>
  <c r="L384" i="1"/>
  <c r="Q384" i="1" s="1"/>
  <c r="P384" i="1" s="1"/>
  <c r="V383" i="1"/>
  <c r="U383" i="1"/>
  <c r="T383" i="1"/>
  <c r="S383" i="1"/>
  <c r="N383" i="1"/>
  <c r="M383" i="1"/>
  <c r="L383" i="1"/>
  <c r="Q383" i="1" s="1"/>
  <c r="P383" i="1" s="1"/>
  <c r="V382" i="1"/>
  <c r="U382" i="1"/>
  <c r="T382" i="1"/>
  <c r="S382" i="1"/>
  <c r="N382" i="1"/>
  <c r="M382" i="1"/>
  <c r="L382" i="1"/>
  <c r="Q382" i="1" s="1"/>
  <c r="P382" i="1" s="1"/>
  <c r="V381" i="1"/>
  <c r="U381" i="1"/>
  <c r="T381" i="1"/>
  <c r="S381" i="1"/>
  <c r="N381" i="1"/>
  <c r="M381" i="1"/>
  <c r="L381" i="1"/>
  <c r="Q381" i="1" s="1"/>
  <c r="P381" i="1" s="1"/>
  <c r="V380" i="1"/>
  <c r="U380" i="1"/>
  <c r="T380" i="1"/>
  <c r="S380" i="1"/>
  <c r="Q380" i="1"/>
  <c r="P380" i="1" s="1"/>
  <c r="N380" i="1"/>
  <c r="M380" i="1"/>
  <c r="L380" i="1"/>
  <c r="V379" i="1"/>
  <c r="U379" i="1"/>
  <c r="T379" i="1"/>
  <c r="S379" i="1"/>
  <c r="N379" i="1"/>
  <c r="M379" i="1"/>
  <c r="L379" i="1"/>
  <c r="Q379" i="1" s="1"/>
  <c r="P379" i="1" s="1"/>
  <c r="V378" i="1"/>
  <c r="U378" i="1"/>
  <c r="T378" i="1"/>
  <c r="S378" i="1"/>
  <c r="N378" i="1"/>
  <c r="M378" i="1"/>
  <c r="L378" i="1"/>
  <c r="Q378" i="1" s="1"/>
  <c r="P378" i="1" s="1"/>
  <c r="V377" i="1"/>
  <c r="U377" i="1"/>
  <c r="T377" i="1"/>
  <c r="S377" i="1"/>
  <c r="N377" i="1"/>
  <c r="M377" i="1"/>
  <c r="O377" i="1" s="1"/>
  <c r="L377" i="1"/>
  <c r="Q377" i="1" s="1"/>
  <c r="P377" i="1" s="1"/>
  <c r="V376" i="1"/>
  <c r="U376" i="1"/>
  <c r="T376" i="1"/>
  <c r="S376" i="1"/>
  <c r="N376" i="1"/>
  <c r="M376" i="1"/>
  <c r="L376" i="1"/>
  <c r="Q376" i="1" s="1"/>
  <c r="P376" i="1" s="1"/>
  <c r="V375" i="1"/>
  <c r="U375" i="1"/>
  <c r="T375" i="1"/>
  <c r="S375" i="1"/>
  <c r="N375" i="1"/>
  <c r="M375" i="1"/>
  <c r="L375" i="1"/>
  <c r="Q375" i="1" s="1"/>
  <c r="P375" i="1" s="1"/>
  <c r="V374" i="1"/>
  <c r="U374" i="1"/>
  <c r="T374" i="1"/>
  <c r="S374" i="1"/>
  <c r="N374" i="1"/>
  <c r="M374" i="1"/>
  <c r="L374" i="1"/>
  <c r="Q374" i="1" s="1"/>
  <c r="P374" i="1" s="1"/>
  <c r="V373" i="1"/>
  <c r="U373" i="1"/>
  <c r="T373" i="1"/>
  <c r="S373" i="1"/>
  <c r="N373" i="1"/>
  <c r="M373" i="1"/>
  <c r="O373" i="1" s="1"/>
  <c r="L373" i="1"/>
  <c r="Q373" i="1" s="1"/>
  <c r="P373" i="1" s="1"/>
  <c r="V372" i="1"/>
  <c r="U372" i="1"/>
  <c r="T372" i="1"/>
  <c r="S372" i="1"/>
  <c r="N372" i="1"/>
  <c r="M372" i="1"/>
  <c r="L372" i="1"/>
  <c r="Q372" i="1" s="1"/>
  <c r="P372" i="1" s="1"/>
  <c r="V371" i="1"/>
  <c r="U371" i="1"/>
  <c r="T371" i="1"/>
  <c r="S371" i="1"/>
  <c r="N371" i="1"/>
  <c r="M371" i="1"/>
  <c r="L371" i="1"/>
  <c r="Q371" i="1" s="1"/>
  <c r="P371" i="1" s="1"/>
  <c r="V370" i="1"/>
  <c r="U370" i="1"/>
  <c r="T370" i="1"/>
  <c r="S370" i="1"/>
  <c r="N370" i="1"/>
  <c r="M370" i="1"/>
  <c r="L370" i="1"/>
  <c r="Q370" i="1" s="1"/>
  <c r="P370" i="1" s="1"/>
  <c r="V587" i="1"/>
  <c r="U587" i="1"/>
  <c r="T587" i="1"/>
  <c r="S587" i="1"/>
  <c r="N587" i="1"/>
  <c r="M587" i="1"/>
  <c r="L587" i="1"/>
  <c r="Q587" i="1" s="1"/>
  <c r="P587" i="1" s="1"/>
  <c r="V586" i="1"/>
  <c r="U586" i="1"/>
  <c r="T586" i="1"/>
  <c r="S586" i="1"/>
  <c r="N586" i="1"/>
  <c r="M586" i="1"/>
  <c r="L586" i="1"/>
  <c r="Q586" i="1" s="1"/>
  <c r="P586" i="1" s="1"/>
  <c r="V585" i="1"/>
  <c r="U585" i="1"/>
  <c r="T585" i="1"/>
  <c r="S585" i="1"/>
  <c r="N585" i="1"/>
  <c r="M585" i="1"/>
  <c r="L585" i="1"/>
  <c r="Q585" i="1" s="1"/>
  <c r="P585" i="1" s="1"/>
  <c r="V584" i="1"/>
  <c r="U584" i="1"/>
  <c r="T584" i="1"/>
  <c r="S584" i="1"/>
  <c r="N584" i="1"/>
  <c r="M584" i="1"/>
  <c r="L584" i="1"/>
  <c r="Q584" i="1" s="1"/>
  <c r="P584" i="1" s="1"/>
  <c r="V583" i="1"/>
  <c r="U583" i="1"/>
  <c r="T583" i="1"/>
  <c r="S583" i="1"/>
  <c r="N583" i="1"/>
  <c r="M583" i="1"/>
  <c r="L583" i="1"/>
  <c r="Q583" i="1" s="1"/>
  <c r="P583" i="1" s="1"/>
  <c r="V582" i="1"/>
  <c r="U582" i="1"/>
  <c r="T582" i="1"/>
  <c r="S582" i="1"/>
  <c r="N582" i="1"/>
  <c r="M582" i="1"/>
  <c r="L582" i="1"/>
  <c r="Q582" i="1" s="1"/>
  <c r="P582" i="1" s="1"/>
  <c r="V581" i="1"/>
  <c r="U581" i="1"/>
  <c r="T581" i="1"/>
  <c r="S581" i="1"/>
  <c r="N581" i="1"/>
  <c r="M581" i="1"/>
  <c r="O581" i="1" s="1"/>
  <c r="L581" i="1"/>
  <c r="Q581" i="1" s="1"/>
  <c r="P581" i="1" s="1"/>
  <c r="V580" i="1"/>
  <c r="U580" i="1"/>
  <c r="T580" i="1"/>
  <c r="S580" i="1"/>
  <c r="N580" i="1"/>
  <c r="M580" i="1"/>
  <c r="L580" i="1"/>
  <c r="Q580" i="1" s="1"/>
  <c r="P580" i="1" s="1"/>
  <c r="V579" i="1"/>
  <c r="U579" i="1"/>
  <c r="T579" i="1"/>
  <c r="S579" i="1"/>
  <c r="N579" i="1"/>
  <c r="M579" i="1"/>
  <c r="O579" i="1" s="1"/>
  <c r="L579" i="1"/>
  <c r="Q579" i="1" s="1"/>
  <c r="P579" i="1" s="1"/>
  <c r="V578" i="1"/>
  <c r="U578" i="1"/>
  <c r="T578" i="1"/>
  <c r="S578" i="1"/>
  <c r="N578" i="1"/>
  <c r="M578" i="1"/>
  <c r="L578" i="1"/>
  <c r="Q578" i="1" s="1"/>
  <c r="P578" i="1" s="1"/>
  <c r="V577" i="1"/>
  <c r="U577" i="1"/>
  <c r="T577" i="1"/>
  <c r="S577" i="1"/>
  <c r="N577" i="1"/>
  <c r="M577" i="1"/>
  <c r="L577" i="1"/>
  <c r="Q577" i="1" s="1"/>
  <c r="P577" i="1" s="1"/>
  <c r="V576" i="1"/>
  <c r="U576" i="1"/>
  <c r="T576" i="1"/>
  <c r="S576" i="1"/>
  <c r="N576" i="1"/>
  <c r="M576" i="1"/>
  <c r="L576" i="1"/>
  <c r="Q576" i="1" s="1"/>
  <c r="P576" i="1" s="1"/>
  <c r="V575" i="1"/>
  <c r="U575" i="1"/>
  <c r="T575" i="1"/>
  <c r="S575" i="1"/>
  <c r="N575" i="1"/>
  <c r="M575" i="1"/>
  <c r="L575" i="1"/>
  <c r="Q575" i="1" s="1"/>
  <c r="P575" i="1" s="1"/>
  <c r="V574" i="1"/>
  <c r="U574" i="1"/>
  <c r="T574" i="1"/>
  <c r="S574" i="1"/>
  <c r="N574" i="1"/>
  <c r="M574" i="1"/>
  <c r="L574" i="1"/>
  <c r="Q574" i="1" s="1"/>
  <c r="P574" i="1" s="1"/>
  <c r="V573" i="1"/>
  <c r="U573" i="1"/>
  <c r="T573" i="1"/>
  <c r="S573" i="1"/>
  <c r="N573" i="1"/>
  <c r="M573" i="1"/>
  <c r="L573" i="1"/>
  <c r="Q573" i="1" s="1"/>
  <c r="P573" i="1" s="1"/>
  <c r="V572" i="1"/>
  <c r="U572" i="1"/>
  <c r="T572" i="1"/>
  <c r="S572" i="1"/>
  <c r="N572" i="1"/>
  <c r="M572" i="1"/>
  <c r="L572" i="1"/>
  <c r="Q572" i="1" s="1"/>
  <c r="P572" i="1" s="1"/>
  <c r="V571" i="1"/>
  <c r="U571" i="1"/>
  <c r="T571" i="1"/>
  <c r="S571" i="1"/>
  <c r="N571" i="1"/>
  <c r="M571" i="1"/>
  <c r="L571" i="1"/>
  <c r="Q571" i="1" s="1"/>
  <c r="P571" i="1" s="1"/>
  <c r="V570" i="1"/>
  <c r="U570" i="1"/>
  <c r="T570" i="1"/>
  <c r="S570" i="1"/>
  <c r="N570" i="1"/>
  <c r="M570" i="1"/>
  <c r="L570" i="1"/>
  <c r="Q570" i="1" s="1"/>
  <c r="P570" i="1" s="1"/>
  <c r="V569" i="1"/>
  <c r="U569" i="1"/>
  <c r="T569" i="1"/>
  <c r="S569" i="1"/>
  <c r="N569" i="1"/>
  <c r="M569" i="1"/>
  <c r="O569" i="1" s="1"/>
  <c r="L569" i="1"/>
  <c r="Q569" i="1" s="1"/>
  <c r="P569" i="1" s="1"/>
  <c r="V568" i="1"/>
  <c r="U568" i="1"/>
  <c r="T568" i="1"/>
  <c r="S568" i="1"/>
  <c r="N568" i="1"/>
  <c r="M568" i="1"/>
  <c r="L568" i="1"/>
  <c r="Q568" i="1" s="1"/>
  <c r="P568" i="1" s="1"/>
  <c r="V567" i="1"/>
  <c r="U567" i="1"/>
  <c r="T567" i="1"/>
  <c r="S567" i="1"/>
  <c r="N567" i="1"/>
  <c r="M567" i="1"/>
  <c r="L567" i="1"/>
  <c r="Q567" i="1" s="1"/>
  <c r="P567" i="1" s="1"/>
  <c r="V566" i="1"/>
  <c r="U566" i="1"/>
  <c r="T566" i="1"/>
  <c r="S566" i="1"/>
  <c r="N566" i="1"/>
  <c r="O566" i="1" s="1"/>
  <c r="M566" i="1"/>
  <c r="L566" i="1"/>
  <c r="Q566" i="1" s="1"/>
  <c r="P566" i="1" s="1"/>
  <c r="V565" i="1"/>
  <c r="U565" i="1"/>
  <c r="T565" i="1"/>
  <c r="S565" i="1"/>
  <c r="N565" i="1"/>
  <c r="M565" i="1"/>
  <c r="O565" i="1" s="1"/>
  <c r="L565" i="1"/>
  <c r="Q565" i="1" s="1"/>
  <c r="P565" i="1" s="1"/>
  <c r="V564" i="1"/>
  <c r="U564" i="1"/>
  <c r="T564" i="1"/>
  <c r="S564" i="1"/>
  <c r="N564" i="1"/>
  <c r="M564" i="1"/>
  <c r="L564" i="1"/>
  <c r="Q564" i="1" s="1"/>
  <c r="P564" i="1" s="1"/>
  <c r="V563" i="1"/>
  <c r="U563" i="1"/>
  <c r="T563" i="1"/>
  <c r="S563" i="1"/>
  <c r="N563" i="1"/>
  <c r="M563" i="1"/>
  <c r="L563" i="1"/>
  <c r="Q563" i="1" s="1"/>
  <c r="P563" i="1" s="1"/>
  <c r="V562" i="1"/>
  <c r="U562" i="1"/>
  <c r="T562" i="1"/>
  <c r="S562" i="1"/>
  <c r="N562" i="1"/>
  <c r="M562" i="1"/>
  <c r="L562" i="1"/>
  <c r="Q562" i="1" s="1"/>
  <c r="P562" i="1" s="1"/>
  <c r="V561" i="1"/>
  <c r="U561" i="1"/>
  <c r="T561" i="1"/>
  <c r="S561" i="1"/>
  <c r="N561" i="1"/>
  <c r="M561" i="1"/>
  <c r="L561" i="1"/>
  <c r="Q561" i="1" s="1"/>
  <c r="P561" i="1" s="1"/>
  <c r="V560" i="1"/>
  <c r="U560" i="1"/>
  <c r="T560" i="1"/>
  <c r="S560" i="1"/>
  <c r="N560" i="1"/>
  <c r="M560" i="1"/>
  <c r="L560" i="1"/>
  <c r="Q560" i="1" s="1"/>
  <c r="P560" i="1" s="1"/>
  <c r="V559" i="1"/>
  <c r="U559" i="1"/>
  <c r="T559" i="1"/>
  <c r="S559" i="1"/>
  <c r="N559" i="1"/>
  <c r="M559" i="1"/>
  <c r="L559" i="1"/>
  <c r="Q559" i="1" s="1"/>
  <c r="P559" i="1" s="1"/>
  <c r="V558" i="1"/>
  <c r="U558" i="1"/>
  <c r="T558" i="1"/>
  <c r="S558" i="1"/>
  <c r="N558" i="1"/>
  <c r="M558" i="1"/>
  <c r="L558" i="1"/>
  <c r="Q558" i="1" s="1"/>
  <c r="P558" i="1" s="1"/>
  <c r="V557" i="1"/>
  <c r="U557" i="1"/>
  <c r="T557" i="1"/>
  <c r="S557" i="1"/>
  <c r="N557" i="1"/>
  <c r="M557" i="1"/>
  <c r="L557" i="1"/>
  <c r="Q557" i="1" s="1"/>
  <c r="P557" i="1" s="1"/>
  <c r="V556" i="1"/>
  <c r="U556" i="1"/>
  <c r="T556" i="1"/>
  <c r="S556" i="1"/>
  <c r="N556" i="1"/>
  <c r="M556" i="1"/>
  <c r="L556" i="1"/>
  <c r="Q556" i="1" s="1"/>
  <c r="P556" i="1" s="1"/>
  <c r="V555" i="1"/>
  <c r="U555" i="1"/>
  <c r="T555" i="1"/>
  <c r="S555" i="1"/>
  <c r="N555" i="1"/>
  <c r="O555" i="1" s="1"/>
  <c r="M555" i="1"/>
  <c r="L555" i="1"/>
  <c r="Q555" i="1" s="1"/>
  <c r="P555" i="1" s="1"/>
  <c r="V554" i="1"/>
  <c r="U554" i="1"/>
  <c r="T554" i="1"/>
  <c r="S554" i="1"/>
  <c r="N554" i="1"/>
  <c r="O554" i="1" s="1"/>
  <c r="M554" i="1"/>
  <c r="L554" i="1"/>
  <c r="Q554" i="1" s="1"/>
  <c r="P554" i="1" s="1"/>
  <c r="V553" i="1"/>
  <c r="U553" i="1"/>
  <c r="T553" i="1"/>
  <c r="S553" i="1"/>
  <c r="N553" i="1"/>
  <c r="M553" i="1"/>
  <c r="L553" i="1"/>
  <c r="Q553" i="1" s="1"/>
  <c r="P553" i="1" s="1"/>
  <c r="V552" i="1"/>
  <c r="U552" i="1"/>
  <c r="T552" i="1"/>
  <c r="S552" i="1"/>
  <c r="N552" i="1"/>
  <c r="M552" i="1"/>
  <c r="L552" i="1"/>
  <c r="Q552" i="1" s="1"/>
  <c r="P552" i="1" s="1"/>
  <c r="V551" i="1"/>
  <c r="U551" i="1"/>
  <c r="T551" i="1"/>
  <c r="S551" i="1"/>
  <c r="N551" i="1"/>
  <c r="O551" i="1" s="1"/>
  <c r="M551" i="1"/>
  <c r="L551" i="1"/>
  <c r="Q551" i="1" s="1"/>
  <c r="P551" i="1" s="1"/>
  <c r="V550" i="1"/>
  <c r="U550" i="1"/>
  <c r="T550" i="1"/>
  <c r="S550" i="1"/>
  <c r="N550" i="1"/>
  <c r="O550" i="1" s="1"/>
  <c r="M550" i="1"/>
  <c r="L550" i="1"/>
  <c r="Q550" i="1" s="1"/>
  <c r="P550" i="1" s="1"/>
  <c r="V549" i="1"/>
  <c r="U549" i="1"/>
  <c r="T549" i="1"/>
  <c r="S549" i="1"/>
  <c r="N549" i="1"/>
  <c r="M549" i="1"/>
  <c r="L549" i="1"/>
  <c r="Q549" i="1" s="1"/>
  <c r="P549" i="1" s="1"/>
  <c r="V548" i="1"/>
  <c r="U548" i="1"/>
  <c r="T548" i="1"/>
  <c r="S548" i="1"/>
  <c r="N548" i="1"/>
  <c r="M548" i="1"/>
  <c r="L548" i="1"/>
  <c r="Q548" i="1" s="1"/>
  <c r="P548" i="1" s="1"/>
  <c r="V547" i="1"/>
  <c r="U547" i="1"/>
  <c r="T547" i="1"/>
  <c r="S547" i="1"/>
  <c r="N547" i="1"/>
  <c r="M547" i="1"/>
  <c r="O547" i="1" s="1"/>
  <c r="L547" i="1"/>
  <c r="Q547" i="1" s="1"/>
  <c r="P547" i="1" s="1"/>
  <c r="V546" i="1"/>
  <c r="U546" i="1"/>
  <c r="T546" i="1"/>
  <c r="S546" i="1"/>
  <c r="Q546" i="1"/>
  <c r="P546" i="1" s="1"/>
  <c r="N546" i="1"/>
  <c r="M546" i="1"/>
  <c r="L546" i="1"/>
  <c r="V545" i="1"/>
  <c r="U545" i="1"/>
  <c r="T545" i="1"/>
  <c r="S545" i="1"/>
  <c r="P545" i="1"/>
  <c r="N545" i="1"/>
  <c r="M545" i="1"/>
  <c r="O545" i="1" s="1"/>
  <c r="L545" i="1"/>
  <c r="Q545" i="1" s="1"/>
  <c r="V544" i="1"/>
  <c r="U544" i="1"/>
  <c r="T544" i="1"/>
  <c r="S544" i="1"/>
  <c r="N544" i="1"/>
  <c r="M544" i="1"/>
  <c r="L544" i="1"/>
  <c r="Q544" i="1" s="1"/>
  <c r="P544" i="1" s="1"/>
  <c r="V543" i="1"/>
  <c r="U543" i="1"/>
  <c r="T543" i="1"/>
  <c r="S543" i="1"/>
  <c r="N543" i="1"/>
  <c r="M543" i="1"/>
  <c r="O543" i="1" s="1"/>
  <c r="L543" i="1"/>
  <c r="Q543" i="1" s="1"/>
  <c r="P543" i="1" s="1"/>
  <c r="V542" i="1"/>
  <c r="U542" i="1"/>
  <c r="T542" i="1"/>
  <c r="S542" i="1"/>
  <c r="N542" i="1"/>
  <c r="M542" i="1"/>
  <c r="L542" i="1"/>
  <c r="Q542" i="1" s="1"/>
  <c r="P542" i="1" s="1"/>
  <c r="V541" i="1"/>
  <c r="U541" i="1"/>
  <c r="T541" i="1"/>
  <c r="S541" i="1"/>
  <c r="N541" i="1"/>
  <c r="M541" i="1"/>
  <c r="L541" i="1"/>
  <c r="Q541" i="1" s="1"/>
  <c r="P541" i="1" s="1"/>
  <c r="V1241" i="1"/>
  <c r="U1241" i="1"/>
  <c r="T1241" i="1"/>
  <c r="S1241" i="1"/>
  <c r="N1241" i="1"/>
  <c r="M1241" i="1"/>
  <c r="L1241" i="1"/>
  <c r="Q1241" i="1" s="1"/>
  <c r="P1241" i="1" s="1"/>
  <c r="V1240" i="1"/>
  <c r="U1240" i="1"/>
  <c r="T1240" i="1"/>
  <c r="S1240" i="1"/>
  <c r="N1240" i="1"/>
  <c r="M1240" i="1"/>
  <c r="L1240" i="1"/>
  <c r="Q1240" i="1" s="1"/>
  <c r="P1240" i="1" s="1"/>
  <c r="V1239" i="1"/>
  <c r="U1239" i="1"/>
  <c r="T1239" i="1"/>
  <c r="S1239" i="1"/>
  <c r="N1239" i="1"/>
  <c r="M1239" i="1"/>
  <c r="L1239" i="1"/>
  <c r="Q1239" i="1" s="1"/>
  <c r="P1239" i="1" s="1"/>
  <c r="V1238" i="1"/>
  <c r="U1238" i="1"/>
  <c r="T1238" i="1"/>
  <c r="S1238" i="1"/>
  <c r="N1238" i="1"/>
  <c r="M1238" i="1"/>
  <c r="O1238" i="1" s="1"/>
  <c r="L1238" i="1"/>
  <c r="Q1238" i="1" s="1"/>
  <c r="P1238" i="1" s="1"/>
  <c r="V1237" i="1"/>
  <c r="U1237" i="1"/>
  <c r="T1237" i="1"/>
  <c r="S1237" i="1"/>
  <c r="N1237" i="1"/>
  <c r="M1237" i="1"/>
  <c r="L1237" i="1"/>
  <c r="Q1237" i="1" s="1"/>
  <c r="P1237" i="1" s="1"/>
  <c r="V1236" i="1"/>
  <c r="U1236" i="1"/>
  <c r="T1236" i="1"/>
  <c r="S1236" i="1"/>
  <c r="N1236" i="1"/>
  <c r="M1236" i="1"/>
  <c r="O1236" i="1" s="1"/>
  <c r="L1236" i="1"/>
  <c r="Q1236" i="1" s="1"/>
  <c r="P1236" i="1" s="1"/>
  <c r="V1235" i="1"/>
  <c r="U1235" i="1"/>
  <c r="T1235" i="1"/>
  <c r="S1235" i="1"/>
  <c r="N1235" i="1"/>
  <c r="O1235" i="1" s="1"/>
  <c r="M1235" i="1"/>
  <c r="L1235" i="1"/>
  <c r="Q1235" i="1" s="1"/>
  <c r="P1235" i="1" s="1"/>
  <c r="V1234" i="1"/>
  <c r="U1234" i="1"/>
  <c r="T1234" i="1"/>
  <c r="S1234" i="1"/>
  <c r="N1234" i="1"/>
  <c r="M1234" i="1"/>
  <c r="L1234" i="1"/>
  <c r="Q1234" i="1" s="1"/>
  <c r="P1234" i="1" s="1"/>
  <c r="V1233" i="1"/>
  <c r="U1233" i="1"/>
  <c r="T1233" i="1"/>
  <c r="S1233" i="1"/>
  <c r="N1233" i="1"/>
  <c r="M1233" i="1"/>
  <c r="L1233" i="1"/>
  <c r="Q1233" i="1" s="1"/>
  <c r="P1233" i="1" s="1"/>
  <c r="V1232" i="1"/>
  <c r="U1232" i="1"/>
  <c r="T1232" i="1"/>
  <c r="S1232" i="1"/>
  <c r="O1232" i="1"/>
  <c r="N1232" i="1"/>
  <c r="M1232" i="1"/>
  <c r="L1232" i="1"/>
  <c r="Q1232" i="1" s="1"/>
  <c r="P1232" i="1" s="1"/>
  <c r="V1231" i="1"/>
  <c r="U1231" i="1"/>
  <c r="T1231" i="1"/>
  <c r="S1231" i="1"/>
  <c r="N1231" i="1"/>
  <c r="O1231" i="1" s="1"/>
  <c r="M1231" i="1"/>
  <c r="L1231" i="1"/>
  <c r="Q1231" i="1" s="1"/>
  <c r="P1231" i="1" s="1"/>
  <c r="V1230" i="1"/>
  <c r="U1230" i="1"/>
  <c r="T1230" i="1"/>
  <c r="S1230" i="1"/>
  <c r="N1230" i="1"/>
  <c r="M1230" i="1"/>
  <c r="L1230" i="1"/>
  <c r="Q1230" i="1" s="1"/>
  <c r="P1230" i="1" s="1"/>
  <c r="V1229" i="1"/>
  <c r="U1229" i="1"/>
  <c r="T1229" i="1"/>
  <c r="S1229" i="1"/>
  <c r="N1229" i="1"/>
  <c r="M1229" i="1"/>
  <c r="L1229" i="1"/>
  <c r="Q1229" i="1" s="1"/>
  <c r="P1229" i="1" s="1"/>
  <c r="V1228" i="1"/>
  <c r="U1228" i="1"/>
  <c r="T1228" i="1"/>
  <c r="S1228" i="1"/>
  <c r="N1228" i="1"/>
  <c r="M1228" i="1"/>
  <c r="L1228" i="1"/>
  <c r="Q1228" i="1" s="1"/>
  <c r="P1228" i="1" s="1"/>
  <c r="V1227" i="1"/>
  <c r="U1227" i="1"/>
  <c r="T1227" i="1"/>
  <c r="S1227" i="1"/>
  <c r="N1227" i="1"/>
  <c r="M1227" i="1"/>
  <c r="L1227" i="1"/>
  <c r="Q1227" i="1" s="1"/>
  <c r="P1227" i="1" s="1"/>
  <c r="V1226" i="1"/>
  <c r="U1226" i="1"/>
  <c r="T1226" i="1"/>
  <c r="S1226" i="1"/>
  <c r="N1226" i="1"/>
  <c r="M1226" i="1"/>
  <c r="O1226" i="1" s="1"/>
  <c r="L1226" i="1"/>
  <c r="Q1226" i="1" s="1"/>
  <c r="P1226" i="1" s="1"/>
  <c r="V1225" i="1"/>
  <c r="U1225" i="1"/>
  <c r="T1225" i="1"/>
  <c r="S1225" i="1"/>
  <c r="N1225" i="1"/>
  <c r="M1225" i="1"/>
  <c r="L1225" i="1"/>
  <c r="Q1225" i="1" s="1"/>
  <c r="P1225" i="1" s="1"/>
  <c r="V1224" i="1"/>
  <c r="U1224" i="1"/>
  <c r="T1224" i="1"/>
  <c r="S1224" i="1"/>
  <c r="N1224" i="1"/>
  <c r="M1224" i="1"/>
  <c r="O1224" i="1" s="1"/>
  <c r="L1224" i="1"/>
  <c r="Q1224" i="1" s="1"/>
  <c r="P1224" i="1" s="1"/>
  <c r="V1223" i="1"/>
  <c r="U1223" i="1"/>
  <c r="T1223" i="1"/>
  <c r="S1223" i="1"/>
  <c r="N1223" i="1"/>
  <c r="O1223" i="1" s="1"/>
  <c r="M1223" i="1"/>
  <c r="L1223" i="1"/>
  <c r="Q1223" i="1" s="1"/>
  <c r="P1223" i="1" s="1"/>
  <c r="V1222" i="1"/>
  <c r="U1222" i="1"/>
  <c r="T1222" i="1"/>
  <c r="S1222" i="1"/>
  <c r="N1222" i="1"/>
  <c r="M1222" i="1"/>
  <c r="L1222" i="1"/>
  <c r="Q1222" i="1" s="1"/>
  <c r="P1222" i="1" s="1"/>
  <c r="V1221" i="1"/>
  <c r="U1221" i="1"/>
  <c r="T1221" i="1"/>
  <c r="S1221" i="1"/>
  <c r="N1221" i="1"/>
  <c r="M1221" i="1"/>
  <c r="L1221" i="1"/>
  <c r="Q1221" i="1" s="1"/>
  <c r="P1221" i="1" s="1"/>
  <c r="V1220" i="1"/>
  <c r="U1220" i="1"/>
  <c r="T1220" i="1"/>
  <c r="S1220" i="1"/>
  <c r="N1220" i="1"/>
  <c r="M1220" i="1"/>
  <c r="L1220" i="1"/>
  <c r="Q1220" i="1" s="1"/>
  <c r="P1220" i="1" s="1"/>
  <c r="V1315" i="1"/>
  <c r="U1315" i="1"/>
  <c r="T1315" i="1"/>
  <c r="S1315" i="1"/>
  <c r="N1315" i="1"/>
  <c r="M1315" i="1"/>
  <c r="L1315" i="1"/>
  <c r="Q1315" i="1" s="1"/>
  <c r="P1315" i="1" s="1"/>
  <c r="V1314" i="1"/>
  <c r="U1314" i="1"/>
  <c r="T1314" i="1"/>
  <c r="S1314" i="1"/>
  <c r="N1314" i="1"/>
  <c r="M1314" i="1"/>
  <c r="L1314" i="1"/>
  <c r="Q1314" i="1" s="1"/>
  <c r="P1314" i="1" s="1"/>
  <c r="V1313" i="1"/>
  <c r="U1313" i="1"/>
  <c r="T1313" i="1"/>
  <c r="S1313" i="1"/>
  <c r="N1313" i="1"/>
  <c r="M1313" i="1"/>
  <c r="L1313" i="1"/>
  <c r="Q1313" i="1" s="1"/>
  <c r="P1313" i="1" s="1"/>
  <c r="V1312" i="1"/>
  <c r="U1312" i="1"/>
  <c r="T1312" i="1"/>
  <c r="S1312" i="1"/>
  <c r="N1312" i="1"/>
  <c r="M1312" i="1"/>
  <c r="O1312" i="1" s="1"/>
  <c r="L1312" i="1"/>
  <c r="Q1312" i="1" s="1"/>
  <c r="P1312" i="1" s="1"/>
  <c r="V1311" i="1"/>
  <c r="U1311" i="1"/>
  <c r="T1311" i="1"/>
  <c r="S1311" i="1"/>
  <c r="N1311" i="1"/>
  <c r="O1311" i="1" s="1"/>
  <c r="M1311" i="1"/>
  <c r="L1311" i="1"/>
  <c r="Q1311" i="1" s="1"/>
  <c r="P1311" i="1" s="1"/>
  <c r="V1310" i="1"/>
  <c r="U1310" i="1"/>
  <c r="T1310" i="1"/>
  <c r="S1310" i="1"/>
  <c r="N1310" i="1"/>
  <c r="M1310" i="1"/>
  <c r="L1310" i="1"/>
  <c r="Q1310" i="1" s="1"/>
  <c r="P1310" i="1" s="1"/>
  <c r="V1309" i="1"/>
  <c r="U1309" i="1"/>
  <c r="T1309" i="1"/>
  <c r="S1309" i="1"/>
  <c r="N1309" i="1"/>
  <c r="M1309" i="1"/>
  <c r="L1309" i="1"/>
  <c r="Q1309" i="1" s="1"/>
  <c r="P1309" i="1" s="1"/>
  <c r="V1308" i="1"/>
  <c r="U1308" i="1"/>
  <c r="T1308" i="1"/>
  <c r="S1308" i="1"/>
  <c r="N1308" i="1"/>
  <c r="M1308" i="1"/>
  <c r="L1308" i="1"/>
  <c r="Q1308" i="1" s="1"/>
  <c r="P1308" i="1" s="1"/>
  <c r="V1307" i="1"/>
  <c r="U1307" i="1"/>
  <c r="T1307" i="1"/>
  <c r="S1307" i="1"/>
  <c r="Q1307" i="1"/>
  <c r="P1307" i="1" s="1"/>
  <c r="N1307" i="1"/>
  <c r="M1307" i="1"/>
  <c r="L1307" i="1"/>
  <c r="V1306" i="1"/>
  <c r="U1306" i="1"/>
  <c r="T1306" i="1"/>
  <c r="S1306" i="1"/>
  <c r="N1306" i="1"/>
  <c r="M1306" i="1"/>
  <c r="L1306" i="1"/>
  <c r="Q1306" i="1" s="1"/>
  <c r="P1306" i="1" s="1"/>
  <c r="V1305" i="1"/>
  <c r="U1305" i="1"/>
  <c r="T1305" i="1"/>
  <c r="S1305" i="1"/>
  <c r="N1305" i="1"/>
  <c r="M1305" i="1"/>
  <c r="L1305" i="1"/>
  <c r="Q1305" i="1" s="1"/>
  <c r="P1305" i="1" s="1"/>
  <c r="V1304" i="1"/>
  <c r="U1304" i="1"/>
  <c r="T1304" i="1"/>
  <c r="S1304" i="1"/>
  <c r="N1304" i="1"/>
  <c r="M1304" i="1"/>
  <c r="O1304" i="1" s="1"/>
  <c r="L1304" i="1"/>
  <c r="Q1304" i="1" s="1"/>
  <c r="P1304" i="1" s="1"/>
  <c r="V1303" i="1"/>
  <c r="U1303" i="1"/>
  <c r="T1303" i="1"/>
  <c r="S1303" i="1"/>
  <c r="N1303" i="1"/>
  <c r="M1303" i="1"/>
  <c r="O1303" i="1" s="1"/>
  <c r="L1303" i="1"/>
  <c r="Q1303" i="1" s="1"/>
  <c r="P1303" i="1" s="1"/>
  <c r="V1302" i="1"/>
  <c r="U1302" i="1"/>
  <c r="T1302" i="1"/>
  <c r="S1302" i="1"/>
  <c r="N1302" i="1"/>
  <c r="M1302" i="1"/>
  <c r="L1302" i="1"/>
  <c r="Q1302" i="1" s="1"/>
  <c r="P1302" i="1" s="1"/>
  <c r="V1301" i="1"/>
  <c r="U1301" i="1"/>
  <c r="T1301" i="1"/>
  <c r="S1301" i="1"/>
  <c r="N1301" i="1"/>
  <c r="M1301" i="1"/>
  <c r="L1301" i="1"/>
  <c r="Q1301" i="1" s="1"/>
  <c r="P1301" i="1" s="1"/>
  <c r="V1300" i="1"/>
  <c r="U1300" i="1"/>
  <c r="T1300" i="1"/>
  <c r="S1300" i="1"/>
  <c r="N1300" i="1"/>
  <c r="M1300" i="1"/>
  <c r="L1300" i="1"/>
  <c r="Q1300" i="1" s="1"/>
  <c r="P1300" i="1" s="1"/>
  <c r="V1299" i="1"/>
  <c r="U1299" i="1"/>
  <c r="T1299" i="1"/>
  <c r="S1299" i="1"/>
  <c r="N1299" i="1"/>
  <c r="M1299" i="1"/>
  <c r="L1299" i="1"/>
  <c r="Q1299" i="1" s="1"/>
  <c r="P1299" i="1" s="1"/>
  <c r="V1298" i="1"/>
  <c r="U1298" i="1"/>
  <c r="T1298" i="1"/>
  <c r="S1298" i="1"/>
  <c r="N1298" i="1"/>
  <c r="M1298" i="1"/>
  <c r="L1298" i="1"/>
  <c r="Q1298" i="1" s="1"/>
  <c r="P1298" i="1" s="1"/>
  <c r="V1297" i="1"/>
  <c r="U1297" i="1"/>
  <c r="T1297" i="1"/>
  <c r="S1297" i="1"/>
  <c r="N1297" i="1"/>
  <c r="M1297" i="1"/>
  <c r="L1297" i="1"/>
  <c r="Q1297" i="1" s="1"/>
  <c r="P1297" i="1" s="1"/>
  <c r="V1296" i="1"/>
  <c r="U1296" i="1"/>
  <c r="T1296" i="1"/>
  <c r="S1296" i="1"/>
  <c r="N1296" i="1"/>
  <c r="M1296" i="1"/>
  <c r="O1296" i="1" s="1"/>
  <c r="L1296" i="1"/>
  <c r="Q1296" i="1" s="1"/>
  <c r="P1296" i="1" s="1"/>
  <c r="V1295" i="1"/>
  <c r="U1295" i="1"/>
  <c r="T1295" i="1"/>
  <c r="S1295" i="1"/>
  <c r="N1295" i="1"/>
  <c r="M1295" i="1"/>
  <c r="O1295" i="1" s="1"/>
  <c r="L1295" i="1"/>
  <c r="Q1295" i="1" s="1"/>
  <c r="P1295" i="1" s="1"/>
  <c r="V1294" i="1"/>
  <c r="U1294" i="1"/>
  <c r="T1294" i="1"/>
  <c r="S1294" i="1"/>
  <c r="N1294" i="1"/>
  <c r="M1294" i="1"/>
  <c r="L1294" i="1"/>
  <c r="Q1294" i="1" s="1"/>
  <c r="P1294" i="1" s="1"/>
  <c r="V1293" i="1"/>
  <c r="U1293" i="1"/>
  <c r="T1293" i="1"/>
  <c r="S1293" i="1"/>
  <c r="N1293" i="1"/>
  <c r="M1293" i="1"/>
  <c r="O1293" i="1" s="1"/>
  <c r="L1293" i="1"/>
  <c r="Q1293" i="1" s="1"/>
  <c r="P1293" i="1" s="1"/>
  <c r="V1292" i="1"/>
  <c r="U1292" i="1"/>
  <c r="T1292" i="1"/>
  <c r="S1292" i="1"/>
  <c r="N1292" i="1"/>
  <c r="M1292" i="1"/>
  <c r="L1292" i="1"/>
  <c r="Q1292" i="1" s="1"/>
  <c r="P1292" i="1" s="1"/>
  <c r="V1291" i="1"/>
  <c r="U1291" i="1"/>
  <c r="T1291" i="1"/>
  <c r="S1291" i="1"/>
  <c r="N1291" i="1"/>
  <c r="O1291" i="1" s="1"/>
  <c r="M1291" i="1"/>
  <c r="L1291" i="1"/>
  <c r="Q1291" i="1" s="1"/>
  <c r="P1291" i="1" s="1"/>
  <c r="V1290" i="1"/>
  <c r="U1290" i="1"/>
  <c r="T1290" i="1"/>
  <c r="S1290" i="1"/>
  <c r="N1290" i="1"/>
  <c r="M1290" i="1"/>
  <c r="L1290" i="1"/>
  <c r="Q1290" i="1" s="1"/>
  <c r="P1290" i="1" s="1"/>
  <c r="V1289" i="1"/>
  <c r="U1289" i="1"/>
  <c r="T1289" i="1"/>
  <c r="S1289" i="1"/>
  <c r="N1289" i="1"/>
  <c r="M1289" i="1"/>
  <c r="L1289" i="1"/>
  <c r="Q1289" i="1" s="1"/>
  <c r="P1289" i="1" s="1"/>
  <c r="V1288" i="1"/>
  <c r="U1288" i="1"/>
  <c r="T1288" i="1"/>
  <c r="S1288" i="1"/>
  <c r="N1288" i="1"/>
  <c r="M1288" i="1"/>
  <c r="L1288" i="1"/>
  <c r="Q1288" i="1" s="1"/>
  <c r="P1288" i="1" s="1"/>
  <c r="V1287" i="1"/>
  <c r="U1287" i="1"/>
  <c r="T1287" i="1"/>
  <c r="S1287" i="1"/>
  <c r="N1287" i="1"/>
  <c r="M1287" i="1"/>
  <c r="L1287" i="1"/>
  <c r="Q1287" i="1" s="1"/>
  <c r="P1287" i="1" s="1"/>
  <c r="V1286" i="1"/>
  <c r="U1286" i="1"/>
  <c r="T1286" i="1"/>
  <c r="S1286" i="1"/>
  <c r="N1286" i="1"/>
  <c r="M1286" i="1"/>
  <c r="L1286" i="1"/>
  <c r="Q1286" i="1" s="1"/>
  <c r="P1286" i="1" s="1"/>
  <c r="V1285" i="1"/>
  <c r="U1285" i="1"/>
  <c r="T1285" i="1"/>
  <c r="S1285" i="1"/>
  <c r="N1285" i="1"/>
  <c r="M1285" i="1"/>
  <c r="L1285" i="1"/>
  <c r="Q1285" i="1" s="1"/>
  <c r="P1285" i="1" s="1"/>
  <c r="V1284" i="1"/>
  <c r="U1284" i="1"/>
  <c r="T1284" i="1"/>
  <c r="S1284" i="1"/>
  <c r="N1284" i="1"/>
  <c r="M1284" i="1"/>
  <c r="L1284" i="1"/>
  <c r="Q1284" i="1" s="1"/>
  <c r="P1284" i="1" s="1"/>
  <c r="V1283" i="1"/>
  <c r="U1283" i="1"/>
  <c r="T1283" i="1"/>
  <c r="S1283" i="1"/>
  <c r="N1283" i="1"/>
  <c r="O1283" i="1" s="1"/>
  <c r="M1283" i="1"/>
  <c r="L1283" i="1"/>
  <c r="Q1283" i="1" s="1"/>
  <c r="P1283" i="1" s="1"/>
  <c r="V1282" i="1"/>
  <c r="U1282" i="1"/>
  <c r="T1282" i="1"/>
  <c r="S1282" i="1"/>
  <c r="N1282" i="1"/>
  <c r="M1282" i="1"/>
  <c r="O1282" i="1" s="1"/>
  <c r="L1282" i="1"/>
  <c r="Q1282" i="1" s="1"/>
  <c r="P1282" i="1" s="1"/>
  <c r="V1281" i="1"/>
  <c r="U1281" i="1"/>
  <c r="T1281" i="1"/>
  <c r="S1281" i="1"/>
  <c r="N1281" i="1"/>
  <c r="M1281" i="1"/>
  <c r="L1281" i="1"/>
  <c r="Q1281" i="1" s="1"/>
  <c r="P1281" i="1" s="1"/>
  <c r="V1280" i="1"/>
  <c r="U1280" i="1"/>
  <c r="T1280" i="1"/>
  <c r="S1280" i="1"/>
  <c r="N1280" i="1"/>
  <c r="O1280" i="1" s="1"/>
  <c r="M1280" i="1"/>
  <c r="L1280" i="1"/>
  <c r="Q1280" i="1" s="1"/>
  <c r="P1280" i="1" s="1"/>
  <c r="V1279" i="1"/>
  <c r="U1279" i="1"/>
  <c r="T1279" i="1"/>
  <c r="S1279" i="1"/>
  <c r="Q1279" i="1"/>
  <c r="P1279" i="1" s="1"/>
  <c r="N1279" i="1"/>
  <c r="M1279" i="1"/>
  <c r="L1279" i="1"/>
  <c r="V1278" i="1"/>
  <c r="U1278" i="1"/>
  <c r="T1278" i="1"/>
  <c r="S1278" i="1"/>
  <c r="O1278" i="1"/>
  <c r="N1278" i="1"/>
  <c r="M1278" i="1"/>
  <c r="L1278" i="1"/>
  <c r="Q1278" i="1" s="1"/>
  <c r="P1278" i="1" s="1"/>
  <c r="V1277" i="1"/>
  <c r="U1277" i="1"/>
  <c r="T1277" i="1"/>
  <c r="S1277" i="1"/>
  <c r="N1277" i="1"/>
  <c r="M1277" i="1"/>
  <c r="O1277" i="1" s="1"/>
  <c r="L1277" i="1"/>
  <c r="Q1277" i="1" s="1"/>
  <c r="P1277" i="1" s="1"/>
  <c r="V1276" i="1"/>
  <c r="U1276" i="1"/>
  <c r="T1276" i="1"/>
  <c r="S1276" i="1"/>
  <c r="O1276" i="1"/>
  <c r="N1276" i="1"/>
  <c r="M1276" i="1"/>
  <c r="L1276" i="1"/>
  <c r="Q1276" i="1" s="1"/>
  <c r="P1276" i="1" s="1"/>
  <c r="V1275" i="1"/>
  <c r="U1275" i="1"/>
  <c r="T1275" i="1"/>
  <c r="S1275" i="1"/>
  <c r="N1275" i="1"/>
  <c r="M1275" i="1"/>
  <c r="O1275" i="1" s="1"/>
  <c r="L1275" i="1"/>
  <c r="Q1275" i="1" s="1"/>
  <c r="P1275" i="1" s="1"/>
  <c r="V1274" i="1"/>
  <c r="U1274" i="1"/>
  <c r="T1274" i="1"/>
  <c r="S1274" i="1"/>
  <c r="N1274" i="1"/>
  <c r="M1274" i="1"/>
  <c r="L1274" i="1"/>
  <c r="Q1274" i="1" s="1"/>
  <c r="P1274" i="1" s="1"/>
  <c r="V1273" i="1"/>
  <c r="U1273" i="1"/>
  <c r="T1273" i="1"/>
  <c r="S1273" i="1"/>
  <c r="N1273" i="1"/>
  <c r="M1273" i="1"/>
  <c r="L1273" i="1"/>
  <c r="Q1273" i="1" s="1"/>
  <c r="P1273" i="1" s="1"/>
  <c r="V1272" i="1"/>
  <c r="U1272" i="1"/>
  <c r="T1272" i="1"/>
  <c r="S1272" i="1"/>
  <c r="N1272" i="1"/>
  <c r="O1272" i="1" s="1"/>
  <c r="M1272" i="1"/>
  <c r="L1272" i="1"/>
  <c r="Q1272" i="1" s="1"/>
  <c r="P1272" i="1" s="1"/>
  <c r="V1271" i="1"/>
  <c r="U1271" i="1"/>
  <c r="T1271" i="1"/>
  <c r="S1271" i="1"/>
  <c r="Q1271" i="1"/>
  <c r="P1271" i="1" s="1"/>
  <c r="N1271" i="1"/>
  <c r="M1271" i="1"/>
  <c r="L1271" i="1"/>
  <c r="V1270" i="1"/>
  <c r="U1270" i="1"/>
  <c r="T1270" i="1"/>
  <c r="S1270" i="1"/>
  <c r="N1270" i="1"/>
  <c r="M1270" i="1"/>
  <c r="L1270" i="1"/>
  <c r="Q1270" i="1" s="1"/>
  <c r="P1270" i="1" s="1"/>
  <c r="V1269" i="1"/>
  <c r="U1269" i="1"/>
  <c r="T1269" i="1"/>
  <c r="S1269" i="1"/>
  <c r="N1269" i="1"/>
  <c r="M1269" i="1"/>
  <c r="L1269" i="1"/>
  <c r="Q1269" i="1" s="1"/>
  <c r="P1269" i="1" s="1"/>
  <c r="V1268" i="1"/>
  <c r="U1268" i="1"/>
  <c r="T1268" i="1"/>
  <c r="S1268" i="1"/>
  <c r="N1268" i="1"/>
  <c r="M1268" i="1"/>
  <c r="L1268" i="1"/>
  <c r="Q1268" i="1" s="1"/>
  <c r="P1268" i="1" s="1"/>
  <c r="V1267" i="1"/>
  <c r="U1267" i="1"/>
  <c r="T1267" i="1"/>
  <c r="S1267" i="1"/>
  <c r="N1267" i="1"/>
  <c r="M1267" i="1"/>
  <c r="L1267" i="1"/>
  <c r="Q1267" i="1" s="1"/>
  <c r="P1267" i="1" s="1"/>
  <c r="V1266" i="1"/>
  <c r="U1266" i="1"/>
  <c r="T1266" i="1"/>
  <c r="S1266" i="1"/>
  <c r="N1266" i="1"/>
  <c r="M1266" i="1"/>
  <c r="L1266" i="1"/>
  <c r="Q1266" i="1" s="1"/>
  <c r="P1266" i="1" s="1"/>
  <c r="V1265" i="1"/>
  <c r="U1265" i="1"/>
  <c r="T1265" i="1"/>
  <c r="S1265" i="1"/>
  <c r="N1265" i="1"/>
  <c r="M1265" i="1"/>
  <c r="L1265" i="1"/>
  <c r="Q1265" i="1" s="1"/>
  <c r="P1265" i="1" s="1"/>
  <c r="V1264" i="1"/>
  <c r="U1264" i="1"/>
  <c r="T1264" i="1"/>
  <c r="S1264" i="1"/>
  <c r="N1264" i="1"/>
  <c r="O1264" i="1" s="1"/>
  <c r="M1264" i="1"/>
  <c r="L1264" i="1"/>
  <c r="Q1264" i="1" s="1"/>
  <c r="P1264" i="1" s="1"/>
  <c r="V1263" i="1"/>
  <c r="U1263" i="1"/>
  <c r="T1263" i="1"/>
  <c r="S1263" i="1"/>
  <c r="N1263" i="1"/>
  <c r="M1263" i="1"/>
  <c r="L1263" i="1"/>
  <c r="Q1263" i="1" s="1"/>
  <c r="P1263" i="1" s="1"/>
  <c r="V1262" i="1"/>
  <c r="U1262" i="1"/>
  <c r="T1262" i="1"/>
  <c r="S1262" i="1"/>
  <c r="N1262" i="1"/>
  <c r="O1262" i="1" s="1"/>
  <c r="M1262" i="1"/>
  <c r="L1262" i="1"/>
  <c r="Q1262" i="1" s="1"/>
  <c r="P1262" i="1" s="1"/>
  <c r="V1261" i="1"/>
  <c r="U1261" i="1"/>
  <c r="T1261" i="1"/>
  <c r="S1261" i="1"/>
  <c r="N1261" i="1"/>
  <c r="M1261" i="1"/>
  <c r="L1261" i="1"/>
  <c r="Q1261" i="1" s="1"/>
  <c r="P1261" i="1" s="1"/>
  <c r="V1260" i="1"/>
  <c r="U1260" i="1"/>
  <c r="T1260" i="1"/>
  <c r="S1260" i="1"/>
  <c r="N1260" i="1"/>
  <c r="O1260" i="1" s="1"/>
  <c r="M1260" i="1"/>
  <c r="L1260" i="1"/>
  <c r="Q1260" i="1" s="1"/>
  <c r="P1260" i="1" s="1"/>
  <c r="V1259" i="1"/>
  <c r="U1259" i="1"/>
  <c r="T1259" i="1"/>
  <c r="S1259" i="1"/>
  <c r="N1259" i="1"/>
  <c r="M1259" i="1"/>
  <c r="L1259" i="1"/>
  <c r="Q1259" i="1" s="1"/>
  <c r="P1259" i="1" s="1"/>
  <c r="V1258" i="1"/>
  <c r="U1258" i="1"/>
  <c r="T1258" i="1"/>
  <c r="S1258" i="1"/>
  <c r="N1258" i="1"/>
  <c r="M1258" i="1"/>
  <c r="O1258" i="1" s="1"/>
  <c r="L1258" i="1"/>
  <c r="Q1258" i="1" s="1"/>
  <c r="P1258" i="1" s="1"/>
  <c r="V1257" i="1"/>
  <c r="U1257" i="1"/>
  <c r="T1257" i="1"/>
  <c r="S1257" i="1"/>
  <c r="N1257" i="1"/>
  <c r="M1257" i="1"/>
  <c r="L1257" i="1"/>
  <c r="Q1257" i="1" s="1"/>
  <c r="P1257" i="1" s="1"/>
  <c r="V1256" i="1"/>
  <c r="U1256" i="1"/>
  <c r="T1256" i="1"/>
  <c r="S1256" i="1"/>
  <c r="N1256" i="1"/>
  <c r="M1256" i="1"/>
  <c r="L1256" i="1"/>
  <c r="Q1256" i="1" s="1"/>
  <c r="P1256" i="1" s="1"/>
  <c r="V1255" i="1"/>
  <c r="U1255" i="1"/>
  <c r="T1255" i="1"/>
  <c r="S1255" i="1"/>
  <c r="N1255" i="1"/>
  <c r="M1255" i="1"/>
  <c r="L1255" i="1"/>
  <c r="Q1255" i="1" s="1"/>
  <c r="P1255" i="1" s="1"/>
  <c r="V1254" i="1"/>
  <c r="U1254" i="1"/>
  <c r="T1254" i="1"/>
  <c r="S1254" i="1"/>
  <c r="N1254" i="1"/>
  <c r="M1254" i="1"/>
  <c r="O1254" i="1" s="1"/>
  <c r="L1254" i="1"/>
  <c r="Q1254" i="1" s="1"/>
  <c r="P1254" i="1" s="1"/>
  <c r="V1253" i="1"/>
  <c r="U1253" i="1"/>
  <c r="T1253" i="1"/>
  <c r="S1253" i="1"/>
  <c r="N1253" i="1"/>
  <c r="M1253" i="1"/>
  <c r="L1253" i="1"/>
  <c r="Q1253" i="1" s="1"/>
  <c r="P1253" i="1" s="1"/>
  <c r="V1252" i="1"/>
  <c r="U1252" i="1"/>
  <c r="T1252" i="1"/>
  <c r="S1252" i="1"/>
  <c r="N1252" i="1"/>
  <c r="M1252" i="1"/>
  <c r="L1252" i="1"/>
  <c r="Q1252" i="1" s="1"/>
  <c r="P1252" i="1" s="1"/>
  <c r="V1251" i="1"/>
  <c r="U1251" i="1"/>
  <c r="T1251" i="1"/>
  <c r="S1251" i="1"/>
  <c r="N1251" i="1"/>
  <c r="M1251" i="1"/>
  <c r="L1251" i="1"/>
  <c r="Q1251" i="1" s="1"/>
  <c r="P1251" i="1" s="1"/>
  <c r="V1516" i="1"/>
  <c r="U1516" i="1"/>
  <c r="T1516" i="1"/>
  <c r="S1516" i="1"/>
  <c r="N1516" i="1"/>
  <c r="M1516" i="1"/>
  <c r="O1516" i="1" s="1"/>
  <c r="L1516" i="1"/>
  <c r="Q1516" i="1" s="1"/>
  <c r="P1516" i="1" s="1"/>
  <c r="V1515" i="1"/>
  <c r="U1515" i="1"/>
  <c r="T1515" i="1"/>
  <c r="S1515" i="1"/>
  <c r="N1515" i="1"/>
  <c r="M1515" i="1"/>
  <c r="O1515" i="1" s="1"/>
  <c r="L1515" i="1"/>
  <c r="Q1515" i="1" s="1"/>
  <c r="P1515" i="1" s="1"/>
  <c r="V1514" i="1"/>
  <c r="U1514" i="1"/>
  <c r="T1514" i="1"/>
  <c r="S1514" i="1"/>
  <c r="N1514" i="1"/>
  <c r="O1514" i="1" s="1"/>
  <c r="M1514" i="1"/>
  <c r="L1514" i="1"/>
  <c r="Q1514" i="1" s="1"/>
  <c r="P1514" i="1" s="1"/>
  <c r="V1513" i="1"/>
  <c r="U1513" i="1"/>
  <c r="T1513" i="1"/>
  <c r="S1513" i="1"/>
  <c r="Q1513" i="1"/>
  <c r="P1513" i="1" s="1"/>
  <c r="N1513" i="1"/>
  <c r="M1513" i="1"/>
  <c r="O1513" i="1" s="1"/>
  <c r="L1513" i="1"/>
  <c r="V1512" i="1"/>
  <c r="U1512" i="1"/>
  <c r="T1512" i="1"/>
  <c r="S1512" i="1"/>
  <c r="O1512" i="1"/>
  <c r="N1512" i="1"/>
  <c r="M1512" i="1"/>
  <c r="L1512" i="1"/>
  <c r="Q1512" i="1" s="1"/>
  <c r="P1512" i="1" s="1"/>
  <c r="V1511" i="1"/>
  <c r="U1511" i="1"/>
  <c r="T1511" i="1"/>
  <c r="S1511" i="1"/>
  <c r="N1511" i="1"/>
  <c r="M1511" i="1"/>
  <c r="L1511" i="1"/>
  <c r="Q1511" i="1" s="1"/>
  <c r="P1511" i="1" s="1"/>
  <c r="V1510" i="1"/>
  <c r="U1510" i="1"/>
  <c r="T1510" i="1"/>
  <c r="S1510" i="1"/>
  <c r="N1510" i="1"/>
  <c r="M1510" i="1"/>
  <c r="L1510" i="1"/>
  <c r="Q1510" i="1" s="1"/>
  <c r="P1510" i="1" s="1"/>
  <c r="V1509" i="1"/>
  <c r="U1509" i="1"/>
  <c r="T1509" i="1"/>
  <c r="S1509" i="1"/>
  <c r="Q1509" i="1"/>
  <c r="P1509" i="1"/>
  <c r="N1509" i="1"/>
  <c r="M1509" i="1"/>
  <c r="L1509" i="1"/>
  <c r="V1508" i="1"/>
  <c r="U1508" i="1"/>
  <c r="T1508" i="1"/>
  <c r="S1508" i="1"/>
  <c r="N1508" i="1"/>
  <c r="O1508" i="1" s="1"/>
  <c r="M1508" i="1"/>
  <c r="L1508" i="1"/>
  <c r="Q1508" i="1" s="1"/>
  <c r="P1508" i="1" s="1"/>
  <c r="V1507" i="1"/>
  <c r="U1507" i="1"/>
  <c r="T1507" i="1"/>
  <c r="S1507" i="1"/>
  <c r="N1507" i="1"/>
  <c r="M1507" i="1"/>
  <c r="O1507" i="1" s="1"/>
  <c r="L1507" i="1"/>
  <c r="Q1507" i="1" s="1"/>
  <c r="P1507" i="1" s="1"/>
  <c r="V1506" i="1"/>
  <c r="U1506" i="1"/>
  <c r="T1506" i="1"/>
  <c r="S1506" i="1"/>
  <c r="N1506" i="1"/>
  <c r="M1506" i="1"/>
  <c r="L1506" i="1"/>
  <c r="Q1506" i="1" s="1"/>
  <c r="P1506" i="1" s="1"/>
  <c r="V1505" i="1"/>
  <c r="U1505" i="1"/>
  <c r="T1505" i="1"/>
  <c r="S1505" i="1"/>
  <c r="N1505" i="1"/>
  <c r="M1505" i="1"/>
  <c r="O1505" i="1" s="1"/>
  <c r="L1505" i="1"/>
  <c r="Q1505" i="1" s="1"/>
  <c r="P1505" i="1" s="1"/>
  <c r="V1504" i="1"/>
  <c r="U1504" i="1"/>
  <c r="T1504" i="1"/>
  <c r="S1504" i="1"/>
  <c r="N1504" i="1"/>
  <c r="M1504" i="1"/>
  <c r="L1504" i="1"/>
  <c r="Q1504" i="1" s="1"/>
  <c r="P1504" i="1" s="1"/>
  <c r="V1503" i="1"/>
  <c r="U1503" i="1"/>
  <c r="T1503" i="1"/>
  <c r="S1503" i="1"/>
  <c r="N1503" i="1"/>
  <c r="M1503" i="1"/>
  <c r="O1503" i="1" s="1"/>
  <c r="L1503" i="1"/>
  <c r="Q1503" i="1" s="1"/>
  <c r="P1503" i="1" s="1"/>
  <c r="V1502" i="1"/>
  <c r="U1502" i="1"/>
  <c r="T1502" i="1"/>
  <c r="S1502" i="1"/>
  <c r="N1502" i="1"/>
  <c r="M1502" i="1"/>
  <c r="L1502" i="1"/>
  <c r="Q1502" i="1" s="1"/>
  <c r="P1502" i="1" s="1"/>
  <c r="V1501" i="1"/>
  <c r="U1501" i="1"/>
  <c r="T1501" i="1"/>
  <c r="S1501" i="1"/>
  <c r="N1501" i="1"/>
  <c r="M1501" i="1"/>
  <c r="L1501" i="1"/>
  <c r="Q1501" i="1" s="1"/>
  <c r="P1501" i="1" s="1"/>
  <c r="V1500" i="1"/>
  <c r="U1500" i="1"/>
  <c r="T1500" i="1"/>
  <c r="S1500" i="1"/>
  <c r="N1500" i="1"/>
  <c r="M1500" i="1"/>
  <c r="L1500" i="1"/>
  <c r="Q1500" i="1" s="1"/>
  <c r="P1500" i="1" s="1"/>
  <c r="V1499" i="1"/>
  <c r="U1499" i="1"/>
  <c r="T1499" i="1"/>
  <c r="S1499" i="1"/>
  <c r="N1499" i="1"/>
  <c r="M1499" i="1"/>
  <c r="L1499" i="1"/>
  <c r="Q1499" i="1" s="1"/>
  <c r="P1499" i="1" s="1"/>
  <c r="V1498" i="1"/>
  <c r="U1498" i="1"/>
  <c r="T1498" i="1"/>
  <c r="S1498" i="1"/>
  <c r="N1498" i="1"/>
  <c r="M1498" i="1"/>
  <c r="L1498" i="1"/>
  <c r="Q1498" i="1" s="1"/>
  <c r="P1498" i="1" s="1"/>
  <c r="V1497" i="1"/>
  <c r="U1497" i="1"/>
  <c r="T1497" i="1"/>
  <c r="S1497" i="1"/>
  <c r="N1497" i="1"/>
  <c r="M1497" i="1"/>
  <c r="O1497" i="1" s="1"/>
  <c r="L1497" i="1"/>
  <c r="Q1497" i="1" s="1"/>
  <c r="P1497" i="1" s="1"/>
  <c r="V1496" i="1"/>
  <c r="U1496" i="1"/>
  <c r="T1496" i="1"/>
  <c r="S1496" i="1"/>
  <c r="N1496" i="1"/>
  <c r="M1496" i="1"/>
  <c r="L1496" i="1"/>
  <c r="Q1496" i="1" s="1"/>
  <c r="P1496" i="1" s="1"/>
  <c r="V1495" i="1"/>
  <c r="U1495" i="1"/>
  <c r="T1495" i="1"/>
  <c r="S1495" i="1"/>
  <c r="N1495" i="1"/>
  <c r="M1495" i="1"/>
  <c r="O1495" i="1" s="1"/>
  <c r="L1495" i="1"/>
  <c r="Q1495" i="1" s="1"/>
  <c r="P1495" i="1" s="1"/>
  <c r="V1494" i="1"/>
  <c r="U1494" i="1"/>
  <c r="T1494" i="1"/>
  <c r="S1494" i="1"/>
  <c r="N1494" i="1"/>
  <c r="M1494" i="1"/>
  <c r="L1494" i="1"/>
  <c r="Q1494" i="1" s="1"/>
  <c r="P1494" i="1" s="1"/>
  <c r="V1493" i="1"/>
  <c r="U1493" i="1"/>
  <c r="T1493" i="1"/>
  <c r="S1493" i="1"/>
  <c r="N1493" i="1"/>
  <c r="M1493" i="1"/>
  <c r="O1493" i="1" s="1"/>
  <c r="L1493" i="1"/>
  <c r="Q1493" i="1" s="1"/>
  <c r="P1493" i="1" s="1"/>
  <c r="V1492" i="1"/>
  <c r="U1492" i="1"/>
  <c r="T1492" i="1"/>
  <c r="S1492" i="1"/>
  <c r="N1492" i="1"/>
  <c r="M1492" i="1"/>
  <c r="L1492" i="1"/>
  <c r="Q1492" i="1" s="1"/>
  <c r="P1492" i="1" s="1"/>
  <c r="V1491" i="1"/>
  <c r="U1491" i="1"/>
  <c r="T1491" i="1"/>
  <c r="S1491" i="1"/>
  <c r="N1491" i="1"/>
  <c r="M1491" i="1"/>
  <c r="L1491" i="1"/>
  <c r="Q1491" i="1" s="1"/>
  <c r="P1491" i="1" s="1"/>
  <c r="V1490" i="1"/>
  <c r="U1490" i="1"/>
  <c r="T1490" i="1"/>
  <c r="S1490" i="1"/>
  <c r="N1490" i="1"/>
  <c r="M1490" i="1"/>
  <c r="L1490" i="1"/>
  <c r="Q1490" i="1" s="1"/>
  <c r="P1490" i="1" s="1"/>
  <c r="V1489" i="1"/>
  <c r="U1489" i="1"/>
  <c r="T1489" i="1"/>
  <c r="S1489" i="1"/>
  <c r="N1489" i="1"/>
  <c r="M1489" i="1"/>
  <c r="O1489" i="1" s="1"/>
  <c r="L1489" i="1"/>
  <c r="Q1489" i="1" s="1"/>
  <c r="P1489" i="1" s="1"/>
  <c r="V1488" i="1"/>
  <c r="U1488" i="1"/>
  <c r="T1488" i="1"/>
  <c r="S1488" i="1"/>
  <c r="N1488" i="1"/>
  <c r="M1488" i="1"/>
  <c r="L1488" i="1"/>
  <c r="Q1488" i="1" s="1"/>
  <c r="P1488" i="1" s="1"/>
  <c r="V1487" i="1"/>
  <c r="U1487" i="1"/>
  <c r="T1487" i="1"/>
  <c r="S1487" i="1"/>
  <c r="N1487" i="1"/>
  <c r="M1487" i="1"/>
  <c r="O1487" i="1" s="1"/>
  <c r="L1487" i="1"/>
  <c r="Q1487" i="1" s="1"/>
  <c r="P1487" i="1" s="1"/>
  <c r="V1486" i="1"/>
  <c r="U1486" i="1"/>
  <c r="T1486" i="1"/>
  <c r="S1486" i="1"/>
  <c r="N1486" i="1"/>
  <c r="M1486" i="1"/>
  <c r="L1486" i="1"/>
  <c r="Q1486" i="1" s="1"/>
  <c r="P1486" i="1" s="1"/>
  <c r="V1485" i="1"/>
  <c r="U1485" i="1"/>
  <c r="T1485" i="1"/>
  <c r="S1485" i="1"/>
  <c r="N1485" i="1"/>
  <c r="M1485" i="1"/>
  <c r="O1485" i="1" s="1"/>
  <c r="L1485" i="1"/>
  <c r="Q1485" i="1" s="1"/>
  <c r="P1485" i="1" s="1"/>
  <c r="V1484" i="1"/>
  <c r="U1484" i="1"/>
  <c r="T1484" i="1"/>
  <c r="S1484" i="1"/>
  <c r="N1484" i="1"/>
  <c r="M1484" i="1"/>
  <c r="O1484" i="1" s="1"/>
  <c r="L1484" i="1"/>
  <c r="Q1484" i="1" s="1"/>
  <c r="P1484" i="1" s="1"/>
  <c r="V1483" i="1"/>
  <c r="U1483" i="1"/>
  <c r="T1483" i="1"/>
  <c r="S1483" i="1"/>
  <c r="N1483" i="1"/>
  <c r="M1483" i="1"/>
  <c r="L1483" i="1"/>
  <c r="Q1483" i="1" s="1"/>
  <c r="P1483" i="1" s="1"/>
  <c r="V1482" i="1"/>
  <c r="U1482" i="1"/>
  <c r="T1482" i="1"/>
  <c r="S1482" i="1"/>
  <c r="N1482" i="1"/>
  <c r="M1482" i="1"/>
  <c r="L1482" i="1"/>
  <c r="Q1482" i="1" s="1"/>
  <c r="P1482" i="1" s="1"/>
  <c r="V1481" i="1"/>
  <c r="U1481" i="1"/>
  <c r="T1481" i="1"/>
  <c r="S1481" i="1"/>
  <c r="N1481" i="1"/>
  <c r="M1481" i="1"/>
  <c r="L1481" i="1"/>
  <c r="Q1481" i="1" s="1"/>
  <c r="P1481" i="1" s="1"/>
  <c r="V1480" i="1"/>
  <c r="U1480" i="1"/>
  <c r="T1480" i="1"/>
  <c r="S1480" i="1"/>
  <c r="N1480" i="1"/>
  <c r="M1480" i="1"/>
  <c r="O1480" i="1" s="1"/>
  <c r="L1480" i="1"/>
  <c r="Q1480" i="1" s="1"/>
  <c r="P1480" i="1" s="1"/>
  <c r="V1479" i="1"/>
  <c r="U1479" i="1"/>
  <c r="T1479" i="1"/>
  <c r="S1479" i="1"/>
  <c r="N1479" i="1"/>
  <c r="M1479" i="1"/>
  <c r="L1479" i="1"/>
  <c r="Q1479" i="1" s="1"/>
  <c r="P1479" i="1" s="1"/>
  <c r="V1478" i="1"/>
  <c r="U1478" i="1"/>
  <c r="T1478" i="1"/>
  <c r="S1478" i="1"/>
  <c r="N1478" i="1"/>
  <c r="O1478" i="1" s="1"/>
  <c r="M1478" i="1"/>
  <c r="L1478" i="1"/>
  <c r="Q1478" i="1" s="1"/>
  <c r="P1478" i="1" s="1"/>
  <c r="V1477" i="1"/>
  <c r="U1477" i="1"/>
  <c r="T1477" i="1"/>
  <c r="S1477" i="1"/>
  <c r="N1477" i="1"/>
  <c r="M1477" i="1"/>
  <c r="O1477" i="1" s="1"/>
  <c r="L1477" i="1"/>
  <c r="Q1477" i="1" s="1"/>
  <c r="P1477" i="1" s="1"/>
  <c r="V1476" i="1"/>
  <c r="U1476" i="1"/>
  <c r="T1476" i="1"/>
  <c r="S1476" i="1"/>
  <c r="N1476" i="1"/>
  <c r="M1476" i="1"/>
  <c r="O1476" i="1" s="1"/>
  <c r="L1476" i="1"/>
  <c r="Q1476" i="1" s="1"/>
  <c r="P1476" i="1" s="1"/>
  <c r="V1475" i="1"/>
  <c r="U1475" i="1"/>
  <c r="T1475" i="1"/>
  <c r="S1475" i="1"/>
  <c r="N1475" i="1"/>
  <c r="M1475" i="1"/>
  <c r="L1475" i="1"/>
  <c r="Q1475" i="1" s="1"/>
  <c r="P1475" i="1" s="1"/>
  <c r="V1474" i="1"/>
  <c r="U1474" i="1"/>
  <c r="T1474" i="1"/>
  <c r="S1474" i="1"/>
  <c r="N1474" i="1"/>
  <c r="M1474" i="1"/>
  <c r="O1474" i="1" s="1"/>
  <c r="L1474" i="1"/>
  <c r="Q1474" i="1" s="1"/>
  <c r="P1474" i="1" s="1"/>
  <c r="V1473" i="1"/>
  <c r="U1473" i="1"/>
  <c r="T1473" i="1"/>
  <c r="S1473" i="1"/>
  <c r="N1473" i="1"/>
  <c r="M1473" i="1"/>
  <c r="L1473" i="1"/>
  <c r="Q1473" i="1" s="1"/>
  <c r="P1473" i="1" s="1"/>
  <c r="V1472" i="1"/>
  <c r="U1472" i="1"/>
  <c r="T1472" i="1"/>
  <c r="S1472" i="1"/>
  <c r="O1472" i="1"/>
  <c r="N1472" i="1"/>
  <c r="M1472" i="1"/>
  <c r="L1472" i="1"/>
  <c r="Q1472" i="1" s="1"/>
  <c r="P1472" i="1" s="1"/>
  <c r="V1629" i="1"/>
  <c r="U1629" i="1"/>
  <c r="T1629" i="1"/>
  <c r="S1629" i="1"/>
  <c r="N1629" i="1"/>
  <c r="M1629" i="1"/>
  <c r="L1629" i="1"/>
  <c r="Q1629" i="1" s="1"/>
  <c r="P1629" i="1" s="1"/>
  <c r="V1628" i="1"/>
  <c r="U1628" i="1"/>
  <c r="T1628" i="1"/>
  <c r="S1628" i="1"/>
  <c r="N1628" i="1"/>
  <c r="M1628" i="1"/>
  <c r="L1628" i="1"/>
  <c r="Q1628" i="1" s="1"/>
  <c r="P1628" i="1" s="1"/>
  <c r="V1627" i="1"/>
  <c r="U1627" i="1"/>
  <c r="T1627" i="1"/>
  <c r="S1627" i="1"/>
  <c r="N1627" i="1"/>
  <c r="M1627" i="1"/>
  <c r="O1627" i="1" s="1"/>
  <c r="L1627" i="1"/>
  <c r="Q1627" i="1" s="1"/>
  <c r="P1627" i="1" s="1"/>
  <c r="V1626" i="1"/>
  <c r="U1626" i="1"/>
  <c r="T1626" i="1"/>
  <c r="S1626" i="1"/>
  <c r="N1626" i="1"/>
  <c r="M1626" i="1"/>
  <c r="L1626" i="1"/>
  <c r="Q1626" i="1" s="1"/>
  <c r="P1626" i="1" s="1"/>
  <c r="V1625" i="1"/>
  <c r="U1625" i="1"/>
  <c r="T1625" i="1"/>
  <c r="S1625" i="1"/>
  <c r="N1625" i="1"/>
  <c r="M1625" i="1"/>
  <c r="L1625" i="1"/>
  <c r="Q1625" i="1" s="1"/>
  <c r="P1625" i="1" s="1"/>
  <c r="V1624" i="1"/>
  <c r="U1624" i="1"/>
  <c r="T1624" i="1"/>
  <c r="S1624" i="1"/>
  <c r="N1624" i="1"/>
  <c r="M1624" i="1"/>
  <c r="O1624" i="1" s="1"/>
  <c r="L1624" i="1"/>
  <c r="Q1624" i="1" s="1"/>
  <c r="P1624" i="1" s="1"/>
  <c r="V1623" i="1"/>
  <c r="U1623" i="1"/>
  <c r="T1623" i="1"/>
  <c r="S1623" i="1"/>
  <c r="N1623" i="1"/>
  <c r="M1623" i="1"/>
  <c r="L1623" i="1"/>
  <c r="Q1623" i="1" s="1"/>
  <c r="P1623" i="1" s="1"/>
  <c r="V1622" i="1"/>
  <c r="U1622" i="1"/>
  <c r="T1622" i="1"/>
  <c r="S1622" i="1"/>
  <c r="N1622" i="1"/>
  <c r="M1622" i="1"/>
  <c r="O1622" i="1" s="1"/>
  <c r="L1622" i="1"/>
  <c r="Q1622" i="1" s="1"/>
  <c r="P1622" i="1" s="1"/>
  <c r="V1621" i="1"/>
  <c r="U1621" i="1"/>
  <c r="T1621" i="1"/>
  <c r="S1621" i="1"/>
  <c r="N1621" i="1"/>
  <c r="M1621" i="1"/>
  <c r="L1621" i="1"/>
  <c r="Q1621" i="1" s="1"/>
  <c r="P1621" i="1" s="1"/>
  <c r="V1620" i="1"/>
  <c r="U1620" i="1"/>
  <c r="T1620" i="1"/>
  <c r="S1620" i="1"/>
  <c r="N1620" i="1"/>
  <c r="M1620" i="1"/>
  <c r="L1620" i="1"/>
  <c r="Q1620" i="1" s="1"/>
  <c r="P1620" i="1" s="1"/>
  <c r="V1619" i="1"/>
  <c r="U1619" i="1"/>
  <c r="T1619" i="1"/>
  <c r="S1619" i="1"/>
  <c r="N1619" i="1"/>
  <c r="M1619" i="1"/>
  <c r="L1619" i="1"/>
  <c r="Q1619" i="1" s="1"/>
  <c r="P1619" i="1" s="1"/>
  <c r="V1618" i="1"/>
  <c r="U1618" i="1"/>
  <c r="T1618" i="1"/>
  <c r="S1618" i="1"/>
  <c r="N1618" i="1"/>
  <c r="M1618" i="1"/>
  <c r="L1618" i="1"/>
  <c r="Q1618" i="1" s="1"/>
  <c r="P1618" i="1" s="1"/>
  <c r="V1617" i="1"/>
  <c r="U1617" i="1"/>
  <c r="T1617" i="1"/>
  <c r="S1617" i="1"/>
  <c r="N1617" i="1"/>
  <c r="M1617" i="1"/>
  <c r="L1617" i="1"/>
  <c r="Q1617" i="1" s="1"/>
  <c r="P1617" i="1" s="1"/>
  <c r="V1616" i="1"/>
  <c r="U1616" i="1"/>
  <c r="T1616" i="1"/>
  <c r="S1616" i="1"/>
  <c r="N1616" i="1"/>
  <c r="M1616" i="1"/>
  <c r="L1616" i="1"/>
  <c r="Q1616" i="1" s="1"/>
  <c r="P1616" i="1" s="1"/>
  <c r="V1615" i="1"/>
  <c r="U1615" i="1"/>
  <c r="T1615" i="1"/>
  <c r="S1615" i="1"/>
  <c r="N1615" i="1"/>
  <c r="M1615" i="1"/>
  <c r="O1615" i="1" s="1"/>
  <c r="L1615" i="1"/>
  <c r="Q1615" i="1" s="1"/>
  <c r="P1615" i="1" s="1"/>
  <c r="V1614" i="1"/>
  <c r="U1614" i="1"/>
  <c r="T1614" i="1"/>
  <c r="S1614" i="1"/>
  <c r="N1614" i="1"/>
  <c r="M1614" i="1"/>
  <c r="L1614" i="1"/>
  <c r="Q1614" i="1" s="1"/>
  <c r="P1614" i="1" s="1"/>
  <c r="V1613" i="1"/>
  <c r="U1613" i="1"/>
  <c r="T1613" i="1"/>
  <c r="S1613" i="1"/>
  <c r="N1613" i="1"/>
  <c r="M1613" i="1"/>
  <c r="L1613" i="1"/>
  <c r="Q1613" i="1" s="1"/>
  <c r="P1613" i="1" s="1"/>
  <c r="V1612" i="1"/>
  <c r="U1612" i="1"/>
  <c r="T1612" i="1"/>
  <c r="S1612" i="1"/>
  <c r="N1612" i="1"/>
  <c r="M1612" i="1"/>
  <c r="O1612" i="1" s="1"/>
  <c r="L1612" i="1"/>
  <c r="Q1612" i="1" s="1"/>
  <c r="P1612" i="1" s="1"/>
  <c r="V1611" i="1"/>
  <c r="U1611" i="1"/>
  <c r="T1611" i="1"/>
  <c r="S1611" i="1"/>
  <c r="N1611" i="1"/>
  <c r="M1611" i="1"/>
  <c r="L1611" i="1"/>
  <c r="Q1611" i="1" s="1"/>
  <c r="P1611" i="1" s="1"/>
  <c r="V1610" i="1"/>
  <c r="U1610" i="1"/>
  <c r="T1610" i="1"/>
  <c r="S1610" i="1"/>
  <c r="N1610" i="1"/>
  <c r="M1610" i="1"/>
  <c r="L1610" i="1"/>
  <c r="Q1610" i="1" s="1"/>
  <c r="P1610" i="1" s="1"/>
  <c r="V1609" i="1"/>
  <c r="U1609" i="1"/>
  <c r="T1609" i="1"/>
  <c r="S1609" i="1"/>
  <c r="N1609" i="1"/>
  <c r="M1609" i="1"/>
  <c r="L1609" i="1"/>
  <c r="Q1609" i="1" s="1"/>
  <c r="P1609" i="1" s="1"/>
  <c r="V1608" i="1"/>
  <c r="U1608" i="1"/>
  <c r="T1608" i="1"/>
  <c r="S1608" i="1"/>
  <c r="N1608" i="1"/>
  <c r="M1608" i="1"/>
  <c r="O1608" i="1" s="1"/>
  <c r="L1608" i="1"/>
  <c r="Q1608" i="1" s="1"/>
  <c r="P1608" i="1" s="1"/>
  <c r="V1607" i="1"/>
  <c r="U1607" i="1"/>
  <c r="T1607" i="1"/>
  <c r="S1607" i="1"/>
  <c r="N1607" i="1"/>
  <c r="M1607" i="1"/>
  <c r="O1607" i="1" s="1"/>
  <c r="L1607" i="1"/>
  <c r="Q1607" i="1" s="1"/>
  <c r="P1607" i="1" s="1"/>
  <c r="V1606" i="1"/>
  <c r="U1606" i="1"/>
  <c r="T1606" i="1"/>
  <c r="S1606" i="1"/>
  <c r="N1606" i="1"/>
  <c r="M1606" i="1"/>
  <c r="O1606" i="1" s="1"/>
  <c r="L1606" i="1"/>
  <c r="Q1606" i="1" s="1"/>
  <c r="P1606" i="1" s="1"/>
  <c r="V1605" i="1"/>
  <c r="U1605" i="1"/>
  <c r="T1605" i="1"/>
  <c r="S1605" i="1"/>
  <c r="N1605" i="1"/>
  <c r="M1605" i="1"/>
  <c r="L1605" i="1"/>
  <c r="Q1605" i="1" s="1"/>
  <c r="P1605" i="1" s="1"/>
  <c r="V1604" i="1"/>
  <c r="U1604" i="1"/>
  <c r="T1604" i="1"/>
  <c r="S1604" i="1"/>
  <c r="N1604" i="1"/>
  <c r="M1604" i="1"/>
  <c r="L1604" i="1"/>
  <c r="Q1604" i="1" s="1"/>
  <c r="P1604" i="1" s="1"/>
  <c r="V1603" i="1"/>
  <c r="U1603" i="1"/>
  <c r="T1603" i="1"/>
  <c r="S1603" i="1"/>
  <c r="N1603" i="1"/>
  <c r="M1603" i="1"/>
  <c r="O1603" i="1" s="1"/>
  <c r="L1603" i="1"/>
  <c r="Q1603" i="1" s="1"/>
  <c r="P1603" i="1" s="1"/>
  <c r="V1602" i="1"/>
  <c r="U1602" i="1"/>
  <c r="T1602" i="1"/>
  <c r="S1602" i="1"/>
  <c r="N1602" i="1"/>
  <c r="M1602" i="1"/>
  <c r="L1602" i="1"/>
  <c r="Q1602" i="1" s="1"/>
  <c r="P1602" i="1" s="1"/>
  <c r="V1601" i="1"/>
  <c r="U1601" i="1"/>
  <c r="T1601" i="1"/>
  <c r="S1601" i="1"/>
  <c r="N1601" i="1"/>
  <c r="M1601" i="1"/>
  <c r="L1601" i="1"/>
  <c r="Q1601" i="1" s="1"/>
  <c r="P1601" i="1" s="1"/>
  <c r="V1600" i="1"/>
  <c r="U1600" i="1"/>
  <c r="T1600" i="1"/>
  <c r="S1600" i="1"/>
  <c r="N1600" i="1"/>
  <c r="M1600" i="1"/>
  <c r="O1600" i="1" s="1"/>
  <c r="L1600" i="1"/>
  <c r="Q1600" i="1" s="1"/>
  <c r="P1600" i="1" s="1"/>
  <c r="V1599" i="1"/>
  <c r="U1599" i="1"/>
  <c r="T1599" i="1"/>
  <c r="S1599" i="1"/>
  <c r="N1599" i="1"/>
  <c r="M1599" i="1"/>
  <c r="O1599" i="1" s="1"/>
  <c r="L1599" i="1"/>
  <c r="Q1599" i="1" s="1"/>
  <c r="P1599" i="1" s="1"/>
  <c r="V1598" i="1"/>
  <c r="U1598" i="1"/>
  <c r="T1598" i="1"/>
  <c r="S1598" i="1"/>
  <c r="N1598" i="1"/>
  <c r="M1598" i="1"/>
  <c r="O1598" i="1" s="1"/>
  <c r="L1598" i="1"/>
  <c r="Q1598" i="1" s="1"/>
  <c r="P1598" i="1" s="1"/>
  <c r="V1597" i="1"/>
  <c r="U1597" i="1"/>
  <c r="T1597" i="1"/>
  <c r="S1597" i="1"/>
  <c r="N1597" i="1"/>
  <c r="M1597" i="1"/>
  <c r="O1597" i="1" s="1"/>
  <c r="L1597" i="1"/>
  <c r="Q1597" i="1" s="1"/>
  <c r="P1597" i="1" s="1"/>
  <c r="V1596" i="1"/>
  <c r="U1596" i="1"/>
  <c r="T1596" i="1"/>
  <c r="S1596" i="1"/>
  <c r="N1596" i="1"/>
  <c r="M1596" i="1"/>
  <c r="O1596" i="1" s="1"/>
  <c r="L1596" i="1"/>
  <c r="Q1596" i="1" s="1"/>
  <c r="P1596" i="1" s="1"/>
  <c r="V1595" i="1"/>
  <c r="U1595" i="1"/>
  <c r="T1595" i="1"/>
  <c r="S1595" i="1"/>
  <c r="Q1595" i="1"/>
  <c r="P1595" i="1" s="1"/>
  <c r="N1595" i="1"/>
  <c r="M1595" i="1"/>
  <c r="L1595" i="1"/>
  <c r="V1594" i="1"/>
  <c r="U1594" i="1"/>
  <c r="T1594" i="1"/>
  <c r="S1594" i="1"/>
  <c r="N1594" i="1"/>
  <c r="M1594" i="1"/>
  <c r="L1594" i="1"/>
  <c r="Q1594" i="1" s="1"/>
  <c r="P1594" i="1" s="1"/>
  <c r="V1593" i="1"/>
  <c r="U1593" i="1"/>
  <c r="T1593" i="1"/>
  <c r="S1593" i="1"/>
  <c r="N1593" i="1"/>
  <c r="M1593" i="1"/>
  <c r="L1593" i="1"/>
  <c r="Q1593" i="1" s="1"/>
  <c r="P1593" i="1" s="1"/>
  <c r="V1592" i="1"/>
  <c r="U1592" i="1"/>
  <c r="T1592" i="1"/>
  <c r="S1592" i="1"/>
  <c r="N1592" i="1"/>
  <c r="M1592" i="1"/>
  <c r="O1592" i="1" s="1"/>
  <c r="L1592" i="1"/>
  <c r="Q1592" i="1" s="1"/>
  <c r="P1592" i="1" s="1"/>
  <c r="V1591" i="1"/>
  <c r="U1591" i="1"/>
  <c r="T1591" i="1"/>
  <c r="S1591" i="1"/>
  <c r="N1591" i="1"/>
  <c r="M1591" i="1"/>
  <c r="O1591" i="1" s="1"/>
  <c r="L1591" i="1"/>
  <c r="Q1591" i="1" s="1"/>
  <c r="P1591" i="1" s="1"/>
  <c r="V1590" i="1"/>
  <c r="U1590" i="1"/>
  <c r="T1590" i="1"/>
  <c r="S1590" i="1"/>
  <c r="N1590" i="1"/>
  <c r="M1590" i="1"/>
  <c r="L1590" i="1"/>
  <c r="Q1590" i="1" s="1"/>
  <c r="P1590" i="1" s="1"/>
  <c r="V1589" i="1"/>
  <c r="U1589" i="1"/>
  <c r="T1589" i="1"/>
  <c r="S1589" i="1"/>
  <c r="N1589" i="1"/>
  <c r="M1589" i="1"/>
  <c r="L1589" i="1"/>
  <c r="Q1589" i="1" s="1"/>
  <c r="P1589" i="1" s="1"/>
  <c r="V1588" i="1"/>
  <c r="U1588" i="1"/>
  <c r="T1588" i="1"/>
  <c r="S1588" i="1"/>
  <c r="N1588" i="1"/>
  <c r="M1588" i="1"/>
  <c r="L1588" i="1"/>
  <c r="Q1588" i="1" s="1"/>
  <c r="P1588" i="1" s="1"/>
  <c r="V1587" i="1"/>
  <c r="U1587" i="1"/>
  <c r="T1587" i="1"/>
  <c r="S1587" i="1"/>
  <c r="N1587" i="1"/>
  <c r="M1587" i="1"/>
  <c r="L1587" i="1"/>
  <c r="Q1587" i="1" s="1"/>
  <c r="P1587" i="1" s="1"/>
  <c r="V1586" i="1"/>
  <c r="U1586" i="1"/>
  <c r="T1586" i="1"/>
  <c r="S1586" i="1"/>
  <c r="N1586" i="1"/>
  <c r="M1586" i="1"/>
  <c r="L1586" i="1"/>
  <c r="Q1586" i="1" s="1"/>
  <c r="P1586" i="1" s="1"/>
  <c r="V1585" i="1"/>
  <c r="U1585" i="1"/>
  <c r="T1585" i="1"/>
  <c r="S1585" i="1"/>
  <c r="N1585" i="1"/>
  <c r="M1585" i="1"/>
  <c r="L1585" i="1"/>
  <c r="Q1585" i="1" s="1"/>
  <c r="P1585" i="1" s="1"/>
  <c r="V1584" i="1"/>
  <c r="U1584" i="1"/>
  <c r="T1584" i="1"/>
  <c r="S1584" i="1"/>
  <c r="N1584" i="1"/>
  <c r="M1584" i="1"/>
  <c r="O1584" i="1" s="1"/>
  <c r="L1584" i="1"/>
  <c r="Q1584" i="1" s="1"/>
  <c r="P1584" i="1" s="1"/>
  <c r="V1583" i="1"/>
  <c r="U1583" i="1"/>
  <c r="T1583" i="1"/>
  <c r="S1583" i="1"/>
  <c r="N1583" i="1"/>
  <c r="M1583" i="1"/>
  <c r="O1583" i="1" s="1"/>
  <c r="L1583" i="1"/>
  <c r="Q1583" i="1" s="1"/>
  <c r="P1583" i="1" s="1"/>
  <c r="V1582" i="1"/>
  <c r="U1582" i="1"/>
  <c r="T1582" i="1"/>
  <c r="S1582" i="1"/>
  <c r="N1582" i="1"/>
  <c r="M1582" i="1"/>
  <c r="L1582" i="1"/>
  <c r="Q1582" i="1" s="1"/>
  <c r="P1582" i="1" s="1"/>
  <c r="V1581" i="1"/>
  <c r="U1581" i="1"/>
  <c r="T1581" i="1"/>
  <c r="S1581" i="1"/>
  <c r="N1581" i="1"/>
  <c r="M1581" i="1"/>
  <c r="L1581" i="1"/>
  <c r="Q1581" i="1" s="1"/>
  <c r="P1581" i="1" s="1"/>
  <c r="V1580" i="1"/>
  <c r="U1580" i="1"/>
  <c r="T1580" i="1"/>
  <c r="S1580" i="1"/>
  <c r="N1580" i="1"/>
  <c r="M1580" i="1"/>
  <c r="L1580" i="1"/>
  <c r="Q1580" i="1" s="1"/>
  <c r="P1580" i="1" s="1"/>
  <c r="V1579" i="1"/>
  <c r="U1579" i="1"/>
  <c r="T1579" i="1"/>
  <c r="S1579" i="1"/>
  <c r="N1579" i="1"/>
  <c r="M1579" i="1"/>
  <c r="L1579" i="1"/>
  <c r="Q1579" i="1" s="1"/>
  <c r="P1579" i="1" s="1"/>
  <c r="V1578" i="1"/>
  <c r="U1578" i="1"/>
  <c r="T1578" i="1"/>
  <c r="S1578" i="1"/>
  <c r="N1578" i="1"/>
  <c r="O1578" i="1" s="1"/>
  <c r="M1578" i="1"/>
  <c r="L1578" i="1"/>
  <c r="Q1578" i="1" s="1"/>
  <c r="P1578" i="1" s="1"/>
  <c r="V1577" i="1"/>
  <c r="U1577" i="1"/>
  <c r="T1577" i="1"/>
  <c r="S1577" i="1"/>
  <c r="N1577" i="1"/>
  <c r="M1577" i="1"/>
  <c r="L1577" i="1"/>
  <c r="Q1577" i="1" s="1"/>
  <c r="P1577" i="1" s="1"/>
  <c r="V1576" i="1"/>
  <c r="U1576" i="1"/>
  <c r="T1576" i="1"/>
  <c r="S1576" i="1"/>
  <c r="N1576" i="1"/>
  <c r="M1576" i="1"/>
  <c r="L1576" i="1"/>
  <c r="Q1576" i="1" s="1"/>
  <c r="P1576" i="1" s="1"/>
  <c r="V1575" i="1"/>
  <c r="U1575" i="1"/>
  <c r="T1575" i="1"/>
  <c r="S1575" i="1"/>
  <c r="N1575" i="1"/>
  <c r="M1575" i="1"/>
  <c r="O1575" i="1" s="1"/>
  <c r="L1575" i="1"/>
  <c r="Q1575" i="1" s="1"/>
  <c r="P1575" i="1" s="1"/>
  <c r="V1574" i="1"/>
  <c r="U1574" i="1"/>
  <c r="T1574" i="1"/>
  <c r="S1574" i="1"/>
  <c r="N1574" i="1"/>
  <c r="M1574" i="1"/>
  <c r="O1574" i="1" s="1"/>
  <c r="L1574" i="1"/>
  <c r="Q1574" i="1" s="1"/>
  <c r="P1574" i="1" s="1"/>
  <c r="V1573" i="1"/>
  <c r="U1573" i="1"/>
  <c r="T1573" i="1"/>
  <c r="S1573" i="1"/>
  <c r="N1573" i="1"/>
  <c r="M1573" i="1"/>
  <c r="L1573" i="1"/>
  <c r="Q1573" i="1" s="1"/>
  <c r="P1573" i="1" s="1"/>
  <c r="V1572" i="1"/>
  <c r="U1572" i="1"/>
  <c r="T1572" i="1"/>
  <c r="S1572" i="1"/>
  <c r="N1572" i="1"/>
  <c r="M1572" i="1"/>
  <c r="L1572" i="1"/>
  <c r="Q1572" i="1" s="1"/>
  <c r="P1572" i="1" s="1"/>
  <c r="V1571" i="1"/>
  <c r="U1571" i="1"/>
  <c r="T1571" i="1"/>
  <c r="S1571" i="1"/>
  <c r="N1571" i="1"/>
  <c r="M1571" i="1"/>
  <c r="O1571" i="1" s="1"/>
  <c r="L1571" i="1"/>
  <c r="Q1571" i="1" s="1"/>
  <c r="P1571" i="1" s="1"/>
  <c r="V1570" i="1"/>
  <c r="U1570" i="1"/>
  <c r="T1570" i="1"/>
  <c r="S1570" i="1"/>
  <c r="N1570" i="1"/>
  <c r="M1570" i="1"/>
  <c r="O1570" i="1" s="1"/>
  <c r="L1570" i="1"/>
  <c r="Q1570" i="1" s="1"/>
  <c r="P1570" i="1" s="1"/>
  <c r="V1569" i="1"/>
  <c r="U1569" i="1"/>
  <c r="T1569" i="1"/>
  <c r="S1569" i="1"/>
  <c r="N1569" i="1"/>
  <c r="M1569" i="1"/>
  <c r="L1569" i="1"/>
  <c r="Q1569" i="1" s="1"/>
  <c r="P1569" i="1" s="1"/>
  <c r="V1568" i="1"/>
  <c r="U1568" i="1"/>
  <c r="T1568" i="1"/>
  <c r="S1568" i="1"/>
  <c r="N1568" i="1"/>
  <c r="O1568" i="1" s="1"/>
  <c r="M1568" i="1"/>
  <c r="L1568" i="1"/>
  <c r="Q1568" i="1" s="1"/>
  <c r="P1568" i="1" s="1"/>
  <c r="V1567" i="1"/>
  <c r="U1567" i="1"/>
  <c r="T1567" i="1"/>
  <c r="S1567" i="1"/>
  <c r="Q1567" i="1"/>
  <c r="P1567" i="1" s="1"/>
  <c r="O1567" i="1"/>
  <c r="N1567" i="1"/>
  <c r="M1567" i="1"/>
  <c r="L1567" i="1"/>
  <c r="V1566" i="1"/>
  <c r="U1566" i="1"/>
  <c r="T1566" i="1"/>
  <c r="S1566" i="1"/>
  <c r="Q1566" i="1"/>
  <c r="P1566" i="1" s="1"/>
  <c r="N1566" i="1"/>
  <c r="M1566" i="1"/>
  <c r="O1566" i="1" s="1"/>
  <c r="L1566" i="1"/>
  <c r="V1565" i="1"/>
  <c r="U1565" i="1"/>
  <c r="T1565" i="1"/>
  <c r="S1565" i="1"/>
  <c r="N1565" i="1"/>
  <c r="M1565" i="1"/>
  <c r="L1565" i="1"/>
  <c r="Q1565" i="1" s="1"/>
  <c r="P1565" i="1" s="1"/>
  <c r="V1564" i="1"/>
  <c r="U1564" i="1"/>
  <c r="T1564" i="1"/>
  <c r="S1564" i="1"/>
  <c r="N1564" i="1"/>
  <c r="M1564" i="1"/>
  <c r="O1564" i="1" s="1"/>
  <c r="L1564" i="1"/>
  <c r="Q1564" i="1" s="1"/>
  <c r="P1564" i="1" s="1"/>
  <c r="V1563" i="1"/>
  <c r="U1563" i="1"/>
  <c r="T1563" i="1"/>
  <c r="S1563" i="1"/>
  <c r="N1563" i="1"/>
  <c r="M1563" i="1"/>
  <c r="L1563" i="1"/>
  <c r="Q1563" i="1" s="1"/>
  <c r="P1563" i="1" s="1"/>
  <c r="V1562" i="1"/>
  <c r="U1562" i="1"/>
  <c r="T1562" i="1"/>
  <c r="S1562" i="1"/>
  <c r="N1562" i="1"/>
  <c r="M1562" i="1"/>
  <c r="O1562" i="1" s="1"/>
  <c r="L1562" i="1"/>
  <c r="Q1562" i="1" s="1"/>
  <c r="P1562" i="1" s="1"/>
  <c r="V1561" i="1"/>
  <c r="U1561" i="1"/>
  <c r="T1561" i="1"/>
  <c r="S1561" i="1"/>
  <c r="N1561" i="1"/>
  <c r="M1561" i="1"/>
  <c r="L1561" i="1"/>
  <c r="Q1561" i="1" s="1"/>
  <c r="P1561" i="1" s="1"/>
  <c r="V1560" i="1"/>
  <c r="U1560" i="1"/>
  <c r="T1560" i="1"/>
  <c r="S1560" i="1"/>
  <c r="N1560" i="1"/>
  <c r="O1560" i="1" s="1"/>
  <c r="M1560" i="1"/>
  <c r="L1560" i="1"/>
  <c r="Q1560" i="1" s="1"/>
  <c r="P1560" i="1" s="1"/>
  <c r="V1559" i="1"/>
  <c r="U1559" i="1"/>
  <c r="T1559" i="1"/>
  <c r="S1559" i="1"/>
  <c r="N1559" i="1"/>
  <c r="M1559" i="1"/>
  <c r="L1559" i="1"/>
  <c r="Q1559" i="1" s="1"/>
  <c r="P1559" i="1" s="1"/>
  <c r="V1558" i="1"/>
  <c r="U1558" i="1"/>
  <c r="T1558" i="1"/>
  <c r="S1558" i="1"/>
  <c r="N1558" i="1"/>
  <c r="M1558" i="1"/>
  <c r="L1558" i="1"/>
  <c r="Q1558" i="1" s="1"/>
  <c r="P1558" i="1" s="1"/>
  <c r="V1557" i="1"/>
  <c r="U1557" i="1"/>
  <c r="T1557" i="1"/>
  <c r="S1557" i="1"/>
  <c r="N1557" i="1"/>
  <c r="M1557" i="1"/>
  <c r="L1557" i="1"/>
  <c r="Q1557" i="1" s="1"/>
  <c r="P1557" i="1" s="1"/>
  <c r="V1556" i="1"/>
  <c r="U1556" i="1"/>
  <c r="T1556" i="1"/>
  <c r="S1556" i="1"/>
  <c r="N1556" i="1"/>
  <c r="O1556" i="1" s="1"/>
  <c r="M1556" i="1"/>
  <c r="L1556" i="1"/>
  <c r="Q1556" i="1" s="1"/>
  <c r="P1556" i="1" s="1"/>
  <c r="V1555" i="1"/>
  <c r="U1555" i="1"/>
  <c r="T1555" i="1"/>
  <c r="S1555" i="1"/>
  <c r="N1555" i="1"/>
  <c r="M1555" i="1"/>
  <c r="L1555" i="1"/>
  <c r="Q1555" i="1" s="1"/>
  <c r="P1555" i="1" s="1"/>
  <c r="V1554" i="1"/>
  <c r="U1554" i="1"/>
  <c r="T1554" i="1"/>
  <c r="S1554" i="1"/>
  <c r="N1554" i="1"/>
  <c r="M1554" i="1"/>
  <c r="L1554" i="1"/>
  <c r="Q1554" i="1" s="1"/>
  <c r="P1554" i="1" s="1"/>
  <c r="V1553" i="1"/>
  <c r="U1553" i="1"/>
  <c r="T1553" i="1"/>
  <c r="S1553" i="1"/>
  <c r="N1553" i="1"/>
  <c r="M1553" i="1"/>
  <c r="O1553" i="1" s="1"/>
  <c r="L1553" i="1"/>
  <c r="Q1553" i="1" s="1"/>
  <c r="P1553" i="1" s="1"/>
  <c r="V1552" i="1"/>
  <c r="U1552" i="1"/>
  <c r="T1552" i="1"/>
  <c r="S1552" i="1"/>
  <c r="N1552" i="1"/>
  <c r="M1552" i="1"/>
  <c r="L1552" i="1"/>
  <c r="Q1552" i="1" s="1"/>
  <c r="P1552" i="1" s="1"/>
  <c r="V1551" i="1"/>
  <c r="U1551" i="1"/>
  <c r="T1551" i="1"/>
  <c r="S1551" i="1"/>
  <c r="N1551" i="1"/>
  <c r="M1551" i="1"/>
  <c r="L1551" i="1"/>
  <c r="Q1551" i="1" s="1"/>
  <c r="P1551" i="1" s="1"/>
  <c r="V1550" i="1"/>
  <c r="U1550" i="1"/>
  <c r="T1550" i="1"/>
  <c r="S1550" i="1"/>
  <c r="N1550" i="1"/>
  <c r="M1550" i="1"/>
  <c r="L1550" i="1"/>
  <c r="Q1550" i="1" s="1"/>
  <c r="P1550" i="1" s="1"/>
  <c r="V1549" i="1"/>
  <c r="U1549" i="1"/>
  <c r="T1549" i="1"/>
  <c r="S1549" i="1"/>
  <c r="N1549" i="1"/>
  <c r="M1549" i="1"/>
  <c r="O1549" i="1" s="1"/>
  <c r="L1549" i="1"/>
  <c r="Q1549" i="1" s="1"/>
  <c r="P1549" i="1" s="1"/>
  <c r="V1548" i="1"/>
  <c r="U1548" i="1"/>
  <c r="T1548" i="1"/>
  <c r="S1548" i="1"/>
  <c r="N1548" i="1"/>
  <c r="O1548" i="1" s="1"/>
  <c r="M1548" i="1"/>
  <c r="L1548" i="1"/>
  <c r="Q1548" i="1" s="1"/>
  <c r="P1548" i="1" s="1"/>
  <c r="V1547" i="1"/>
  <c r="U1547" i="1"/>
  <c r="T1547" i="1"/>
  <c r="S1547" i="1"/>
  <c r="N1547" i="1"/>
  <c r="M1547" i="1"/>
  <c r="O1547" i="1" s="1"/>
  <c r="L1547" i="1"/>
  <c r="Q1547" i="1" s="1"/>
  <c r="P1547" i="1" s="1"/>
  <c r="V1546" i="1"/>
  <c r="U1546" i="1"/>
  <c r="T1546" i="1"/>
  <c r="S1546" i="1"/>
  <c r="N1546" i="1"/>
  <c r="M1546" i="1"/>
  <c r="L1546" i="1"/>
  <c r="Q1546" i="1" s="1"/>
  <c r="P1546" i="1" s="1"/>
  <c r="V1545" i="1"/>
  <c r="U1545" i="1"/>
  <c r="T1545" i="1"/>
  <c r="S1545" i="1"/>
  <c r="N1545" i="1"/>
  <c r="M1545" i="1"/>
  <c r="L1545" i="1"/>
  <c r="Q1545" i="1" s="1"/>
  <c r="P1545" i="1" s="1"/>
  <c r="V1544" i="1"/>
  <c r="U1544" i="1"/>
  <c r="T1544" i="1"/>
  <c r="S1544" i="1"/>
  <c r="N1544" i="1"/>
  <c r="M1544" i="1"/>
  <c r="L1544" i="1"/>
  <c r="Q1544" i="1" s="1"/>
  <c r="P1544" i="1" s="1"/>
  <c r="V1543" i="1"/>
  <c r="U1543" i="1"/>
  <c r="T1543" i="1"/>
  <c r="S1543" i="1"/>
  <c r="N1543" i="1"/>
  <c r="O1543" i="1" s="1"/>
  <c r="M1543" i="1"/>
  <c r="L1543" i="1"/>
  <c r="Q1543" i="1" s="1"/>
  <c r="P1543" i="1" s="1"/>
  <c r="V1542" i="1"/>
  <c r="U1542" i="1"/>
  <c r="T1542" i="1"/>
  <c r="S1542" i="1"/>
  <c r="N1542" i="1"/>
  <c r="M1542" i="1"/>
  <c r="O1542" i="1" s="1"/>
  <c r="L1542" i="1"/>
  <c r="Q1542" i="1" s="1"/>
  <c r="P1542" i="1" s="1"/>
  <c r="V1541" i="1"/>
  <c r="U1541" i="1"/>
  <c r="T1541" i="1"/>
  <c r="S1541" i="1"/>
  <c r="N1541" i="1"/>
  <c r="M1541" i="1"/>
  <c r="L1541" i="1"/>
  <c r="Q1541" i="1" s="1"/>
  <c r="P1541" i="1" s="1"/>
  <c r="V1540" i="1"/>
  <c r="U1540" i="1"/>
  <c r="T1540" i="1"/>
  <c r="S1540" i="1"/>
  <c r="N1540" i="1"/>
  <c r="M1540" i="1"/>
  <c r="L1540" i="1"/>
  <c r="Q1540" i="1" s="1"/>
  <c r="P1540" i="1" s="1"/>
  <c r="V1539" i="1"/>
  <c r="U1539" i="1"/>
  <c r="T1539" i="1"/>
  <c r="S1539" i="1"/>
  <c r="N1539" i="1"/>
  <c r="M1539" i="1"/>
  <c r="L1539" i="1"/>
  <c r="Q1539" i="1" s="1"/>
  <c r="P1539" i="1" s="1"/>
  <c r="V1538" i="1"/>
  <c r="U1538" i="1"/>
  <c r="T1538" i="1"/>
  <c r="S1538" i="1"/>
  <c r="N1538" i="1"/>
  <c r="M1538" i="1"/>
  <c r="L1538" i="1"/>
  <c r="Q1538" i="1" s="1"/>
  <c r="P1538" i="1" s="1"/>
  <c r="V1537" i="1"/>
  <c r="U1537" i="1"/>
  <c r="T1537" i="1"/>
  <c r="S1537" i="1"/>
  <c r="N1537" i="1"/>
  <c r="M1537" i="1"/>
  <c r="L1537" i="1"/>
  <c r="Q1537" i="1" s="1"/>
  <c r="P1537" i="1" s="1"/>
  <c r="V1536" i="1"/>
  <c r="U1536" i="1"/>
  <c r="T1536" i="1"/>
  <c r="S1536" i="1"/>
  <c r="N1536" i="1"/>
  <c r="M1536" i="1"/>
  <c r="L1536" i="1"/>
  <c r="Q1536" i="1" s="1"/>
  <c r="P1536" i="1" s="1"/>
  <c r="V1535" i="1"/>
  <c r="U1535" i="1"/>
  <c r="T1535" i="1"/>
  <c r="S1535" i="1"/>
  <c r="N1535" i="1"/>
  <c r="O1535" i="1" s="1"/>
  <c r="M1535" i="1"/>
  <c r="L1535" i="1"/>
  <c r="Q1535" i="1" s="1"/>
  <c r="P1535" i="1" s="1"/>
  <c r="V1534" i="1"/>
  <c r="U1534" i="1"/>
  <c r="T1534" i="1"/>
  <c r="S1534" i="1"/>
  <c r="N1534" i="1"/>
  <c r="M1534" i="1"/>
  <c r="O1534" i="1" s="1"/>
  <c r="L1534" i="1"/>
  <c r="Q1534" i="1" s="1"/>
  <c r="P1534" i="1" s="1"/>
  <c r="V5" i="1"/>
  <c r="U5" i="1"/>
  <c r="T5" i="1"/>
  <c r="S5" i="1"/>
  <c r="N5" i="1"/>
  <c r="M5" i="1"/>
  <c r="L5" i="1"/>
  <c r="Q5" i="1" s="1"/>
  <c r="P5" i="1" s="1"/>
  <c r="V4" i="1"/>
  <c r="U4" i="1"/>
  <c r="T4" i="1"/>
  <c r="S4" i="1"/>
  <c r="Q4" i="1"/>
  <c r="P4" i="1" s="1"/>
  <c r="N4" i="1"/>
  <c r="M4" i="1"/>
  <c r="O4" i="1" s="1"/>
  <c r="L4" i="1"/>
  <c r="V3" i="1"/>
  <c r="U3" i="1"/>
  <c r="T3" i="1"/>
  <c r="S3" i="1"/>
  <c r="N3" i="1"/>
  <c r="M3" i="1"/>
  <c r="L3" i="1"/>
  <c r="Q3" i="1" s="1"/>
  <c r="P3" i="1" s="1"/>
  <c r="V2" i="1"/>
  <c r="U2" i="1"/>
  <c r="T2" i="1"/>
  <c r="S2" i="1"/>
  <c r="N2" i="1"/>
  <c r="M2" i="1"/>
  <c r="L2" i="1"/>
  <c r="Q2" i="1" s="1"/>
  <c r="P2" i="1" s="1"/>
  <c r="V34" i="1"/>
  <c r="U34" i="1"/>
  <c r="T34" i="1"/>
  <c r="S34" i="1"/>
  <c r="N34" i="1"/>
  <c r="M34" i="1"/>
  <c r="L34" i="1"/>
  <c r="Q34" i="1" s="1"/>
  <c r="P34" i="1" s="1"/>
  <c r="V33" i="1"/>
  <c r="U33" i="1"/>
  <c r="T33" i="1"/>
  <c r="S33" i="1"/>
  <c r="N33" i="1"/>
  <c r="M33" i="1"/>
  <c r="O33" i="1" s="1"/>
  <c r="L33" i="1"/>
  <c r="Q33" i="1" s="1"/>
  <c r="P33" i="1" s="1"/>
  <c r="V96" i="1"/>
  <c r="U96" i="1"/>
  <c r="T96" i="1"/>
  <c r="S96" i="1"/>
  <c r="N96" i="1"/>
  <c r="M96" i="1"/>
  <c r="L96" i="1"/>
  <c r="Q96" i="1" s="1"/>
  <c r="P96" i="1" s="1"/>
  <c r="V95" i="1"/>
  <c r="U95" i="1"/>
  <c r="T95" i="1"/>
  <c r="S95" i="1"/>
  <c r="N95" i="1"/>
  <c r="M95" i="1"/>
  <c r="L95" i="1"/>
  <c r="Q95" i="1" s="1"/>
  <c r="P95" i="1" s="1"/>
  <c r="V94" i="1"/>
  <c r="U94" i="1"/>
  <c r="T94" i="1"/>
  <c r="S94" i="1"/>
  <c r="N94" i="1"/>
  <c r="M94" i="1"/>
  <c r="L94" i="1"/>
  <c r="Q94" i="1" s="1"/>
  <c r="P94" i="1" s="1"/>
  <c r="V93" i="1"/>
  <c r="U93" i="1"/>
  <c r="T93" i="1"/>
  <c r="S93" i="1"/>
  <c r="N93" i="1"/>
  <c r="M93" i="1"/>
  <c r="L93" i="1"/>
  <c r="Q93" i="1" s="1"/>
  <c r="P93" i="1" s="1"/>
  <c r="V92" i="1"/>
  <c r="U92" i="1"/>
  <c r="T92" i="1"/>
  <c r="S92" i="1"/>
  <c r="N92" i="1"/>
  <c r="M92" i="1"/>
  <c r="L92" i="1"/>
  <c r="Q92" i="1" s="1"/>
  <c r="P92" i="1" s="1"/>
  <c r="V91" i="1"/>
  <c r="U91" i="1"/>
  <c r="T91" i="1"/>
  <c r="S91" i="1"/>
  <c r="N91" i="1"/>
  <c r="M91" i="1"/>
  <c r="L91" i="1"/>
  <c r="Q91" i="1" s="1"/>
  <c r="P91" i="1" s="1"/>
  <c r="V90" i="1"/>
  <c r="U90" i="1"/>
  <c r="T90" i="1"/>
  <c r="S90" i="1"/>
  <c r="N90" i="1"/>
  <c r="M90" i="1"/>
  <c r="L90" i="1"/>
  <c r="Q90" i="1" s="1"/>
  <c r="P90" i="1" s="1"/>
  <c r="V89" i="1"/>
  <c r="U89" i="1"/>
  <c r="T89" i="1"/>
  <c r="S89" i="1"/>
  <c r="N89" i="1"/>
  <c r="M89" i="1"/>
  <c r="L89" i="1"/>
  <c r="Q89" i="1" s="1"/>
  <c r="P89" i="1" s="1"/>
  <c r="V88" i="1"/>
  <c r="U88" i="1"/>
  <c r="T88" i="1"/>
  <c r="S88" i="1"/>
  <c r="N88" i="1"/>
  <c r="M88" i="1"/>
  <c r="L88" i="1"/>
  <c r="Q88" i="1" s="1"/>
  <c r="P88" i="1" s="1"/>
  <c r="V87" i="1"/>
  <c r="U87" i="1"/>
  <c r="T87" i="1"/>
  <c r="S87" i="1"/>
  <c r="N87" i="1"/>
  <c r="M87" i="1"/>
  <c r="O87" i="1" s="1"/>
  <c r="L87" i="1"/>
  <c r="Q87" i="1" s="1"/>
  <c r="P87" i="1" s="1"/>
  <c r="V86" i="1"/>
  <c r="U86" i="1"/>
  <c r="T86" i="1"/>
  <c r="S86" i="1"/>
  <c r="N86" i="1"/>
  <c r="M86" i="1"/>
  <c r="L86" i="1"/>
  <c r="Q86" i="1" s="1"/>
  <c r="P86" i="1" s="1"/>
  <c r="V85" i="1"/>
  <c r="U85" i="1"/>
  <c r="T85" i="1"/>
  <c r="S85" i="1"/>
  <c r="N85" i="1"/>
  <c r="M85" i="1"/>
  <c r="L85" i="1"/>
  <c r="Q85" i="1" s="1"/>
  <c r="P85" i="1" s="1"/>
  <c r="V84" i="1"/>
  <c r="U84" i="1"/>
  <c r="T84" i="1"/>
  <c r="S84" i="1"/>
  <c r="N84" i="1"/>
  <c r="M84" i="1"/>
  <c r="L84" i="1"/>
  <c r="Q84" i="1" s="1"/>
  <c r="P84" i="1" s="1"/>
  <c r="V83" i="1"/>
  <c r="U83" i="1"/>
  <c r="T83" i="1"/>
  <c r="S83" i="1"/>
  <c r="N83" i="1"/>
  <c r="M83" i="1"/>
  <c r="L83" i="1"/>
  <c r="Q83" i="1" s="1"/>
  <c r="P83" i="1" s="1"/>
  <c r="V82" i="1"/>
  <c r="U82" i="1"/>
  <c r="T82" i="1"/>
  <c r="S82" i="1"/>
  <c r="N82" i="1"/>
  <c r="M82" i="1"/>
  <c r="L82" i="1"/>
  <c r="Q82" i="1" s="1"/>
  <c r="P82" i="1" s="1"/>
  <c r="V81" i="1"/>
  <c r="U81" i="1"/>
  <c r="T81" i="1"/>
  <c r="S81" i="1"/>
  <c r="N81" i="1"/>
  <c r="M81" i="1"/>
  <c r="L81" i="1"/>
  <c r="Q81" i="1" s="1"/>
  <c r="P81" i="1" s="1"/>
  <c r="V80" i="1"/>
  <c r="U80" i="1"/>
  <c r="T80" i="1"/>
  <c r="S80" i="1"/>
  <c r="N80" i="1"/>
  <c r="M80" i="1"/>
  <c r="L80" i="1"/>
  <c r="Q80" i="1" s="1"/>
  <c r="P80" i="1" s="1"/>
  <c r="V79" i="1"/>
  <c r="U79" i="1"/>
  <c r="T79" i="1"/>
  <c r="S79" i="1"/>
  <c r="N79" i="1"/>
  <c r="M79" i="1"/>
  <c r="L79" i="1"/>
  <c r="Q79" i="1" s="1"/>
  <c r="P79" i="1" s="1"/>
  <c r="V78" i="1"/>
  <c r="U78" i="1"/>
  <c r="T78" i="1"/>
  <c r="S78" i="1"/>
  <c r="N78" i="1"/>
  <c r="M78" i="1"/>
  <c r="L78" i="1"/>
  <c r="Q78" i="1" s="1"/>
  <c r="P78" i="1" s="1"/>
  <c r="V77" i="1"/>
  <c r="U77" i="1"/>
  <c r="T77" i="1"/>
  <c r="S77" i="1"/>
  <c r="N77" i="1"/>
  <c r="M77" i="1"/>
  <c r="L77" i="1"/>
  <c r="Q77" i="1" s="1"/>
  <c r="P77" i="1" s="1"/>
  <c r="V76" i="1"/>
  <c r="U76" i="1"/>
  <c r="T76" i="1"/>
  <c r="S76" i="1"/>
  <c r="N76" i="1"/>
  <c r="M76" i="1"/>
  <c r="L76" i="1"/>
  <c r="Q76" i="1" s="1"/>
  <c r="P76" i="1" s="1"/>
  <c r="V75" i="1"/>
  <c r="U75" i="1"/>
  <c r="T75" i="1"/>
  <c r="S75" i="1"/>
  <c r="N75" i="1"/>
  <c r="M75" i="1"/>
  <c r="L75" i="1"/>
  <c r="Q75" i="1" s="1"/>
  <c r="P75" i="1" s="1"/>
  <c r="V74" i="1"/>
  <c r="U74" i="1"/>
  <c r="T74" i="1"/>
  <c r="S74" i="1"/>
  <c r="N74" i="1"/>
  <c r="M74" i="1"/>
  <c r="L74" i="1"/>
  <c r="Q74" i="1" s="1"/>
  <c r="P74" i="1" s="1"/>
  <c r="V73" i="1"/>
  <c r="U73" i="1"/>
  <c r="T73" i="1"/>
  <c r="S73" i="1"/>
  <c r="Q73" i="1"/>
  <c r="P73" i="1" s="1"/>
  <c r="N73" i="1"/>
  <c r="M73" i="1"/>
  <c r="L73" i="1"/>
  <c r="V72" i="1"/>
  <c r="U72" i="1"/>
  <c r="T72" i="1"/>
  <c r="S72" i="1"/>
  <c r="N72" i="1"/>
  <c r="M72" i="1"/>
  <c r="L72" i="1"/>
  <c r="Q72" i="1" s="1"/>
  <c r="P72" i="1" s="1"/>
  <c r="V71" i="1"/>
  <c r="U71" i="1"/>
  <c r="T71" i="1"/>
  <c r="S71" i="1"/>
  <c r="N71" i="1"/>
  <c r="M71" i="1"/>
  <c r="L71" i="1"/>
  <c r="Q71" i="1" s="1"/>
  <c r="P71" i="1" s="1"/>
  <c r="V70" i="1"/>
  <c r="U70" i="1"/>
  <c r="T70" i="1"/>
  <c r="S70" i="1"/>
  <c r="N70" i="1"/>
  <c r="M70" i="1"/>
  <c r="L70" i="1"/>
  <c r="Q70" i="1" s="1"/>
  <c r="P70" i="1" s="1"/>
  <c r="V69" i="1"/>
  <c r="U69" i="1"/>
  <c r="T69" i="1"/>
  <c r="S69" i="1"/>
  <c r="N69" i="1"/>
  <c r="M69" i="1"/>
  <c r="L69" i="1"/>
  <c r="Q69" i="1" s="1"/>
  <c r="P69" i="1" s="1"/>
  <c r="V68" i="1"/>
  <c r="U68" i="1"/>
  <c r="T68" i="1"/>
  <c r="S68" i="1"/>
  <c r="N68" i="1"/>
  <c r="M68" i="1"/>
  <c r="L68" i="1"/>
  <c r="Q68" i="1" s="1"/>
  <c r="P68" i="1" s="1"/>
  <c r="V67" i="1"/>
  <c r="U67" i="1"/>
  <c r="T67" i="1"/>
  <c r="S67" i="1"/>
  <c r="N67" i="1"/>
  <c r="M67" i="1"/>
  <c r="L67" i="1"/>
  <c r="Q67" i="1" s="1"/>
  <c r="P67" i="1" s="1"/>
  <c r="V66" i="1"/>
  <c r="U66" i="1"/>
  <c r="T66" i="1"/>
  <c r="S66" i="1"/>
  <c r="N66" i="1"/>
  <c r="M66" i="1"/>
  <c r="L66" i="1"/>
  <c r="Q66" i="1" s="1"/>
  <c r="P66" i="1" s="1"/>
  <c r="V65" i="1"/>
  <c r="U65" i="1"/>
  <c r="T65" i="1"/>
  <c r="S65" i="1"/>
  <c r="N65" i="1"/>
  <c r="M65" i="1"/>
  <c r="L65" i="1"/>
  <c r="Q65" i="1" s="1"/>
  <c r="P65" i="1" s="1"/>
  <c r="V64" i="1"/>
  <c r="U64" i="1"/>
  <c r="T64" i="1"/>
  <c r="S64" i="1"/>
  <c r="N64" i="1"/>
  <c r="M64" i="1"/>
  <c r="L64" i="1"/>
  <c r="Q64" i="1" s="1"/>
  <c r="P64" i="1" s="1"/>
  <c r="V63" i="1"/>
  <c r="U63" i="1"/>
  <c r="T63" i="1"/>
  <c r="S63" i="1"/>
  <c r="N63" i="1"/>
  <c r="M63" i="1"/>
  <c r="O63" i="1" s="1"/>
  <c r="L63" i="1"/>
  <c r="Q63" i="1" s="1"/>
  <c r="P63" i="1" s="1"/>
  <c r="V62" i="1"/>
  <c r="U62" i="1"/>
  <c r="T62" i="1"/>
  <c r="S62" i="1"/>
  <c r="N62" i="1"/>
  <c r="O62" i="1" s="1"/>
  <c r="M62" i="1"/>
  <c r="L62" i="1"/>
  <c r="Q62" i="1" s="1"/>
  <c r="P62" i="1" s="1"/>
  <c r="V1180" i="1"/>
  <c r="U1180" i="1"/>
  <c r="T1180" i="1"/>
  <c r="S1180" i="1"/>
  <c r="N1180" i="1"/>
  <c r="M1180" i="1"/>
  <c r="L1180" i="1"/>
  <c r="Q1180" i="1" s="1"/>
  <c r="P1180" i="1" s="1"/>
  <c r="V1250" i="1"/>
  <c r="U1250" i="1"/>
  <c r="T1250" i="1"/>
  <c r="S1250" i="1"/>
  <c r="N1250" i="1"/>
  <c r="M1250" i="1"/>
  <c r="L1250" i="1"/>
  <c r="Q1250" i="1" s="1"/>
  <c r="P1250" i="1" s="1"/>
  <c r="V1249" i="1"/>
  <c r="U1249" i="1"/>
  <c r="T1249" i="1"/>
  <c r="S1249" i="1"/>
  <c r="N1249" i="1"/>
  <c r="M1249" i="1"/>
  <c r="O1249" i="1" s="1"/>
  <c r="L1249" i="1"/>
  <c r="Q1249" i="1" s="1"/>
  <c r="P1249" i="1" s="1"/>
  <c r="V1248" i="1"/>
  <c r="U1248" i="1"/>
  <c r="T1248" i="1"/>
  <c r="S1248" i="1"/>
  <c r="N1248" i="1"/>
  <c r="M1248" i="1"/>
  <c r="L1248" i="1"/>
  <c r="Q1248" i="1" s="1"/>
  <c r="P1248" i="1" s="1"/>
  <c r="V1247" i="1"/>
  <c r="U1247" i="1"/>
  <c r="T1247" i="1"/>
  <c r="S1247" i="1"/>
  <c r="N1247" i="1"/>
  <c r="M1247" i="1"/>
  <c r="L1247" i="1"/>
  <c r="Q1247" i="1" s="1"/>
  <c r="P1247" i="1" s="1"/>
  <c r="V1246" i="1"/>
  <c r="U1246" i="1"/>
  <c r="T1246" i="1"/>
  <c r="S1246" i="1"/>
  <c r="N1246" i="1"/>
  <c r="M1246" i="1"/>
  <c r="L1246" i="1"/>
  <c r="Q1246" i="1" s="1"/>
  <c r="P1246" i="1" s="1"/>
  <c r="V1245" i="1"/>
  <c r="U1245" i="1"/>
  <c r="T1245" i="1"/>
  <c r="S1245" i="1"/>
  <c r="N1245" i="1"/>
  <c r="M1245" i="1"/>
  <c r="L1245" i="1"/>
  <c r="Q1245" i="1" s="1"/>
  <c r="P1245" i="1" s="1"/>
  <c r="V1244" i="1"/>
  <c r="U1244" i="1"/>
  <c r="T1244" i="1"/>
  <c r="S1244" i="1"/>
  <c r="N1244" i="1"/>
  <c r="M1244" i="1"/>
  <c r="L1244" i="1"/>
  <c r="Q1244" i="1" s="1"/>
  <c r="P1244" i="1" s="1"/>
  <c r="V1533" i="1"/>
  <c r="U1533" i="1"/>
  <c r="T1533" i="1"/>
  <c r="S1533" i="1"/>
  <c r="N1533" i="1"/>
  <c r="M1533" i="1"/>
  <c r="L1533" i="1"/>
  <c r="Q1533" i="1" s="1"/>
  <c r="P1533" i="1" s="1"/>
  <c r="V1532" i="1"/>
  <c r="U1532" i="1"/>
  <c r="T1532" i="1"/>
  <c r="S1532" i="1"/>
  <c r="N1532" i="1"/>
  <c r="M1532" i="1"/>
  <c r="L1532" i="1"/>
  <c r="Q1532" i="1" s="1"/>
  <c r="P1532" i="1" s="1"/>
  <c r="V1531" i="1"/>
  <c r="U1531" i="1"/>
  <c r="T1531" i="1"/>
  <c r="S1531" i="1"/>
  <c r="N1531" i="1"/>
  <c r="M1531" i="1"/>
  <c r="O1531" i="1" s="1"/>
  <c r="L1531" i="1"/>
  <c r="Q1531" i="1" s="1"/>
  <c r="P1531" i="1" s="1"/>
  <c r="V1530" i="1"/>
  <c r="U1530" i="1"/>
  <c r="T1530" i="1"/>
  <c r="S1530" i="1"/>
  <c r="N1530" i="1"/>
  <c r="M1530" i="1"/>
  <c r="O1530" i="1" s="1"/>
  <c r="L1530" i="1"/>
  <c r="Q1530" i="1" s="1"/>
  <c r="P1530" i="1" s="1"/>
  <c r="V1529" i="1"/>
  <c r="U1529" i="1"/>
  <c r="T1529" i="1"/>
  <c r="S1529" i="1"/>
  <c r="N1529" i="1"/>
  <c r="M1529" i="1"/>
  <c r="O1529" i="1" s="1"/>
  <c r="L1529" i="1"/>
  <c r="Q1529" i="1" s="1"/>
  <c r="P1529" i="1" s="1"/>
  <c r="V1528" i="1"/>
  <c r="U1528" i="1"/>
  <c r="T1528" i="1"/>
  <c r="S1528" i="1"/>
  <c r="N1528" i="1"/>
  <c r="M1528" i="1"/>
  <c r="L1528" i="1"/>
  <c r="Q1528" i="1" s="1"/>
  <c r="P1528" i="1" s="1"/>
  <c r="V1527" i="1"/>
  <c r="U1527" i="1"/>
  <c r="T1527" i="1"/>
  <c r="S1527" i="1"/>
  <c r="N1527" i="1"/>
  <c r="M1527" i="1"/>
  <c r="O1527" i="1" s="1"/>
  <c r="L1527" i="1"/>
  <c r="Q1527" i="1" s="1"/>
  <c r="P1527" i="1" s="1"/>
  <c r="V1526" i="1"/>
  <c r="U1526" i="1"/>
  <c r="T1526" i="1"/>
  <c r="S1526" i="1"/>
  <c r="N1526" i="1"/>
  <c r="M1526" i="1"/>
  <c r="L1526" i="1"/>
  <c r="Q1526" i="1" s="1"/>
  <c r="P1526" i="1" s="1"/>
  <c r="V1525" i="1"/>
  <c r="U1525" i="1"/>
  <c r="T1525" i="1"/>
  <c r="S1525" i="1"/>
  <c r="Q1525" i="1"/>
  <c r="P1525" i="1" s="1"/>
  <c r="N1525" i="1"/>
  <c r="M1525" i="1"/>
  <c r="L1525" i="1"/>
  <c r="V1524" i="1"/>
  <c r="U1524" i="1"/>
  <c r="T1524" i="1"/>
  <c r="S1524" i="1"/>
  <c r="N1524" i="1"/>
  <c r="M1524" i="1"/>
  <c r="O1524" i="1" s="1"/>
  <c r="L1524" i="1"/>
  <c r="Q1524" i="1" s="1"/>
  <c r="P1524" i="1" s="1"/>
  <c r="V1523" i="1"/>
  <c r="U1523" i="1"/>
  <c r="T1523" i="1"/>
  <c r="S1523" i="1"/>
  <c r="N1523" i="1"/>
  <c r="M1523" i="1"/>
  <c r="O1523" i="1" s="1"/>
  <c r="L1523" i="1"/>
  <c r="Q1523" i="1" s="1"/>
  <c r="P1523" i="1" s="1"/>
  <c r="V1522" i="1"/>
  <c r="U1522" i="1"/>
  <c r="T1522" i="1"/>
  <c r="S1522" i="1"/>
  <c r="N1522" i="1"/>
  <c r="M1522" i="1"/>
  <c r="L1522" i="1"/>
  <c r="Q1522" i="1" s="1"/>
  <c r="P1522" i="1" s="1"/>
  <c r="V1521" i="1"/>
  <c r="U1521" i="1"/>
  <c r="T1521" i="1"/>
  <c r="S1521" i="1"/>
  <c r="N1521" i="1"/>
  <c r="M1521" i="1"/>
  <c r="O1521" i="1" s="1"/>
  <c r="L1521" i="1"/>
  <c r="Q1521" i="1" s="1"/>
  <c r="P1521" i="1" s="1"/>
  <c r="V1520" i="1"/>
  <c r="U1520" i="1"/>
  <c r="T1520" i="1"/>
  <c r="S1520" i="1"/>
  <c r="N1520" i="1"/>
  <c r="M1520" i="1"/>
  <c r="O1520" i="1" s="1"/>
  <c r="L1520" i="1"/>
  <c r="Q1520" i="1" s="1"/>
  <c r="P1520" i="1" s="1"/>
  <c r="V1519" i="1"/>
  <c r="U1519" i="1"/>
  <c r="T1519" i="1"/>
  <c r="S1519" i="1"/>
  <c r="N1519" i="1"/>
  <c r="M1519" i="1"/>
  <c r="O1519" i="1" s="1"/>
  <c r="L1519" i="1"/>
  <c r="Q1519" i="1" s="1"/>
  <c r="P1519" i="1" s="1"/>
  <c r="V1518" i="1"/>
  <c r="U1518" i="1"/>
  <c r="T1518" i="1"/>
  <c r="S1518" i="1"/>
  <c r="N1518" i="1"/>
  <c r="M1518" i="1"/>
  <c r="O1518" i="1" s="1"/>
  <c r="L1518" i="1"/>
  <c r="Q1518" i="1" s="1"/>
  <c r="P1518" i="1" s="1"/>
  <c r="V1634" i="1"/>
  <c r="U1634" i="1"/>
  <c r="T1634" i="1"/>
  <c r="S1634" i="1"/>
  <c r="N1634" i="1"/>
  <c r="M1634" i="1"/>
  <c r="L1634" i="1"/>
  <c r="Q1634" i="1" s="1"/>
  <c r="P1634" i="1" s="1"/>
  <c r="V1633" i="1"/>
  <c r="U1633" i="1"/>
  <c r="T1633" i="1"/>
  <c r="S1633" i="1"/>
  <c r="N1633" i="1"/>
  <c r="M1633" i="1"/>
  <c r="O1633" i="1" s="1"/>
  <c r="L1633" i="1"/>
  <c r="Q1633" i="1" s="1"/>
  <c r="P1633" i="1" s="1"/>
  <c r="V1632" i="1"/>
  <c r="U1632" i="1"/>
  <c r="T1632" i="1"/>
  <c r="S1632" i="1"/>
  <c r="N1632" i="1"/>
  <c r="M1632" i="1"/>
  <c r="O1632" i="1" s="1"/>
  <c r="L1632" i="1"/>
  <c r="Q1632" i="1" s="1"/>
  <c r="P1632" i="1" s="1"/>
  <c r="V1654" i="1"/>
  <c r="U1654" i="1"/>
  <c r="T1654" i="1"/>
  <c r="S1654" i="1"/>
  <c r="N1654" i="1"/>
  <c r="M1654" i="1"/>
  <c r="L1654" i="1"/>
  <c r="Q1654" i="1" s="1"/>
  <c r="P1654" i="1" s="1"/>
  <c r="V1653" i="1"/>
  <c r="U1653" i="1"/>
  <c r="T1653" i="1"/>
  <c r="S1653" i="1"/>
  <c r="N1653" i="1"/>
  <c r="M1653" i="1"/>
  <c r="O1653" i="1" s="1"/>
  <c r="L1653" i="1"/>
  <c r="Q1653" i="1" s="1"/>
  <c r="P1653" i="1" s="1"/>
  <c r="V1652" i="1"/>
  <c r="U1652" i="1"/>
  <c r="T1652" i="1"/>
  <c r="S1652" i="1"/>
  <c r="N1652" i="1"/>
  <c r="M1652" i="1"/>
  <c r="O1652" i="1" s="1"/>
  <c r="L1652" i="1"/>
  <c r="Q1652" i="1" s="1"/>
  <c r="P1652" i="1" s="1"/>
  <c r="V1651" i="1"/>
  <c r="U1651" i="1"/>
  <c r="T1651" i="1"/>
  <c r="S1651" i="1"/>
  <c r="N1651" i="1"/>
  <c r="M1651" i="1"/>
  <c r="L1651" i="1"/>
  <c r="Q1651" i="1" s="1"/>
  <c r="P1651" i="1" s="1"/>
  <c r="V1650" i="1"/>
  <c r="U1650" i="1"/>
  <c r="T1650" i="1"/>
  <c r="S1650" i="1"/>
  <c r="N1650" i="1"/>
  <c r="M1650" i="1"/>
  <c r="O1650" i="1" s="1"/>
  <c r="L1650" i="1"/>
  <c r="Q1650" i="1" s="1"/>
  <c r="P1650" i="1" s="1"/>
  <c r="V1649" i="1"/>
  <c r="U1649" i="1"/>
  <c r="T1649" i="1"/>
  <c r="S1649" i="1"/>
  <c r="N1649" i="1"/>
  <c r="M1649" i="1"/>
  <c r="L1649" i="1"/>
  <c r="Q1649" i="1" s="1"/>
  <c r="P1649" i="1" s="1"/>
  <c r="V1648" i="1"/>
  <c r="U1648" i="1"/>
  <c r="T1648" i="1"/>
  <c r="S1648" i="1"/>
  <c r="O1648" i="1"/>
  <c r="N1648" i="1"/>
  <c r="M1648" i="1"/>
  <c r="L1648" i="1"/>
  <c r="Q1648" i="1" s="1"/>
  <c r="P1648" i="1" s="1"/>
  <c r="V1647" i="1"/>
  <c r="U1647" i="1"/>
  <c r="T1647" i="1"/>
  <c r="S1647" i="1"/>
  <c r="N1647" i="1"/>
  <c r="M1647" i="1"/>
  <c r="L1647" i="1"/>
  <c r="Q1647" i="1" s="1"/>
  <c r="P1647" i="1" s="1"/>
  <c r="V1646" i="1"/>
  <c r="U1646" i="1"/>
  <c r="T1646" i="1"/>
  <c r="S1646" i="1"/>
  <c r="N1646" i="1"/>
  <c r="M1646" i="1"/>
  <c r="O1646" i="1" s="1"/>
  <c r="L1646" i="1"/>
  <c r="Q1646" i="1" s="1"/>
  <c r="P1646" i="1" s="1"/>
  <c r="V1645" i="1"/>
  <c r="U1645" i="1"/>
  <c r="T1645" i="1"/>
  <c r="S1645" i="1"/>
  <c r="N1645" i="1"/>
  <c r="M1645" i="1"/>
  <c r="L1645" i="1"/>
  <c r="Q1645" i="1" s="1"/>
  <c r="P1645" i="1" s="1"/>
  <c r="V1644" i="1"/>
  <c r="U1644" i="1"/>
  <c r="T1644" i="1"/>
  <c r="S1644" i="1"/>
  <c r="N1644" i="1"/>
  <c r="M1644" i="1"/>
  <c r="O1644" i="1" s="1"/>
  <c r="L1644" i="1"/>
  <c r="Q1644" i="1" s="1"/>
  <c r="P1644" i="1" s="1"/>
  <c r="V1643" i="1"/>
  <c r="U1643" i="1"/>
  <c r="T1643" i="1"/>
  <c r="S1643" i="1"/>
  <c r="N1643" i="1"/>
  <c r="M1643" i="1"/>
  <c r="L1643" i="1"/>
  <c r="Q1643" i="1" s="1"/>
  <c r="P1643" i="1" s="1"/>
  <c r="V1642" i="1"/>
  <c r="U1642" i="1"/>
  <c r="T1642" i="1"/>
  <c r="S1642" i="1"/>
  <c r="N1642" i="1"/>
  <c r="O1642" i="1" s="1"/>
  <c r="M1642" i="1"/>
  <c r="L1642" i="1"/>
  <c r="Q1642" i="1" s="1"/>
  <c r="P1642" i="1" s="1"/>
  <c r="V1641" i="1"/>
  <c r="U1641" i="1"/>
  <c r="T1641" i="1"/>
  <c r="S1641" i="1"/>
  <c r="N1641" i="1"/>
  <c r="M1641" i="1"/>
  <c r="L1641" i="1"/>
  <c r="Q1641" i="1" s="1"/>
  <c r="P1641" i="1" s="1"/>
  <c r="V1640" i="1"/>
  <c r="U1640" i="1"/>
  <c r="T1640" i="1"/>
  <c r="S1640" i="1"/>
  <c r="N1640" i="1"/>
  <c r="O1640" i="1" s="1"/>
  <c r="M1640" i="1"/>
  <c r="L1640" i="1"/>
  <c r="Q1640" i="1" s="1"/>
  <c r="P1640" i="1" s="1"/>
  <c r="V1639" i="1"/>
  <c r="U1639" i="1"/>
  <c r="T1639" i="1"/>
  <c r="S1639" i="1"/>
  <c r="N1639" i="1"/>
  <c r="M1639" i="1"/>
  <c r="L1639" i="1"/>
  <c r="Q1639" i="1" s="1"/>
  <c r="P1639" i="1" s="1"/>
  <c r="V1638" i="1"/>
  <c r="U1638" i="1"/>
  <c r="T1638" i="1"/>
  <c r="S1638" i="1"/>
  <c r="N1638" i="1"/>
  <c r="M1638" i="1"/>
  <c r="L1638" i="1"/>
  <c r="Q1638" i="1" s="1"/>
  <c r="P1638" i="1" s="1"/>
  <c r="V1637" i="1"/>
  <c r="U1637" i="1"/>
  <c r="T1637" i="1"/>
  <c r="S1637" i="1"/>
  <c r="N1637" i="1"/>
  <c r="M1637" i="1"/>
  <c r="L1637" i="1"/>
  <c r="Q1637" i="1" s="1"/>
  <c r="P1637" i="1" s="1"/>
  <c r="V1636" i="1"/>
  <c r="U1636" i="1"/>
  <c r="T1636" i="1"/>
  <c r="S1636" i="1"/>
  <c r="N1636" i="1"/>
  <c r="M1636" i="1"/>
  <c r="L1636" i="1"/>
  <c r="Q1636" i="1" s="1"/>
  <c r="P1636" i="1" s="1"/>
  <c r="V1635" i="1"/>
  <c r="U1635" i="1"/>
  <c r="T1635" i="1"/>
  <c r="S1635" i="1"/>
  <c r="N1635" i="1"/>
  <c r="M1635" i="1"/>
  <c r="O1635" i="1" s="1"/>
  <c r="L1635" i="1"/>
  <c r="Q1635" i="1" s="1"/>
  <c r="P1635" i="1" s="1"/>
  <c r="V1243" i="1"/>
  <c r="U1243" i="1"/>
  <c r="T1243" i="1"/>
  <c r="S1243" i="1"/>
  <c r="N1243" i="1"/>
  <c r="M1243" i="1"/>
  <c r="L1243" i="1"/>
  <c r="Q1243" i="1" s="1"/>
  <c r="P1243" i="1" s="1"/>
  <c r="V1242" i="1"/>
  <c r="U1242" i="1"/>
  <c r="T1242" i="1"/>
  <c r="S1242" i="1"/>
  <c r="Q1242" i="1"/>
  <c r="P1242" i="1" s="1"/>
  <c r="N1242" i="1"/>
  <c r="M1242" i="1"/>
  <c r="L1242" i="1"/>
  <c r="V1219" i="1"/>
  <c r="U1219" i="1"/>
  <c r="T1219" i="1"/>
  <c r="S1219" i="1"/>
  <c r="N1219" i="1"/>
  <c r="M1219" i="1"/>
  <c r="O1219" i="1" s="1"/>
  <c r="L1219" i="1"/>
  <c r="Q1219" i="1" s="1"/>
  <c r="P1219" i="1" s="1"/>
  <c r="V1517" i="1"/>
  <c r="U1517" i="1"/>
  <c r="T1517" i="1"/>
  <c r="S1517" i="1"/>
  <c r="N1517" i="1"/>
  <c r="M1517" i="1"/>
  <c r="O1517" i="1" s="1"/>
  <c r="L1517" i="1"/>
  <c r="Q1517" i="1" s="1"/>
  <c r="P1517" i="1" s="1"/>
  <c r="V1847" i="1"/>
  <c r="U1847" i="1"/>
  <c r="T1847" i="1"/>
  <c r="S1847" i="1"/>
  <c r="N1847" i="1"/>
  <c r="M1847" i="1"/>
  <c r="L1847" i="1"/>
  <c r="Q1847" i="1" s="1"/>
  <c r="P1847" i="1" s="1"/>
  <c r="V1471" i="1"/>
  <c r="U1471" i="1"/>
  <c r="T1471" i="1"/>
  <c r="S1471" i="1"/>
  <c r="N1471" i="1"/>
  <c r="M1471" i="1"/>
  <c r="O1471" i="1" s="1"/>
  <c r="L1471" i="1"/>
  <c r="Q1471" i="1" s="1"/>
  <c r="P1471" i="1" s="1"/>
  <c r="V1470" i="1"/>
  <c r="U1470" i="1"/>
  <c r="T1470" i="1"/>
  <c r="S1470" i="1"/>
  <c r="N1470" i="1"/>
  <c r="M1470" i="1"/>
  <c r="O1470" i="1" s="1"/>
  <c r="L1470" i="1"/>
  <c r="Q1470" i="1" s="1"/>
  <c r="P1470" i="1" s="1"/>
  <c r="V1846" i="1"/>
  <c r="U1846" i="1"/>
  <c r="T1846" i="1"/>
  <c r="S1846" i="1"/>
  <c r="N1846" i="1"/>
  <c r="M1846" i="1"/>
  <c r="O1846" i="1" s="1"/>
  <c r="L1846" i="1"/>
  <c r="Q1846" i="1" s="1"/>
  <c r="P1846" i="1" s="1"/>
  <c r="V1845" i="1"/>
  <c r="U1845" i="1"/>
  <c r="T1845" i="1"/>
  <c r="S1845" i="1"/>
  <c r="N1845" i="1"/>
  <c r="M1845" i="1"/>
  <c r="O1845" i="1" s="1"/>
  <c r="L1845" i="1"/>
  <c r="Q1845" i="1" s="1"/>
  <c r="P1845" i="1" s="1"/>
  <c r="O92" i="1" l="1"/>
  <c r="O1588" i="1"/>
  <c r="O1604" i="1"/>
  <c r="O1620" i="1"/>
  <c r="O1628" i="1"/>
  <c r="O1490" i="1"/>
  <c r="O1498" i="1"/>
  <c r="O1847" i="1"/>
  <c r="O1641" i="1"/>
  <c r="O1643" i="1"/>
  <c r="O1654" i="1"/>
  <c r="O1522" i="1"/>
  <c r="O1244" i="1"/>
  <c r="O89" i="1"/>
  <c r="O2" i="1"/>
  <c r="O3" i="1"/>
  <c r="O5" i="1"/>
  <c r="O1540" i="1"/>
  <c r="O1541" i="1"/>
  <c r="O1558" i="1"/>
  <c r="O1559" i="1"/>
  <c r="O1586" i="1"/>
  <c r="O1602" i="1"/>
  <c r="O1610" i="1"/>
  <c r="O1611" i="1"/>
  <c r="O1618" i="1"/>
  <c r="O1626" i="1"/>
  <c r="O1488" i="1"/>
  <c r="O1496" i="1"/>
  <c r="O1504" i="1"/>
  <c r="O1252" i="1"/>
  <c r="O1274" i="1"/>
  <c r="O1294" i="1"/>
  <c r="O1302" i="1"/>
  <c r="O563" i="1"/>
  <c r="O379" i="1"/>
  <c r="O380" i="1"/>
  <c r="O381" i="1"/>
  <c r="O119" i="1"/>
  <c r="O120" i="1"/>
  <c r="O121" i="1"/>
  <c r="O17" i="1"/>
  <c r="O1674" i="1"/>
  <c r="O1682" i="1"/>
  <c r="O1709" i="1"/>
  <c r="O1741" i="1"/>
  <c r="O1532" i="1"/>
  <c r="O88" i="1"/>
  <c r="O1582" i="1"/>
  <c r="O1270" i="1"/>
  <c r="O1300" i="1"/>
  <c r="O562" i="1"/>
  <c r="O570" i="1"/>
  <c r="O571" i="1"/>
  <c r="O128" i="1"/>
  <c r="O7" i="1"/>
  <c r="O1672" i="1"/>
  <c r="O64" i="1"/>
  <c r="O1638" i="1"/>
  <c r="O78" i="1"/>
  <c r="O85" i="1"/>
  <c r="O1546" i="1"/>
  <c r="O1554" i="1"/>
  <c r="O1576" i="1"/>
  <c r="O1486" i="1"/>
  <c r="O1494" i="1"/>
  <c r="O1502" i="1"/>
  <c r="O1268" i="1"/>
  <c r="O1299" i="1"/>
  <c r="O1308" i="1"/>
  <c r="O1222" i="1"/>
  <c r="O542" i="1"/>
  <c r="O577" i="1"/>
  <c r="O578" i="1"/>
  <c r="O585" i="1"/>
  <c r="O586" i="1"/>
  <c r="O587" i="1"/>
  <c r="O385" i="1"/>
  <c r="O403" i="1"/>
  <c r="O404" i="1"/>
  <c r="O405" i="1"/>
  <c r="O413" i="1"/>
  <c r="O127" i="1"/>
  <c r="O137" i="1"/>
  <c r="O15" i="1"/>
  <c r="O1689" i="1"/>
  <c r="O1696" i="1"/>
  <c r="O1697" i="1"/>
  <c r="O1714" i="1"/>
  <c r="O1724" i="1"/>
  <c r="O1734" i="1"/>
  <c r="O1746" i="1"/>
  <c r="O1759" i="1"/>
  <c r="O1760" i="1"/>
  <c r="O1771" i="1"/>
  <c r="O1590" i="1"/>
  <c r="O1636" i="1"/>
  <c r="O1528" i="1"/>
  <c r="O1248" i="1"/>
  <c r="O1614" i="1"/>
  <c r="O1492" i="1"/>
  <c r="O1500" i="1"/>
  <c r="O1256" i="1"/>
  <c r="O1266" i="1"/>
  <c r="O1290" i="1"/>
  <c r="O1306" i="1"/>
  <c r="O559" i="1"/>
  <c r="O567" i="1"/>
  <c r="O393" i="1"/>
  <c r="O411" i="1"/>
  <c r="O125" i="1"/>
  <c r="O1723" i="1"/>
  <c r="O1745" i="1"/>
  <c r="O1770" i="1"/>
  <c r="O1794" i="1"/>
  <c r="O1563" i="1"/>
  <c r="O1242" i="1"/>
  <c r="O1243" i="1"/>
  <c r="O1634" i="1"/>
  <c r="O1525" i="1"/>
  <c r="O1526" i="1"/>
  <c r="O66" i="1"/>
  <c r="O73" i="1"/>
  <c r="O93" i="1"/>
  <c r="O1594" i="1"/>
  <c r="O1605" i="1"/>
  <c r="O1621" i="1"/>
  <c r="O1482" i="1"/>
  <c r="O1491" i="1"/>
  <c r="O1499" i="1"/>
  <c r="O1286" i="1"/>
  <c r="O1220" i="1"/>
  <c r="O1228" i="1"/>
  <c r="O1240" i="1"/>
  <c r="O575" i="1"/>
  <c r="O583" i="1"/>
  <c r="O401" i="1"/>
  <c r="O21" i="1"/>
  <c r="O1686" i="1"/>
  <c r="O1694" i="1"/>
  <c r="O1757" i="1"/>
  <c r="O1722" i="1"/>
  <c r="O1284" i="1"/>
  <c r="O1287" i="1"/>
  <c r="O1288" i="1"/>
  <c r="O557" i="1"/>
  <c r="O582" i="1"/>
  <c r="O112" i="1"/>
  <c r="O113" i="1"/>
  <c r="O19" i="1"/>
  <c r="O28" i="1"/>
  <c r="O29" i="1"/>
  <c r="O1693" i="1"/>
  <c r="O1701" i="1"/>
  <c r="O37" i="1"/>
  <c r="O61" i="1"/>
  <c r="O1875" i="1"/>
  <c r="O1879" i="1"/>
  <c r="O709" i="1"/>
  <c r="O1111" i="1"/>
  <c r="O1780" i="1"/>
  <c r="O1789" i="1"/>
  <c r="O1816" i="1"/>
  <c r="O1830" i="1"/>
  <c r="O1371" i="1"/>
  <c r="O1379" i="1"/>
  <c r="O1398" i="1"/>
  <c r="O1412" i="1"/>
  <c r="O1413" i="1"/>
  <c r="O1414" i="1"/>
  <c r="O1415" i="1"/>
  <c r="O1447" i="1"/>
  <c r="O1190" i="1"/>
  <c r="O139" i="1"/>
  <c r="O167" i="1"/>
  <c r="O180" i="1"/>
  <c r="O194" i="1"/>
  <c r="O198" i="1"/>
  <c r="O1341" i="1"/>
  <c r="O1178" i="1"/>
  <c r="O47" i="1"/>
  <c r="O48" i="1"/>
  <c r="O1865" i="1"/>
  <c r="O1873" i="1"/>
  <c r="O1900" i="1"/>
  <c r="O1914" i="1"/>
  <c r="O1931" i="1"/>
  <c r="O592" i="1"/>
  <c r="O608" i="1"/>
  <c r="O631" i="1"/>
  <c r="O640" i="1"/>
  <c r="O661" i="1"/>
  <c r="O663" i="1"/>
  <c r="O665" i="1"/>
  <c r="O700" i="1"/>
  <c r="O718" i="1"/>
  <c r="O1377" i="1"/>
  <c r="O1394" i="1"/>
  <c r="O1396" i="1"/>
  <c r="O1427" i="1"/>
  <c r="O1434" i="1"/>
  <c r="O1445" i="1"/>
  <c r="O1459" i="1"/>
  <c r="O1188" i="1"/>
  <c r="O1218" i="1"/>
  <c r="O165" i="1"/>
  <c r="O173" i="1"/>
  <c r="O102" i="1"/>
  <c r="O1329" i="1"/>
  <c r="O1330" i="1"/>
  <c r="O44" i="1"/>
  <c r="O1854" i="1"/>
  <c r="O1857" i="1"/>
  <c r="O1858" i="1"/>
  <c r="O1863" i="1"/>
  <c r="O1887" i="1"/>
  <c r="O1893" i="1"/>
  <c r="O1894" i="1"/>
  <c r="O1657" i="1"/>
  <c r="O1658" i="1"/>
  <c r="O1929" i="1"/>
  <c r="O605" i="1"/>
  <c r="O682" i="1"/>
  <c r="O698" i="1"/>
  <c r="O716" i="1"/>
  <c r="O1786" i="1"/>
  <c r="O1839" i="1"/>
  <c r="O1346" i="1"/>
  <c r="O1327" i="1"/>
  <c r="O42" i="1"/>
  <c r="O1896" i="1"/>
  <c r="O1906" i="1"/>
  <c r="O1939" i="1"/>
  <c r="O1940" i="1"/>
  <c r="O625" i="1"/>
  <c r="O672" i="1"/>
  <c r="O1784" i="1"/>
  <c r="O1798" i="1"/>
  <c r="O1804" i="1"/>
  <c r="O1825" i="1"/>
  <c r="O1833" i="1"/>
  <c r="O1837" i="1"/>
  <c r="O1353" i="1"/>
  <c r="O1358" i="1"/>
  <c r="O1359" i="1"/>
  <c r="O1360" i="1"/>
  <c r="O1362" i="1"/>
  <c r="O1401" i="1"/>
  <c r="O1424" i="1"/>
  <c r="O1442" i="1"/>
  <c r="O1182" i="1"/>
  <c r="O1185" i="1"/>
  <c r="O1204" i="1"/>
  <c r="O142" i="1"/>
  <c r="O161" i="1"/>
  <c r="O206" i="1"/>
  <c r="O207" i="1"/>
  <c r="O208" i="1"/>
  <c r="O209" i="1"/>
  <c r="O214" i="1"/>
  <c r="O1324" i="1"/>
  <c r="O1850" i="1"/>
  <c r="O1868" i="1"/>
  <c r="O1844" i="1"/>
  <c r="O1934" i="1"/>
  <c r="O1661" i="1"/>
  <c r="O1936" i="1"/>
  <c r="O1946" i="1"/>
  <c r="O1630" i="1"/>
  <c r="O1949" i="1"/>
  <c r="O1631" i="1"/>
  <c r="O1952" i="1"/>
  <c r="O1954" i="1"/>
  <c r="O595" i="1"/>
  <c r="O623" i="1"/>
  <c r="O655" i="1"/>
  <c r="O679" i="1"/>
  <c r="O694" i="1"/>
  <c r="O703" i="1"/>
  <c r="O704" i="1"/>
  <c r="O713" i="1"/>
  <c r="O732" i="1"/>
  <c r="O1105" i="1"/>
  <c r="O778" i="1"/>
  <c r="O801" i="1"/>
  <c r="O802" i="1"/>
  <c r="O892" i="1"/>
  <c r="O903" i="1"/>
  <c r="O916" i="1"/>
  <c r="O929" i="1"/>
  <c r="O976" i="1"/>
  <c r="O987" i="1"/>
  <c r="O1006" i="1"/>
  <c r="O1016" i="1"/>
  <c r="O1043" i="1"/>
  <c r="O1044" i="1"/>
  <c r="O1045" i="1"/>
  <c r="O1046" i="1"/>
  <c r="O1047" i="1"/>
  <c r="O1112" i="1"/>
  <c r="O1134" i="1"/>
  <c r="O1167" i="1"/>
  <c r="O418" i="1"/>
  <c r="O442" i="1"/>
  <c r="O474" i="1"/>
  <c r="O1090" i="1"/>
  <c r="O1091" i="1"/>
  <c r="O1092" i="1"/>
  <c r="O1093" i="1"/>
  <c r="O1094" i="1"/>
  <c r="O441" i="1"/>
  <c r="O472" i="1"/>
  <c r="O473" i="1"/>
  <c r="O493" i="1"/>
  <c r="O1841" i="1"/>
  <c r="O1842" i="1"/>
  <c r="O516" i="1"/>
  <c r="O526" i="1"/>
  <c r="O741" i="1"/>
  <c r="O763" i="1"/>
  <c r="O764" i="1"/>
  <c r="O765" i="1"/>
  <c r="O766" i="1"/>
  <c r="O789" i="1"/>
  <c r="O790" i="1"/>
  <c r="O797" i="1"/>
  <c r="O869" i="1"/>
  <c r="O879" i="1"/>
  <c r="O889" i="1"/>
  <c r="O890" i="1"/>
  <c r="O900" i="1"/>
  <c r="O913" i="1"/>
  <c r="O914" i="1"/>
  <c r="O925" i="1"/>
  <c r="O926" i="1"/>
  <c r="O983" i="1"/>
  <c r="O1004" i="1"/>
  <c r="O1086" i="1"/>
  <c r="O1097" i="1"/>
  <c r="O1098" i="1"/>
  <c r="O1120" i="1"/>
  <c r="O1131" i="1"/>
  <c r="O1132" i="1"/>
  <c r="O1154" i="1"/>
  <c r="O1155" i="1"/>
  <c r="O1165" i="1"/>
  <c r="O439" i="1"/>
  <c r="O467" i="1"/>
  <c r="O487" i="1"/>
  <c r="O219" i="1"/>
  <c r="O786" i="1"/>
  <c r="O795" i="1"/>
  <c r="O798" i="1"/>
  <c r="O807" i="1"/>
  <c r="O819" i="1"/>
  <c r="O897" i="1"/>
  <c r="O909" i="1"/>
  <c r="O910" i="1"/>
  <c r="O941" i="1"/>
  <c r="O961" i="1"/>
  <c r="O964" i="1"/>
  <c r="O993" i="1"/>
  <c r="O994" i="1"/>
  <c r="O995" i="1"/>
  <c r="O996" i="1"/>
  <c r="O997" i="1"/>
  <c r="O998" i="1"/>
  <c r="O999" i="1"/>
  <c r="O1003" i="1"/>
  <c r="O1065" i="1"/>
  <c r="O1068" i="1"/>
  <c r="O1069" i="1"/>
  <c r="O1070" i="1"/>
  <c r="O1073" i="1"/>
  <c r="O1084" i="1"/>
  <c r="O1119" i="1"/>
  <c r="O1130" i="1"/>
  <c r="O1160" i="1"/>
  <c r="O216" i="1"/>
  <c r="O1080" i="1"/>
  <c r="O1081" i="1"/>
  <c r="O1082" i="1"/>
  <c r="O1083" i="1"/>
  <c r="O1137" i="1"/>
  <c r="O1149" i="1"/>
  <c r="O1150" i="1"/>
  <c r="O1151" i="1"/>
  <c r="O1152" i="1"/>
  <c r="O421" i="1"/>
  <c r="O451" i="1"/>
  <c r="O456" i="1"/>
  <c r="O457" i="1"/>
  <c r="O464" i="1"/>
  <c r="O484" i="1"/>
  <c r="O508" i="1"/>
  <c r="O530" i="1"/>
  <c r="O719" i="1"/>
  <c r="O720" i="1"/>
  <c r="O737" i="1"/>
  <c r="O752" i="1"/>
  <c r="O756" i="1"/>
  <c r="O771" i="1"/>
  <c r="O780" i="1"/>
  <c r="O781" i="1"/>
  <c r="O782" i="1"/>
  <c r="O793" i="1"/>
  <c r="O794" i="1"/>
  <c r="O830" i="1"/>
  <c r="O885" i="1"/>
  <c r="O895" i="1"/>
  <c r="O905" i="1"/>
  <c r="O933" i="1"/>
  <c r="O940" i="1"/>
  <c r="O958" i="1"/>
  <c r="O988" i="1"/>
  <c r="O989" i="1"/>
  <c r="O1022" i="1"/>
  <c r="O1025" i="1"/>
  <c r="O1051" i="1"/>
  <c r="O1052" i="1"/>
  <c r="O1104" i="1"/>
  <c r="O1107" i="1"/>
  <c r="O1108" i="1"/>
  <c r="O1109" i="1"/>
  <c r="O1110" i="1"/>
  <c r="O1116" i="1"/>
  <c r="O420" i="1"/>
  <c r="O450" i="1"/>
  <c r="O529" i="1"/>
  <c r="O1250" i="1"/>
  <c r="O1307" i="1"/>
  <c r="O1595" i="1"/>
  <c r="O1510" i="1"/>
  <c r="O1649" i="1"/>
  <c r="O1651" i="1"/>
  <c r="O1533" i="1"/>
  <c r="O1245" i="1"/>
  <c r="O1246" i="1"/>
  <c r="O65" i="1"/>
  <c r="O67" i="1"/>
  <c r="O68" i="1"/>
  <c r="O70" i="1"/>
  <c r="O79" i="1"/>
  <c r="O80" i="1"/>
  <c r="O82" i="1"/>
  <c r="O94" i="1"/>
  <c r="O1536" i="1"/>
  <c r="O1537" i="1"/>
  <c r="O1544" i="1"/>
  <c r="O1545" i="1"/>
  <c r="O1555" i="1"/>
  <c r="O1616" i="1"/>
  <c r="O1629" i="1"/>
  <c r="O1479" i="1"/>
  <c r="O1239" i="1"/>
  <c r="O561" i="1"/>
  <c r="O11" i="1"/>
  <c r="O1733" i="1"/>
  <c r="O1736" i="1"/>
  <c r="O1754" i="1"/>
  <c r="O1782" i="1"/>
  <c r="O1783" i="1"/>
  <c r="O1829" i="1"/>
  <c r="O1430" i="1"/>
  <c r="O74" i="1"/>
  <c r="O1551" i="1"/>
  <c r="O1645" i="1"/>
  <c r="O1647" i="1"/>
  <c r="O77" i="1"/>
  <c r="O91" i="1"/>
  <c r="O1557" i="1"/>
  <c r="O1565" i="1"/>
  <c r="O1573" i="1"/>
  <c r="O1251" i="1"/>
  <c r="O1253" i="1"/>
  <c r="O1257" i="1"/>
  <c r="O1259" i="1"/>
  <c r="O1261" i="1"/>
  <c r="O1265" i="1"/>
  <c r="O1267" i="1"/>
  <c r="O1269" i="1"/>
  <c r="O1273" i="1"/>
  <c r="O1292" i="1"/>
  <c r="O1314" i="1"/>
  <c r="O1315" i="1"/>
  <c r="O558" i="1"/>
  <c r="O573" i="1"/>
  <c r="O574" i="1"/>
  <c r="O371" i="1"/>
  <c r="O372" i="1"/>
  <c r="O395" i="1"/>
  <c r="O396" i="1"/>
  <c r="O20" i="1"/>
  <c r="O1685" i="1"/>
  <c r="O1717" i="1"/>
  <c r="O1753" i="1"/>
  <c r="O1796" i="1"/>
  <c r="O1811" i="1"/>
  <c r="O1409" i="1"/>
  <c r="O1234" i="1"/>
  <c r="O1752" i="1"/>
  <c r="O1803" i="1"/>
  <c r="O1637" i="1"/>
  <c r="O1639" i="1"/>
  <c r="O1180" i="1"/>
  <c r="O75" i="1"/>
  <c r="O76" i="1"/>
  <c r="O90" i="1"/>
  <c r="O1552" i="1"/>
  <c r="O1572" i="1"/>
  <c r="O1579" i="1"/>
  <c r="O1580" i="1"/>
  <c r="O1581" i="1"/>
  <c r="O1587" i="1"/>
  <c r="O1589" i="1"/>
  <c r="O1509" i="1"/>
  <c r="O1511" i="1"/>
  <c r="O1281" i="1"/>
  <c r="O1285" i="1"/>
  <c r="O1310" i="1"/>
  <c r="O1230" i="1"/>
  <c r="O549" i="1"/>
  <c r="O553" i="1"/>
  <c r="O135" i="1"/>
  <c r="O1776" i="1"/>
  <c r="O1777" i="1"/>
  <c r="O1787" i="1"/>
  <c r="O1345" i="1"/>
  <c r="O1247" i="1"/>
  <c r="O69" i="1"/>
  <c r="O71" i="1"/>
  <c r="O72" i="1"/>
  <c r="O81" i="1"/>
  <c r="O83" i="1"/>
  <c r="O84" i="1"/>
  <c r="O86" i="1"/>
  <c r="O95" i="1"/>
  <c r="O96" i="1"/>
  <c r="O34" i="1"/>
  <c r="O1538" i="1"/>
  <c r="O1539" i="1"/>
  <c r="O1550" i="1"/>
  <c r="O1613" i="1"/>
  <c r="O1619" i="1"/>
  <c r="O1623" i="1"/>
  <c r="O1501" i="1"/>
  <c r="O1506" i="1"/>
  <c r="O1298" i="1"/>
  <c r="O1301" i="1"/>
  <c r="O1227" i="1"/>
  <c r="O541" i="1"/>
  <c r="O546" i="1"/>
  <c r="O27" i="1"/>
  <c r="O1738" i="1"/>
  <c r="O1765" i="1"/>
  <c r="O1351" i="1"/>
  <c r="O375" i="1"/>
  <c r="O376" i="1"/>
  <c r="O391" i="1"/>
  <c r="O392" i="1"/>
  <c r="O407" i="1"/>
  <c r="O408" i="1"/>
  <c r="O115" i="1"/>
  <c r="O116" i="1"/>
  <c r="O132" i="1"/>
  <c r="O16" i="1"/>
  <c r="O32" i="1"/>
  <c r="O1676" i="1"/>
  <c r="O1678" i="1"/>
  <c r="O1692" i="1"/>
  <c r="O1708" i="1"/>
  <c r="O1750" i="1"/>
  <c r="O1768" i="1"/>
  <c r="O1769" i="1"/>
  <c r="O1799" i="1"/>
  <c r="O1812" i="1"/>
  <c r="O1813" i="1"/>
  <c r="O1817" i="1"/>
  <c r="O1820" i="1"/>
  <c r="O1361" i="1"/>
  <c r="O1363" i="1"/>
  <c r="O1389" i="1"/>
  <c r="O1391" i="1"/>
  <c r="O1392" i="1"/>
  <c r="O1393" i="1"/>
  <c r="O1410" i="1"/>
  <c r="O1411" i="1"/>
  <c r="O1418" i="1"/>
  <c r="O1419" i="1"/>
  <c r="O1436" i="1"/>
  <c r="O1437" i="1"/>
  <c r="O1438" i="1"/>
  <c r="O1203" i="1"/>
  <c r="O603" i="1"/>
  <c r="O1690" i="1"/>
  <c r="O1706" i="1"/>
  <c r="O1773" i="1"/>
  <c r="O1774" i="1"/>
  <c r="O1800" i="1"/>
  <c r="O1801" i="1"/>
  <c r="O1368" i="1"/>
  <c r="O1435" i="1"/>
  <c r="O1461" i="1"/>
  <c r="O1462" i="1"/>
  <c r="O1463" i="1"/>
  <c r="O1196" i="1"/>
  <c r="O1197" i="1"/>
  <c r="O1198" i="1"/>
  <c r="O1202" i="1"/>
  <c r="O1210" i="1"/>
  <c r="O1213" i="1"/>
  <c r="O1215" i="1"/>
  <c r="O146" i="1"/>
  <c r="O157" i="1"/>
  <c r="O158" i="1"/>
  <c r="O188" i="1"/>
  <c r="O204" i="1"/>
  <c r="O211" i="1"/>
  <c r="O1337" i="1"/>
  <c r="O55" i="1"/>
  <c r="O1849" i="1"/>
  <c r="O1823" i="1"/>
  <c r="O1826" i="1"/>
  <c r="O1827" i="1"/>
  <c r="O1344" i="1"/>
  <c r="O1348" i="1"/>
  <c r="O1349" i="1"/>
  <c r="O1350" i="1"/>
  <c r="O1366" i="1"/>
  <c r="O1367" i="1"/>
  <c r="O1372" i="1"/>
  <c r="O1373" i="1"/>
  <c r="O1374" i="1"/>
  <c r="O1376" i="1"/>
  <c r="O1468" i="1"/>
  <c r="O1200" i="1"/>
  <c r="O145" i="1"/>
  <c r="O162" i="1"/>
  <c r="O169" i="1"/>
  <c r="O185" i="1"/>
  <c r="O203" i="1"/>
  <c r="O215" i="1"/>
  <c r="O101" i="1"/>
  <c r="O1923" i="1"/>
  <c r="O383" i="1"/>
  <c r="O384" i="1"/>
  <c r="O399" i="1"/>
  <c r="O400" i="1"/>
  <c r="O107" i="1"/>
  <c r="O108" i="1"/>
  <c r="O123" i="1"/>
  <c r="O124" i="1"/>
  <c r="O8" i="1"/>
  <c r="O24" i="1"/>
  <c r="O1669" i="1"/>
  <c r="O1670" i="1"/>
  <c r="O1684" i="1"/>
  <c r="O1700" i="1"/>
  <c r="O1716" i="1"/>
  <c r="O1718" i="1"/>
  <c r="O1370" i="1"/>
  <c r="O1466" i="1"/>
  <c r="O160" i="1"/>
  <c r="O184" i="1"/>
  <c r="O201" i="1"/>
  <c r="O50" i="1"/>
  <c r="O1908" i="1"/>
  <c r="O1913" i="1"/>
  <c r="O1792" i="1"/>
  <c r="O1793" i="1"/>
  <c r="O1808" i="1"/>
  <c r="O1355" i="1"/>
  <c r="O1404" i="1"/>
  <c r="O1426" i="1"/>
  <c r="O1183" i="1"/>
  <c r="O200" i="1"/>
  <c r="O1856" i="1"/>
  <c r="O1928" i="1"/>
  <c r="O1664" i="1"/>
  <c r="O1665" i="1"/>
  <c r="O1680" i="1"/>
  <c r="O1712" i="1"/>
  <c r="O1731" i="1"/>
  <c r="O1740" i="1"/>
  <c r="O1761" i="1"/>
  <c r="O1795" i="1"/>
  <c r="O1357" i="1"/>
  <c r="O1406" i="1"/>
  <c r="O1408" i="1"/>
  <c r="O1453" i="1"/>
  <c r="O1456" i="1"/>
  <c r="O1457" i="1"/>
  <c r="O1321" i="1"/>
  <c r="O1891" i="1"/>
  <c r="O1927" i="1"/>
  <c r="O1458" i="1"/>
  <c r="O1193" i="1"/>
  <c r="O1211" i="1"/>
  <c r="O152" i="1"/>
  <c r="O155" i="1"/>
  <c r="O176" i="1"/>
  <c r="O177" i="1"/>
  <c r="O193" i="1"/>
  <c r="O196" i="1"/>
  <c r="O212" i="1"/>
  <c r="O213" i="1"/>
  <c r="O38" i="1"/>
  <c r="O39" i="1"/>
  <c r="O57" i="1"/>
  <c r="O58" i="1"/>
  <c r="O1859" i="1"/>
  <c r="O1861" i="1"/>
  <c r="O1935" i="1"/>
  <c r="O588" i="1"/>
  <c r="O626" i="1"/>
  <c r="O628" i="1"/>
  <c r="O648" i="1"/>
  <c r="O652" i="1"/>
  <c r="O855" i="1"/>
  <c r="O891" i="1"/>
  <c r="O1323" i="1"/>
  <c r="O1325" i="1"/>
  <c r="O1326" i="1"/>
  <c r="O41" i="1"/>
  <c r="O60" i="1"/>
  <c r="O1848" i="1"/>
  <c r="O1884" i="1"/>
  <c r="O1895" i="1"/>
  <c r="O1897" i="1"/>
  <c r="O1911" i="1"/>
  <c r="O1912" i="1"/>
  <c r="O1660" i="1"/>
  <c r="O1937" i="1"/>
  <c r="O1938" i="1"/>
  <c r="O1957" i="1"/>
  <c r="O651" i="1"/>
  <c r="O668" i="1"/>
  <c r="O670" i="1"/>
  <c r="O688" i="1"/>
  <c r="O820" i="1"/>
  <c r="O852" i="1"/>
  <c r="O902" i="1"/>
  <c r="O97" i="1"/>
  <c r="O1331" i="1"/>
  <c r="O1332" i="1"/>
  <c r="O1334" i="1"/>
  <c r="O1335" i="1"/>
  <c r="O1336" i="1"/>
  <c r="O680" i="1"/>
  <c r="O681" i="1"/>
  <c r="O851" i="1"/>
  <c r="O1852" i="1"/>
  <c r="O1853" i="1"/>
  <c r="O1872" i="1"/>
  <c r="O1874" i="1"/>
  <c r="O1876" i="1"/>
  <c r="O1903" i="1"/>
  <c r="O635" i="1"/>
  <c r="O676" i="1"/>
  <c r="O806" i="1"/>
  <c r="O845" i="1"/>
  <c r="O882" i="1"/>
  <c r="O1339" i="1"/>
  <c r="O1878" i="1"/>
  <c r="O1889" i="1"/>
  <c r="O1905" i="1"/>
  <c r="O1918" i="1"/>
  <c r="O1920" i="1"/>
  <c r="O617" i="1"/>
  <c r="O633" i="1"/>
  <c r="O734" i="1"/>
  <c r="O843" i="1"/>
  <c r="O877" i="1"/>
  <c r="O1206" i="1"/>
  <c r="O149" i="1"/>
  <c r="O168" i="1"/>
  <c r="O170" i="1"/>
  <c r="O171" i="1"/>
  <c r="O187" i="1"/>
  <c r="O1316" i="1"/>
  <c r="O1319" i="1"/>
  <c r="O414" i="1"/>
  <c r="O35" i="1"/>
  <c r="O51" i="1"/>
  <c r="O52" i="1"/>
  <c r="O1880" i="1"/>
  <c r="O1907" i="1"/>
  <c r="O1922" i="1"/>
  <c r="O1924" i="1"/>
  <c r="O1925" i="1"/>
  <c r="O1926" i="1"/>
  <c r="O604" i="1"/>
  <c r="O632" i="1"/>
  <c r="O824" i="1"/>
  <c r="O875" i="1"/>
  <c r="O616" i="1"/>
  <c r="O636" i="1"/>
  <c r="O659" i="1"/>
  <c r="O673" i="1"/>
  <c r="O684" i="1"/>
  <c r="O687" i="1"/>
  <c r="O805" i="1"/>
  <c r="O821" i="1"/>
  <c r="O822" i="1"/>
  <c r="O823" i="1"/>
  <c r="O844" i="1"/>
  <c r="O848" i="1"/>
  <c r="O876" i="1"/>
  <c r="O883" i="1"/>
  <c r="O886" i="1"/>
  <c r="O894" i="1"/>
  <c r="O907" i="1"/>
  <c r="O908" i="1"/>
  <c r="O912" i="1"/>
  <c r="O945" i="1"/>
  <c r="O946" i="1"/>
  <c r="O947" i="1"/>
  <c r="O1103" i="1"/>
  <c r="O1113" i="1"/>
  <c r="O1114" i="1"/>
  <c r="O1115" i="1"/>
  <c r="O1943" i="1"/>
  <c r="O600" i="1"/>
  <c r="O620" i="1"/>
  <c r="O761" i="1"/>
  <c r="O775" i="1"/>
  <c r="O777" i="1"/>
  <c r="O792" i="1"/>
  <c r="O799" i="1"/>
  <c r="O803" i="1"/>
  <c r="O809" i="1"/>
  <c r="O813" i="1"/>
  <c r="O815" i="1"/>
  <c r="O923" i="1"/>
  <c r="O977" i="1"/>
  <c r="O1026" i="1"/>
  <c r="O1027" i="1"/>
  <c r="O1028" i="1"/>
  <c r="O1029" i="1"/>
  <c r="O1030" i="1"/>
  <c r="O1031" i="1"/>
  <c r="O1175" i="1"/>
  <c r="O448" i="1"/>
  <c r="O1916" i="1"/>
  <c r="O624" i="1"/>
  <c r="O642" i="1"/>
  <c r="O644" i="1"/>
  <c r="O725" i="1"/>
  <c r="O726" i="1"/>
  <c r="O730" i="1"/>
  <c r="O746" i="1"/>
  <c r="O748" i="1"/>
  <c r="O758" i="1"/>
  <c r="O760" i="1"/>
  <c r="O776" i="1"/>
  <c r="O787" i="1"/>
  <c r="O791" i="1"/>
  <c r="O812" i="1"/>
  <c r="O833" i="1"/>
  <c r="O836" i="1"/>
  <c r="O841" i="1"/>
  <c r="O857" i="1"/>
  <c r="O858" i="1"/>
  <c r="O861" i="1"/>
  <c r="O865" i="1"/>
  <c r="O868" i="1"/>
  <c r="O922" i="1"/>
  <c r="O939" i="1"/>
  <c r="O953" i="1"/>
  <c r="O954" i="1"/>
  <c r="O957" i="1"/>
  <c r="O959" i="1"/>
  <c r="O963" i="1"/>
  <c r="O968" i="1"/>
  <c r="O971" i="1"/>
  <c r="O972" i="1"/>
  <c r="O1064" i="1"/>
  <c r="O1067" i="1"/>
  <c r="O1161" i="1"/>
  <c r="O431" i="1"/>
  <c r="O525" i="1"/>
  <c r="O825" i="1"/>
  <c r="O829" i="1"/>
  <c r="O831" i="1"/>
  <c r="O835" i="1"/>
  <c r="O856" i="1"/>
  <c r="O863" i="1"/>
  <c r="O867" i="1"/>
  <c r="O873" i="1"/>
  <c r="O901" i="1"/>
  <c r="O952" i="1"/>
  <c r="O1148" i="1"/>
  <c r="O915" i="1"/>
  <c r="O918" i="1"/>
  <c r="O919" i="1"/>
  <c r="O950" i="1"/>
  <c r="O951" i="1"/>
  <c r="O1177" i="1"/>
  <c r="O433" i="1"/>
  <c r="O434" i="1"/>
  <c r="O435" i="1"/>
  <c r="O510" i="1"/>
  <c r="O511" i="1"/>
  <c r="O979" i="1"/>
  <c r="O980" i="1"/>
  <c r="O981" i="1"/>
  <c r="O982" i="1"/>
  <c r="O1033" i="1"/>
  <c r="O1049" i="1"/>
  <c r="O1050" i="1"/>
  <c r="O1100" i="1"/>
  <c r="O1101" i="1"/>
  <c r="O1102" i="1"/>
  <c r="O1117" i="1"/>
  <c r="O1118" i="1"/>
  <c r="O416" i="1"/>
  <c r="O417" i="1"/>
  <c r="O437" i="1"/>
  <c r="O438" i="1"/>
  <c r="O453" i="1"/>
  <c r="O454" i="1"/>
  <c r="O469" i="1"/>
  <c r="O470" i="1"/>
  <c r="O489" i="1"/>
  <c r="O490" i="1"/>
  <c r="O491" i="1"/>
  <c r="O513" i="1"/>
  <c r="O514" i="1"/>
  <c r="O534" i="1"/>
  <c r="O535" i="1"/>
  <c r="O536" i="1"/>
  <c r="O537" i="1"/>
  <c r="O538" i="1"/>
  <c r="O539" i="1"/>
  <c r="O540" i="1"/>
  <c r="O220" i="1"/>
  <c r="O985" i="1"/>
  <c r="O986" i="1"/>
  <c r="O1036" i="1"/>
  <c r="O1037" i="1"/>
  <c r="O1038" i="1"/>
  <c r="O1053" i="1"/>
  <c r="O1054" i="1"/>
  <c r="O475" i="1"/>
  <c r="O1122" i="1"/>
  <c r="O1123" i="1"/>
  <c r="O1124" i="1"/>
  <c r="O1125" i="1"/>
  <c r="O1126" i="1"/>
  <c r="O1139" i="1"/>
  <c r="O1140" i="1"/>
  <c r="O1141" i="1"/>
  <c r="O1142" i="1"/>
  <c r="O1169" i="1"/>
  <c r="O425" i="1"/>
  <c r="O426" i="1"/>
  <c r="O477" i="1"/>
  <c r="O478" i="1"/>
  <c r="O494" i="1"/>
  <c r="O495" i="1"/>
  <c r="O496" i="1"/>
  <c r="O497" i="1"/>
  <c r="O498" i="1"/>
  <c r="O499" i="1"/>
  <c r="O518" i="1"/>
  <c r="O519" i="1"/>
  <c r="O520" i="1"/>
  <c r="O521" i="1"/>
  <c r="O522" i="1"/>
  <c r="O1158" i="1"/>
  <c r="O1171" i="1"/>
  <c r="O1172" i="1"/>
  <c r="O445" i="1"/>
  <c r="O446" i="1"/>
  <c r="O461" i="1"/>
  <c r="O462" i="1"/>
  <c r="O920" i="1"/>
  <c r="O927" i="1"/>
  <c r="O932" i="1"/>
  <c r="O937" i="1"/>
  <c r="O944" i="1"/>
  <c r="O965" i="1"/>
  <c r="O973" i="1"/>
  <c r="O1058" i="1"/>
  <c r="O1059" i="1"/>
  <c r="O1060" i="1"/>
  <c r="O1061" i="1"/>
  <c r="O1062" i="1"/>
  <c r="O1075" i="1"/>
  <c r="O1076" i="1"/>
  <c r="O1077" i="1"/>
  <c r="O1078" i="1"/>
  <c r="O1129" i="1"/>
  <c r="O1145" i="1"/>
  <c r="O1174" i="1"/>
  <c r="O429" i="1"/>
  <c r="O430" i="1"/>
  <c r="O481" i="1"/>
  <c r="O482" i="1"/>
  <c r="O483" i="1"/>
  <c r="O502" i="1"/>
  <c r="O503" i="1"/>
  <c r="O504" i="1"/>
  <c r="O505" i="1"/>
  <c r="O506" i="1"/>
  <c r="O507" i="1"/>
  <c r="O1585" i="1"/>
  <c r="O1617" i="1"/>
  <c r="O1475" i="1"/>
  <c r="O1255" i="1"/>
  <c r="O1561" i="1"/>
  <c r="O1593" i="1"/>
  <c r="O1625" i="1"/>
  <c r="O1263" i="1"/>
  <c r="O1569" i="1"/>
  <c r="O1601" i="1"/>
  <c r="O1481" i="1"/>
  <c r="O1271" i="1"/>
  <c r="O1577" i="1"/>
  <c r="O1609" i="1"/>
  <c r="O1473" i="1"/>
  <c r="O1483" i="1"/>
  <c r="O1279" i="1"/>
  <c r="O1671" i="1"/>
  <c r="O1675" i="1"/>
  <c r="O1679" i="1"/>
  <c r="O1683" i="1"/>
  <c r="O1687" i="1"/>
  <c r="O1691" i="1"/>
  <c r="O1695" i="1"/>
  <c r="O1699" i="1"/>
  <c r="O1703" i="1"/>
  <c r="O1707" i="1"/>
  <c r="O1711" i="1"/>
  <c r="O1715" i="1"/>
  <c r="O1289" i="1"/>
  <c r="O1305" i="1"/>
  <c r="O1309" i="1"/>
  <c r="O1313" i="1"/>
  <c r="O1221" i="1"/>
  <c r="O1225" i="1"/>
  <c r="O1229" i="1"/>
  <c r="O1233" i="1"/>
  <c r="O1237" i="1"/>
  <c r="O1241" i="1"/>
  <c r="O544" i="1"/>
  <c r="O548" i="1"/>
  <c r="O552" i="1"/>
  <c r="O556" i="1"/>
  <c r="O560" i="1"/>
  <c r="O564" i="1"/>
  <c r="O568" i="1"/>
  <c r="O572" i="1"/>
  <c r="O576" i="1"/>
  <c r="O580" i="1"/>
  <c r="O584" i="1"/>
  <c r="O370" i="1"/>
  <c r="O374" i="1"/>
  <c r="O378" i="1"/>
  <c r="O382" i="1"/>
  <c r="O386" i="1"/>
  <c r="O390" i="1"/>
  <c r="O394" i="1"/>
  <c r="O398" i="1"/>
  <c r="O402" i="1"/>
  <c r="O406" i="1"/>
  <c r="O410" i="1"/>
  <c r="O106" i="1"/>
  <c r="O110" i="1"/>
  <c r="O114" i="1"/>
  <c r="O118" i="1"/>
  <c r="O122" i="1"/>
  <c r="O126" i="1"/>
  <c r="O130" i="1"/>
  <c r="O134" i="1"/>
  <c r="O6" i="1"/>
  <c r="O10" i="1"/>
  <c r="O14" i="1"/>
  <c r="O18" i="1"/>
  <c r="O22" i="1"/>
  <c r="O26" i="1"/>
  <c r="O30" i="1"/>
  <c r="O1663" i="1"/>
  <c r="O1667" i="1"/>
  <c r="O1297" i="1"/>
  <c r="O1730" i="1"/>
  <c r="O1378" i="1"/>
  <c r="O1450" i="1"/>
  <c r="O148" i="1"/>
  <c r="O1871" i="1"/>
  <c r="O1354" i="1"/>
  <c r="O1386" i="1"/>
  <c r="O144" i="1"/>
  <c r="O1930" i="1"/>
  <c r="O1726" i="1"/>
  <c r="O1947" i="1"/>
  <c r="O1840" i="1"/>
  <c r="O602" i="1"/>
  <c r="O618" i="1"/>
  <c r="O634" i="1"/>
  <c r="O650" i="1"/>
  <c r="O590" i="1"/>
  <c r="O606" i="1"/>
  <c r="O622" i="1"/>
  <c r="O638" i="1"/>
  <c r="O654" i="1"/>
  <c r="O1950" i="1"/>
  <c r="O594" i="1"/>
  <c r="O610" i="1"/>
  <c r="O658" i="1"/>
  <c r="O1953" i="1"/>
  <c r="O598" i="1"/>
  <c r="O614" i="1"/>
  <c r="O630" i="1"/>
  <c r="O646" i="1"/>
  <c r="O727" i="1"/>
  <c r="O759" i="1"/>
  <c r="O808" i="1"/>
  <c r="O872" i="1"/>
  <c r="O667" i="1"/>
  <c r="O739" i="1"/>
  <c r="O675" i="1"/>
  <c r="O731" i="1"/>
  <c r="O743" i="1"/>
  <c r="O840" i="1"/>
  <c r="O904" i="1"/>
  <c r="O911" i="1"/>
  <c r="O683" i="1"/>
  <c r="O723" i="1"/>
  <c r="O755" i="1"/>
  <c r="O671" i="1"/>
  <c r="O691" i="1"/>
  <c r="O699" i="1"/>
  <c r="O707" i="1"/>
  <c r="O715" i="1"/>
  <c r="O735" i="1"/>
  <c r="O847" i="1"/>
  <c r="O936" i="1"/>
  <c r="O943" i="1"/>
  <c r="O769" i="1"/>
  <c r="O785" i="1"/>
  <c r="O773" i="1"/>
</calcChain>
</file>

<file path=xl/sharedStrings.xml><?xml version="1.0" encoding="utf-8"?>
<sst xmlns="http://schemas.openxmlformats.org/spreadsheetml/2006/main" count="18843" uniqueCount="1080">
  <si>
    <t>Tipo Atividade</t>
  </si>
  <si>
    <t>Ordem servico</t>
  </si>
  <si>
    <t>Numero operacao</t>
  </si>
  <si>
    <t>Atividade Ativo</t>
  </si>
  <si>
    <t>Codigo departamento</t>
  </si>
  <si>
    <t>Data inicial programada</t>
  </si>
  <si>
    <t>Status</t>
  </si>
  <si>
    <t>Status da Operação</t>
  </si>
  <si>
    <t>Ativo</t>
  </si>
  <si>
    <t>Descrição Longa</t>
  </si>
  <si>
    <t>Materiais</t>
  </si>
  <si>
    <t>Concatenar</t>
  </si>
  <si>
    <t>Sem Intervalo</t>
  </si>
  <si>
    <t>Com Intervalo</t>
  </si>
  <si>
    <t>OS Criada</t>
  </si>
  <si>
    <t>Recursos</t>
  </si>
  <si>
    <t>Hxh Plano</t>
  </si>
  <si>
    <t>Prioridade</t>
  </si>
  <si>
    <t>SEG</t>
  </si>
  <si>
    <t>MAN</t>
  </si>
  <si>
    <t>CICLO</t>
  </si>
  <si>
    <t>ESPECIALIDADE IPA</t>
  </si>
  <si>
    <t>PLANO</t>
  </si>
  <si>
    <t>YBA1</t>
  </si>
  <si>
    <t>EE_INS_SEG_C_I_MAQ CHAVE MOLA_1800</t>
  </si>
  <si>
    <t>E.SP.IPA</t>
  </si>
  <si>
    <t>Realizado</t>
  </si>
  <si>
    <t>ISU CM02A</t>
  </si>
  <si>
    <t>Testar continuidade e isolação dos cabos entre o abrigo e a MCH (conforme POP-ENG-3010)</t>
  </si>
  <si>
    <t/>
  </si>
  <si>
    <t>1-Muito alta</t>
  </si>
  <si>
    <t>EE_INS_SEG_C_I_CABO BL/INT SUBTER_1800</t>
  </si>
  <si>
    <t>Não Realizado</t>
  </si>
  <si>
    <t>ICG CBL035A</t>
  </si>
  <si>
    <t>Testar continuidade e isolação de acordo com POP-ENG-3010</t>
  </si>
  <si>
    <t>IRS CBL050A</t>
  </si>
  <si>
    <t>IRS CBL045A</t>
  </si>
  <si>
    <t>EE_INS_SEG_C_I_SINAL L MULTI AUT_1800</t>
  </si>
  <si>
    <t>ISU 1E SINALEIRO</t>
  </si>
  <si>
    <t>EE_INS_CONF_C_I_MCH 110V GRS 55BR R_1080</t>
  </si>
  <si>
    <t>IPA 344 N</t>
  </si>
  <si>
    <t>Lubrificar engrenagem cônica</t>
  </si>
  <si>
    <t>2-Alta</t>
  </si>
  <si>
    <t>EE_MAN_CONF_C_I_CANALETA SUBESTACAO_0720</t>
  </si>
  <si>
    <t>IRS CNT-SE</t>
  </si>
  <si>
    <t>Limpeza</t>
  </si>
  <si>
    <t>IPA CNT-SE</t>
  </si>
  <si>
    <t>EE_INS_CONF_C_I_CANALETA SUBESTACAO_0720</t>
  </si>
  <si>
    <t>Inspecionar cabos</t>
  </si>
  <si>
    <t>EE_INS_CONF_C_I_BAT ESTAC SINAL_0360</t>
  </si>
  <si>
    <t>IRG B- 35 SINALEIRO</t>
  </si>
  <si>
    <t>Fazer o teste de autonomia, medir tensão de cada célula em descarga de 15 minutos. Preencher no FORM-ENG-1159.</t>
  </si>
  <si>
    <t>IOF B-1D SNALEIRO</t>
  </si>
  <si>
    <t>IOF B-1E SINALEIRO</t>
  </si>
  <si>
    <t>EE_INS_CONF_S_I_SIN L UNIFOCAL AUT_0360</t>
  </si>
  <si>
    <t>ICG 39-1 SINALEIRO N</t>
  </si>
  <si>
    <t>1.Verificar estado da pintura, sinais de corrosão e integridade nas ferragens do sinaleiro(mastro, conduites, box, tampa da unid.do sinal, anteparos vert.e horiz., pináculo etc) 2.Verificar focalização do sinal</t>
  </si>
  <si>
    <t>3-Média</t>
  </si>
  <si>
    <t>EE_INS_CONF_C_I_BAT ESTAC B-LFR_0360</t>
  </si>
  <si>
    <t>ISU B-PASSAGEM NÍVEL PALMEIRAS</t>
  </si>
  <si>
    <t>IRG B-PASSAGEM NÍVEL</t>
  </si>
  <si>
    <t>EE_INS_CONF_S_I_BAT ESTAC BDD_0360</t>
  </si>
  <si>
    <t>ISU B-DD.VIA RADIO 10</t>
  </si>
  <si>
    <t>Verificar tensão do carregador de bateria, ajustar se necessário. Preencher FOR-ENG-1159.</t>
  </si>
  <si>
    <t>EE_MAN_CONF_S_I_BAT ESTAC B-LFR_0090</t>
  </si>
  <si>
    <t>Realizar limpeza dos vasos apenas com água. Preencher no FORM-ENG-1159
Limpar e lubrificar com óleo anticorrosivo as conexões rígidas. Preencher no FORM-ENG-1159.</t>
  </si>
  <si>
    <t>EE_INS_CONF_S_I_SINAL L UNIFO CONT_0360</t>
  </si>
  <si>
    <t>IPA 309D SINALEIRO N</t>
  </si>
  <si>
    <t>Verificar estado da pintura, sinais de corrosão e integridade nas ferragens do sinaleiro(mastro, conduites, box, tampa da unid. do sinal, anteparos vert. e horiz., pináculo etc)
Verificar focalização do sinal</t>
  </si>
  <si>
    <t>IPA 311E SINALEIRO N</t>
  </si>
  <si>
    <t>IPA 287E SINALEIRO N</t>
  </si>
  <si>
    <t>IPA 291E SINALEIRO N</t>
  </si>
  <si>
    <t>IPA 321D SINALEIRO N</t>
  </si>
  <si>
    <t>IPA 323D SINALEIRO N</t>
  </si>
  <si>
    <t>IPA AD SINALEIRO N</t>
  </si>
  <si>
    <t>IPA 325D SINALEIRO N</t>
  </si>
  <si>
    <t>EE_MAN_CONF_S_I_BAT ESTAC SINAL_0090</t>
  </si>
  <si>
    <t>Realizar limpeza dos vasos apenas com água. Preencher no FORM-ENG-1159.
Limpar e lubrificar com óleo anticorrosivo as conexões rígidas. Preencher no FORM-ENG-1159.</t>
  </si>
  <si>
    <t>IPA 327D SINALEIRO N</t>
  </si>
  <si>
    <t>EE_INS_CONF_C_I_MAQ CHAVE M2/M3_0360</t>
  </si>
  <si>
    <t>IPA 310 N1</t>
  </si>
  <si>
    <t>Verificação de vazamentos e estado dos retentores
Medição corrente de operação NORMAL / REVERSA</t>
  </si>
  <si>
    <t>EE_MAN_CONF_C_I_INTERLOCK SUBEST_0360</t>
  </si>
  <si>
    <t>IPA ITK-SE</t>
  </si>
  <si>
    <t>Inspecionar cabeação e das bobinas
Limpar e lubrificar</t>
  </si>
  <si>
    <t>EE_INS_CONF_S_I_BATERIAS_0360</t>
  </si>
  <si>
    <t>IPA B-CCG01B</t>
  </si>
  <si>
    <t>Verificar tensão do carregador de bateria, ajustar se necessário. Preencher no FOR-ENG-1158
Medir tensão de cada célula em flutuação. Preencher no FOR-ENG-1158</t>
  </si>
  <si>
    <t>EE_INS_CONF_S_I_REP DIG TT MEC MAN_0360</t>
  </si>
  <si>
    <t>TRP MANUTENCAO PL</t>
  </si>
  <si>
    <t>VERIFICAR FIXAÇÃO DA ANTENA À TORRE OU POSTE.</t>
  </si>
  <si>
    <t>TRP TERRA TREM BA</t>
  </si>
  <si>
    <t>TRP TERRA TREM CR</t>
  </si>
  <si>
    <t>TRP TERRA TREM PL</t>
  </si>
  <si>
    <t>TRP MECANICA PL</t>
  </si>
  <si>
    <t>EE_MAN_CONF_S_I_QUADRO DISTR ENER_0360</t>
  </si>
  <si>
    <t>TRP QCA01A</t>
  </si>
  <si>
    <t>Inspeção visual da identificação dos disjuntores com conferência do diagrama unifilar correspondente ao quadro, caso não exista diagrama unifilar, solicitar elaboração.</t>
  </si>
  <si>
    <t>4-Baixa</t>
  </si>
  <si>
    <t>T_EE_MAN_CONF_C_I_GRUP MOTOR GERAD_0360</t>
  </si>
  <si>
    <t>TRP GMG DE REPETIDORA</t>
  </si>
  <si>
    <t>Substituir filtro de ar.</t>
  </si>
  <si>
    <t>EE_INS_CONF_S_I_EST DE VOZ E DADOS_0360</t>
  </si>
  <si>
    <t>TRP TORRE</t>
  </si>
  <si>
    <t>INSPECIONAR FIXAÇÃO DOS CABOS DE RF/BALIZAMENTO JUNTO À TORRE
MEDIR E REGISTRAR ATERRAMENTO.
INSPECIONAR A NECESSIDADE DE PINTURA DA TORRE.
INSPECIONAR INDÍCIOS DE CORROSÃO DA TORRE.</t>
  </si>
  <si>
    <t>EE_INS_CONF_S_I_LOG PR C.PROGR REM_0360</t>
  </si>
  <si>
    <t>ICG RTU C.GRANDE CENTRO</t>
  </si>
  <si>
    <t>Verificar tensão do carregador de bateria, ajustar se necessário</t>
  </si>
  <si>
    <t>IOF B-1T BATERIA CDV</t>
  </si>
  <si>
    <t>IOF B-2T BATERIA CDV</t>
  </si>
  <si>
    <t>IOF B-XT BATERIA CDV</t>
  </si>
  <si>
    <t>EE_MAN_CONF_S_I_BAT ESTAC AES-FO_0360</t>
  </si>
  <si>
    <t>ICG CENTRO B-AES-FO</t>
  </si>
  <si>
    <t>Realizar limpeza dos vasos apenas com água. Preencher no FOR-ENG-1159.
Limpar e lubrificar com óleo anticorrosivo as conexões rígidas. Preencher no FOR-ENG-1159.</t>
  </si>
  <si>
    <t>EE_MAN_CONF_S_I_BAT ESTAC RTU_0090</t>
  </si>
  <si>
    <t>ICG B-RTU ICG CENTRO</t>
  </si>
  <si>
    <t>EE_INS_CONF_S_I_BAT ESTAC AES-FO_0360</t>
  </si>
  <si>
    <t>Verificar tensão do carregador de bateria, ajustar se necessário. Preencher no FOR-ENG-1159.
Medir tensão de cada célula em flutuação. Preencher no FOR-ENG-1159.</t>
  </si>
  <si>
    <t>EE_INS_CONF_S_I_RADIO DADOS CBTC_0360</t>
  </si>
  <si>
    <t>TRP RADIO DE DADOS</t>
  </si>
  <si>
    <t>VERIFICAR INDÍCIOS DE CORROSÃO DO POSTE.</t>
  </si>
  <si>
    <t>IPA REPETIDORA SAFE 005</t>
  </si>
  <si>
    <t>IPA REPETIDORA SAFE 010</t>
  </si>
  <si>
    <t>IPA A N1</t>
  </si>
  <si>
    <t>EE_INS_CONF_S_I_BL INT RELÉ S/ BAT_0360</t>
  </si>
  <si>
    <t>IRG BLOQ E INT RELE S/BAT 030</t>
  </si>
  <si>
    <t>Fazer inspeção da fiação verificando fios desencapados, oxidados ou fios do cabo fora do conector.</t>
  </si>
  <si>
    <t>IPA B-CCG02B</t>
  </si>
  <si>
    <t>IPA RTU NORTE</t>
  </si>
  <si>
    <t>IRG B-RTU IRG NORTE</t>
  </si>
  <si>
    <t>IAA B-30AT BATERIA CDV</t>
  </si>
  <si>
    <t>ISU B-1D SINALEIRO</t>
  </si>
  <si>
    <t>ISU B-1E SINALEIRO</t>
  </si>
  <si>
    <t>IRS B-GMG SUBESTAÇÃO</t>
  </si>
  <si>
    <t>ISU QCA02B</t>
  </si>
  <si>
    <t>EE_MAN_CONF_S_I_MALHA ATERRAMENTO_0360</t>
  </si>
  <si>
    <t>IRS SPDA-CX015A</t>
  </si>
  <si>
    <t>Inspecionar cabeamento
Limpar da caixa de inspeção
Medir resistência terra e registrar
Medir resistência terra e registrar.</t>
  </si>
  <si>
    <t>IRA ATR-CX004B</t>
  </si>
  <si>
    <t>ISU ATR-CX030A</t>
  </si>
  <si>
    <t>IJN ATR-TF01A</t>
  </si>
  <si>
    <t>IJN ATR-TF02A</t>
  </si>
  <si>
    <t>IJN ATR-TF03A</t>
  </si>
  <si>
    <t>IJN ATR-TF04A</t>
  </si>
  <si>
    <t>EE_INS_CONF_C_I_BARRAMENTO 3KV_0360</t>
  </si>
  <si>
    <t>IRS BTO04</t>
  </si>
  <si>
    <t>Medir resistência de isolação</t>
  </si>
  <si>
    <t>IRS BLOQ E INT RELE S/BAT 020</t>
  </si>
  <si>
    <t>IRS BLOQ E INT RELE S/BAT 025</t>
  </si>
  <si>
    <t>EE_MAN_CONF_C_I_CUBÍC FILTRO HARM_0360</t>
  </si>
  <si>
    <t>IRS CUB-HARM01</t>
  </si>
  <si>
    <t>IRS ITK-SE</t>
  </si>
  <si>
    <t>ICG RTU C.GRANDE NORTE</t>
  </si>
  <si>
    <t>IOF B-LFR010A</t>
  </si>
  <si>
    <t>IRS BSBS01A</t>
  </si>
  <si>
    <t>ISU B-DD.VIA RADIO 13</t>
  </si>
  <si>
    <t>ISU B-DD.VIA RADIO 14</t>
  </si>
  <si>
    <t>ISU B-DD.VIA RADIO 15</t>
  </si>
  <si>
    <t>IRA B-DD.VIA RADIO 03</t>
  </si>
  <si>
    <t>IRA B-DD.VIA RADIO 04</t>
  </si>
  <si>
    <t>IRA B-DD.VIA RADIO 05</t>
  </si>
  <si>
    <t>IRA B-DD.VIA RADIO 08</t>
  </si>
  <si>
    <t>IRS 221D SINALEIRO N</t>
  </si>
  <si>
    <t>IRS 223E SINALEIRO N</t>
  </si>
  <si>
    <t>EE_INS_CONF_C_I_DISJ AT SUBESTACAO_0360</t>
  </si>
  <si>
    <t>IPA DJ3022</t>
  </si>
  <si>
    <t>Inspecionar estado geral do disjuntor</t>
  </si>
  <si>
    <t>EE_INS_CONF_S_I_BAT ESTAC SGM_0360</t>
  </si>
  <si>
    <t>IRS B-SIST GRAVADOR DE MANOBRA</t>
  </si>
  <si>
    <t>ICG B-RTU ICG NORTE</t>
  </si>
  <si>
    <t>EE_MAN_CONF_S_I_BAT ESTAC SGM_0360</t>
  </si>
  <si>
    <t>ICG B-SIST GRAVADOR DE MANOBRA</t>
  </si>
  <si>
    <t>IPA CABINE</t>
  </si>
  <si>
    <t>IPA B-GMG SUBESTAÇÃO</t>
  </si>
  <si>
    <t>IPA SUL B-AES-FO</t>
  </si>
  <si>
    <t>IPA 322 N1</t>
  </si>
  <si>
    <t>IPA RTU SUL</t>
  </si>
  <si>
    <t>IPA 275E SINALEIRO N</t>
  </si>
  <si>
    <t>IPA 273E SINALEIRO N</t>
  </si>
  <si>
    <t>EE_INS_CONF_S_I_BAT ESTAC RTU_0180</t>
  </si>
  <si>
    <t>IPA B-RTU IPA SUL</t>
  </si>
  <si>
    <t>Verificar as conexões entre células e fileiras. Preencher no FORM-ENG-1159.
Verificar presença de corrosão nos terminais, conectores e racks. Verificar vazamentos, rachaduras ou deformações nos invólucros. Preencher no FORM-ENG-1159.</t>
  </si>
  <si>
    <t>EE_INS_CONF_S_I_BAT ESTAC SINAL_0180</t>
  </si>
  <si>
    <t>EE_INS_CONF_S_I_BARRAMENTO 3KV_0180</t>
  </si>
  <si>
    <t>IRS BTO3KVN</t>
  </si>
  <si>
    <t>Inspecionar transformadores do barramento</t>
  </si>
  <si>
    <t>IRS BTO3KVP</t>
  </si>
  <si>
    <t>EE_INS_SEG_C_I_MCH 110VCC GRS 55BR_0180</t>
  </si>
  <si>
    <t>IPA 326 N1</t>
  </si>
  <si>
    <t>Verificação organização e integridade dos cabos e fios e conexões</t>
  </si>
  <si>
    <t>IPA 328 N1</t>
  </si>
  <si>
    <t>IPA 334N N1</t>
  </si>
  <si>
    <t>IPA 334S N1</t>
  </si>
  <si>
    <t>EE_INS_SEG_S_I_CIRCUITO VIA CA_0180</t>
  </si>
  <si>
    <t>IPA 257T N</t>
  </si>
  <si>
    <t>Verificar fase do circuito de via com o circuito adjacente</t>
  </si>
  <si>
    <t>EE_INS_CONF_S_I_BAT ESTAC AES-FO_0180</t>
  </si>
  <si>
    <t>Verificar as conexões entre células e fileiras. Preencher no FOR-ENG-1159.
Verificar presença de corrosão nos terminais, conectores e racks. Preencher no FOR-ENG-1159.</t>
  </si>
  <si>
    <t>EE_INS_CONF_S_I_CAIXA DE LOCAÇÃO_0180</t>
  </si>
  <si>
    <t>IPA CX015B</t>
  </si>
  <si>
    <t>Verificar condições gerais da caixa (pintura, corrosão, parafusos de fixação das tampas, dobradiças, verificação dos cadeados e aplicar grafite em pó)</t>
  </si>
  <si>
    <t>IOF CX020A</t>
  </si>
  <si>
    <t>IOF CX025A</t>
  </si>
  <si>
    <t>IPA CX010B</t>
  </si>
  <si>
    <t>IPA CX005B</t>
  </si>
  <si>
    <t>EE_INS_CONF_S_I_BAT ESTAC B-LFR_0180</t>
  </si>
  <si>
    <t>EE_INS_CONF_S_I_IAS_0180</t>
  </si>
  <si>
    <t>IPA 267E IAS N</t>
  </si>
  <si>
    <t>Fazer inspeção da fiação e conexões</t>
  </si>
  <si>
    <t>IPA 353E IAS N</t>
  </si>
  <si>
    <t>IPA 337E IAS N</t>
  </si>
  <si>
    <t>IPA 349D IAS N</t>
  </si>
  <si>
    <t>EE_INS_SEG_C_I_MCH 110V GRS 55BR R_0180</t>
  </si>
  <si>
    <t>EE_MAN_CONF_S_I_CIRCUITO VIA CA_0180</t>
  </si>
  <si>
    <t>IPA 251T N</t>
  </si>
  <si>
    <t>Fazer a limpeza externa dos invólucros dos relés.</t>
  </si>
  <si>
    <t>IPA 311T N</t>
  </si>
  <si>
    <t>IPA 309T N</t>
  </si>
  <si>
    <t>IPA 311BT N</t>
  </si>
  <si>
    <t>IPA 311CT N</t>
  </si>
  <si>
    <t>EE_INS_SEG_S_I_SINAL L UNIFO CONT_0180</t>
  </si>
  <si>
    <t>IPA 329D SINALEIRO N</t>
  </si>
  <si>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</si>
  <si>
    <t>IPA 333D SINALEIRO N</t>
  </si>
  <si>
    <t>IPA 343D SINALEIRO N</t>
  </si>
  <si>
    <t>IPA 345E SINALEIRO N</t>
  </si>
  <si>
    <t>IPA 347D SINALEIRO N</t>
  </si>
  <si>
    <t>IPA 351E SINALEIRO N</t>
  </si>
  <si>
    <t>IPA 283E SINALEIRO N</t>
  </si>
  <si>
    <t>IPA 289E SINALEIRO N</t>
  </si>
  <si>
    <t>IPA 281D SINALEIRO N</t>
  </si>
  <si>
    <t>IPA 337E SINALEIRO N</t>
  </si>
  <si>
    <t>IPA 339E SINALEIRO N</t>
  </si>
  <si>
    <t>IPA 311DT N</t>
  </si>
  <si>
    <t>IPA A351T N</t>
  </si>
  <si>
    <t>IPA 251BT N</t>
  </si>
  <si>
    <t>EE_INS_CONF_S_I_SINAL L UNIFO CONT_0180</t>
  </si>
  <si>
    <t>Fazer a limpeza externa dos invólucros, vidros e lentes dos relés</t>
  </si>
  <si>
    <t>EE_INS_CONF_S_I_BATERIAS_0180</t>
  </si>
  <si>
    <t>Verificar presença e Limpar as válvulas (tampa) desobstruindo os orifícios. Verificar vazamentos, rachaduras ou deformações nos invólucros. Preencher no FOR-ENG-1158
Verificar as conexões entre células e fileiras. Preencher no FOR-ENG-1158
Verificar presença de corrosão nos terminais, conectores e racks. Preencher no FOR-ENG-1158</t>
  </si>
  <si>
    <t>EE_MAN_CONF_S_I_CDV DETETORA CA_0180</t>
  </si>
  <si>
    <t>IPA 264T N</t>
  </si>
  <si>
    <t>EE_INS_CONF_S_I_P.N. AUT MD S BARRE_0180</t>
  </si>
  <si>
    <t>IOF PN010A</t>
  </si>
  <si>
    <t>Verificação documentação técnica</t>
  </si>
  <si>
    <t>IPA 266NT N</t>
  </si>
  <si>
    <t>EE_INS_CONF_C_I_MCH 110V GRS 55BR R_0180</t>
  </si>
  <si>
    <t>IPA 264 N</t>
  </si>
  <si>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</si>
  <si>
    <t>EE_MAN_CONF_S_I_CIRCUITO A DIODO_0180</t>
  </si>
  <si>
    <t>IOF 1T CDV N</t>
  </si>
  <si>
    <t>IOF 2T CDV N</t>
  </si>
  <si>
    <t>EE_INS_CONF_C_I_MCH 110VCC GRS 5C R_0180</t>
  </si>
  <si>
    <t>IPA 268 N1</t>
  </si>
  <si>
    <t>Verificar escovas quando ao comprimento, superfície, pressão da mola, conexões, excesso de pó de carvão.
Verificação e limpeza do coletor do motor com lixa fina (grão 600 ou maior)
Medir e registrar corrente de deslizamento NORMAL / REVERSA</t>
  </si>
  <si>
    <t>EE_INS_CONF_S_I_MCH 110V GRS 55BR R_0180</t>
  </si>
  <si>
    <t>IPA 266S N</t>
  </si>
  <si>
    <t>Verificação dos isolantes</t>
  </si>
  <si>
    <t>IPA 258S N</t>
  </si>
  <si>
    <t>EE_INS_SEG_S_I_BL INT RELÉ S/ BAT_0180</t>
  </si>
  <si>
    <t>IPA BLOQ E INT RELE S/BAT 010</t>
  </si>
  <si>
    <t>Inspecionar relés de bloqueio e intertravamento quanto à quebras ou rachaduras e presença de detritos ou oxidação, partes soltas ou frouxas no interior</t>
  </si>
  <si>
    <t>IPA BLOQ E INT RELE S/BAT 015</t>
  </si>
  <si>
    <t>IPA BLOQ E INT RELE S/BAT 020</t>
  </si>
  <si>
    <t>IPA BLOQ E INT RELE S/BAT 025</t>
  </si>
  <si>
    <t>EE_INS_CONF_C_I_MCH 110VCC GRS 55BR_0180</t>
  </si>
  <si>
    <t>T_EE_MAN_CONF_C_I_CUBÍC FILTRO HARM_0180</t>
  </si>
  <si>
    <t>Executar limpeza Geral</t>
  </si>
  <si>
    <t>IPA 341D SINALEIRO N</t>
  </si>
  <si>
    <t>EE_INS_CONF_S_I_MCH 110VCC GRS 5C R_0180</t>
  </si>
  <si>
    <t>EE_INS_CONF_S_I_MAQ CHAVE MOLA_0180</t>
  </si>
  <si>
    <t>IOF CM02A</t>
  </si>
  <si>
    <t>IRA CM005A</t>
  </si>
  <si>
    <t>IOF CM01A</t>
  </si>
  <si>
    <t>EE_INS_SEG_C_I_SINAL L UNIFO CONT_0180</t>
  </si>
  <si>
    <t>Verificar se a operação do mecanismo do relé searchlight para todas as posições (R/G, R/Y, G/R, Y/R, G/Y e Y/G) apresenta indícios de travamento</t>
  </si>
  <si>
    <t>T_EE_INS_CONF_S_I_LFÍS DIST ENE_0180</t>
  </si>
  <si>
    <t>IOF LDE010A</t>
  </si>
  <si>
    <t>Inspeção Visual de Componentes do SAE, conforme FOR-ENG-1156</t>
  </si>
  <si>
    <t>EE_INS_SEG_S_I_CIRCUITO VIA CC_0180</t>
  </si>
  <si>
    <t>IOF XT CDV N</t>
  </si>
  <si>
    <t>Verificar polaridade do circuito de via com o circuito adjacente</t>
  </si>
  <si>
    <t>EE_INS_CONF_S_I_CDV DETETORA CA_0180</t>
  </si>
  <si>
    <t>IPA 310T N</t>
  </si>
  <si>
    <t>Inspecionar relé do circuito de via quanto à quebras ou rachaduras e presença de detritos ou oxidação, partes soltas ou frouxas no interior</t>
  </si>
  <si>
    <t>EE_INS_CONF_S_I_CIRCUITO VIA CA_0180</t>
  </si>
  <si>
    <t>EE_INS_SEG_C_I_MCH 110VCC GRS 5C R_0180</t>
  </si>
  <si>
    <t>EE_INS_SEG_C_I_CH SEC AT SUBESTACAO_0180</t>
  </si>
  <si>
    <t>IRS CHS802</t>
  </si>
  <si>
    <t>Inspecionar Mecanismo
Inspecionar os Isoladores</t>
  </si>
  <si>
    <t>IRS CHSPJ1</t>
  </si>
  <si>
    <t>IPA CHSAT322</t>
  </si>
  <si>
    <t>IPA CHSAT323</t>
  </si>
  <si>
    <t>IPA CHSAT324</t>
  </si>
  <si>
    <t>IPA CHSAT325</t>
  </si>
  <si>
    <t>IPA CHSATNR3</t>
  </si>
  <si>
    <t>IPA CHSATNR4</t>
  </si>
  <si>
    <t>ICG 5S N1</t>
  </si>
  <si>
    <t>ICG 7S N1</t>
  </si>
  <si>
    <t>ICG 5N N1</t>
  </si>
  <si>
    <t>EE_INS_SEG_S_I_CDV DETETORA CA_0180</t>
  </si>
  <si>
    <t>ICG 5T N</t>
  </si>
  <si>
    <t>ICG 7T N</t>
  </si>
  <si>
    <t>EE_INS_CONF_S_I_MAQ CHAVE M2/M3_0180</t>
  </si>
  <si>
    <t>IPA 308 N1</t>
  </si>
  <si>
    <t>IPA 306 N1</t>
  </si>
  <si>
    <t>IPA 304 N1</t>
  </si>
  <si>
    <t>IPA 333T N</t>
  </si>
  <si>
    <t>IPA 341AT N</t>
  </si>
  <si>
    <t>IPA 257D SINALEIRO N</t>
  </si>
  <si>
    <t>IPA 259E IAS N</t>
  </si>
  <si>
    <t>IPA 271E IAS N</t>
  </si>
  <si>
    <t>IPA 283E IAS N</t>
  </si>
  <si>
    <t>IPA 285E IAS N</t>
  </si>
  <si>
    <t>IPA 289E IAS N</t>
  </si>
  <si>
    <t>IPA 291E IAS N</t>
  </si>
  <si>
    <t>IPA 281D IAS N</t>
  </si>
  <si>
    <t>IPA 273E IAS N</t>
  </si>
  <si>
    <t>IPA 275E IAS N</t>
  </si>
  <si>
    <t>IPA 287E IAS N</t>
  </si>
  <si>
    <t>IPA 335T N</t>
  </si>
  <si>
    <t>IPA A347T N</t>
  </si>
  <si>
    <t>IPA 351T N</t>
  </si>
  <si>
    <t>IPA LDE045B2</t>
  </si>
  <si>
    <t>IPA LDE045B1</t>
  </si>
  <si>
    <t>ICG LDE040A2</t>
  </si>
  <si>
    <t>ICG LDE045A1</t>
  </si>
  <si>
    <t>ICG LDE045A2</t>
  </si>
  <si>
    <t>EE_INS_CONF_S_I_MCH 110VCC GRS 55BR_0180</t>
  </si>
  <si>
    <t>EE_INS_CONF_C_I_MAQ CHAVE M2/M3_0180</t>
  </si>
  <si>
    <t>IRS BTO05</t>
  </si>
  <si>
    <t>IRS BTO06</t>
  </si>
  <si>
    <t>IRS BTO07</t>
  </si>
  <si>
    <t>IRS BTO08</t>
  </si>
  <si>
    <t>IRS BTO09</t>
  </si>
  <si>
    <t>IRS BTO10</t>
  </si>
  <si>
    <t>IRS BTO11</t>
  </si>
  <si>
    <t>EE_INS_SEG_C_I_SINAL L UNIFOCAL AUT_0180</t>
  </si>
  <si>
    <t>ICG 39-3 SINALEIRO N</t>
  </si>
  <si>
    <t>ICG 39-4 SINALEIRO N</t>
  </si>
  <si>
    <t>IPA 12T N</t>
  </si>
  <si>
    <t>ICG 20AT N</t>
  </si>
  <si>
    <t>EE_INS_SEG_S_I_SINAL L UNIFOCAL AUT_0180</t>
  </si>
  <si>
    <t>IPA 31-2 SINALEIRO N</t>
  </si>
  <si>
    <t>IPA 31-3 SINALEIRO N</t>
  </si>
  <si>
    <t>IPA 31-4 SINALEIRO N</t>
  </si>
  <si>
    <t>ICG 17XT N</t>
  </si>
  <si>
    <t>ICG 21T N</t>
  </si>
  <si>
    <t>ICG 21XT N</t>
  </si>
  <si>
    <t>IPA CX030B</t>
  </si>
  <si>
    <t>IPA CX035B</t>
  </si>
  <si>
    <t>IPA CX040B</t>
  </si>
  <si>
    <t>ICG CX010A</t>
  </si>
  <si>
    <t>ICG CX030A</t>
  </si>
  <si>
    <t>ICG CX025A</t>
  </si>
  <si>
    <t>ICG B-PASSAGEM NÍVEL</t>
  </si>
  <si>
    <t>ICG 30AD IAS N</t>
  </si>
  <si>
    <t>ICG 32D IAS N</t>
  </si>
  <si>
    <t>ICG 30D IAS N</t>
  </si>
  <si>
    <t>ICG 36E IAS N</t>
  </si>
  <si>
    <t>ICG 20D IAS N</t>
  </si>
  <si>
    <t>ICG 38E IAS N</t>
  </si>
  <si>
    <t>IPA 6T N</t>
  </si>
  <si>
    <t>ICG 30AD SINALEIRO N</t>
  </si>
  <si>
    <t>ICG 26E SINALEIRO N</t>
  </si>
  <si>
    <t>ICG 30D SINALEIRO N</t>
  </si>
  <si>
    <t>ICG 32D SINALEIRO N</t>
  </si>
  <si>
    <t>ICG 36E SINALEIRO N</t>
  </si>
  <si>
    <t>ICG 38E SINALEIRO N</t>
  </si>
  <si>
    <t>ICG 6T N</t>
  </si>
  <si>
    <t>ICG 8T N</t>
  </si>
  <si>
    <t>EE_INS_SEG_S_I_SINAL L MULTI AUT_0180</t>
  </si>
  <si>
    <t>IPA 31-1 SINALEIRO N</t>
  </si>
  <si>
    <t>Verificar se o sinal está na posição vertical (fora de prumo)
Fazer inspeção da fiação e conexões verif. fios desencapados, oxidados, fios do cabo fora do conector, rachadura e quebra nos TB´
Verificar vedação do sinaleiro. Não poderá haver entradas de cabo expostas, ausência de gaxetas, fendas ou buracos que permitam a entrada de insetos</t>
  </si>
  <si>
    <t>IRG 17T N</t>
  </si>
  <si>
    <t>IRG 21T N</t>
  </si>
  <si>
    <t>ICG BLOQ E INT RELE S/BAT 015</t>
  </si>
  <si>
    <t>IPA BLOQ E INT RELE S/BAT 030</t>
  </si>
  <si>
    <t>IPA BLOQ E INT RELE S/BAT 035</t>
  </si>
  <si>
    <t>IPA BLOQ E INT RELE S/BAT 040</t>
  </si>
  <si>
    <t>EE_INS_CONF_S_I_SINAL L UNIFO AUT_0180</t>
  </si>
  <si>
    <t>ICG 39-2 SINALEIRO N</t>
  </si>
  <si>
    <t>IRG SUL B-AES-FO</t>
  </si>
  <si>
    <t>IRG 10D IAS N</t>
  </si>
  <si>
    <t>IRG 14E IAS N</t>
  </si>
  <si>
    <t>IRG 16E IAS N</t>
  </si>
  <si>
    <t>IRG 18E IAS N</t>
  </si>
  <si>
    <t>EE_MAN_CONF_S_I_BL INT RELÉ S/ BAT_0180</t>
  </si>
  <si>
    <t>IRG BLOQ E INT RELE S/BAT 015</t>
  </si>
  <si>
    <t>Fazer a limpeza externa dos invólucros dos relés de bloqueio e intertravamento, utilizando ferramenta sem material condutor de eletricidade
Reapertar fiação, conexões e terminais do retificador/carregador.</t>
  </si>
  <si>
    <t>IRG 7N N</t>
  </si>
  <si>
    <t>IRG 8D SINALEIRO N</t>
  </si>
  <si>
    <t>IRG 10D SINALEIRO N</t>
  </si>
  <si>
    <t>IRG 14E SINALEIRO N</t>
  </si>
  <si>
    <t>IRG 16E SINALEIRO N</t>
  </si>
  <si>
    <t>IRG 18E SINALEIRO N</t>
  </si>
  <si>
    <t>IRG 35E SINALEIRO</t>
  </si>
  <si>
    <t>EE_INS_CONF_S_I_BL INT RELÉ S/ BAT_0180</t>
  </si>
  <si>
    <t>Verificar condições gerais da caixa (pintura, corrosão, parafusos de fixação das tampas, dobradiças, verificação dos cadeados e aplicar grafite em pó)
Conferir a documentação da caixa conforme mapa de registro de coordenação
Verificar integridade da caixa ou abrigo, proteção e saída de cabos e limpeza interna das caixas. Não poderá haver fendas ou buracos que permitam a entrada de insetos
Verificar fiação, terminais, reapertos e conexões do aterramento dentro da caixa
Medir resistência terra e registrar valores encontrados</t>
  </si>
  <si>
    <t>IRG BLOQ E INT RELE S/BAT 005</t>
  </si>
  <si>
    <t>IRG 7T N</t>
  </si>
  <si>
    <t>ICG 37-1 SINALEIRO N</t>
  </si>
  <si>
    <t>ICG 37-2 SINALEIRO N</t>
  </si>
  <si>
    <t>ICG 37-3 SINALEIRO N</t>
  </si>
  <si>
    <t>ICG 37-4 SINALEIRO N</t>
  </si>
  <si>
    <t>IRG 11T N</t>
  </si>
  <si>
    <t>ICG 30BT N</t>
  </si>
  <si>
    <t>ICG SUL B-AES-FO</t>
  </si>
  <si>
    <t>IRG NORTE B-AES-FO</t>
  </si>
  <si>
    <t>IPA AD IAS N</t>
  </si>
  <si>
    <t>ICG 26E IAS N</t>
  </si>
  <si>
    <t>ICG 12E IAS N</t>
  </si>
  <si>
    <t>ICG 6D IAS N</t>
  </si>
  <si>
    <t>ICG 8D IAS N</t>
  </si>
  <si>
    <t>ICG 10E IAS N</t>
  </si>
  <si>
    <t>ICG 14E IAS N</t>
  </si>
  <si>
    <t>IRG 20D IAS N</t>
  </si>
  <si>
    <t>ICG BLOQ E INT RELE S/BAT 005</t>
  </si>
  <si>
    <t>IRG 7S N</t>
  </si>
  <si>
    <t>IRG 11 N</t>
  </si>
  <si>
    <t>ICG 6D SINALEIRO N</t>
  </si>
  <si>
    <t>ICG 8D SINALEIRO N</t>
  </si>
  <si>
    <t>ICG 12E SINALEIRO N</t>
  </si>
  <si>
    <t>ICG 14E SINALEIRO N</t>
  </si>
  <si>
    <t>ICG 10E SINALEIRO N</t>
  </si>
  <si>
    <t>IPA 6AT N</t>
  </si>
  <si>
    <t>ICG BLOQ E INT RELE S/BAT 010</t>
  </si>
  <si>
    <t>IOF CM003A</t>
  </si>
  <si>
    <t>EE_INS_SEG_S_I_MAQ CHAVE MOLA_0180</t>
  </si>
  <si>
    <t>Verificar se fixação da MCH nos dormentes está completa com parafusos em todos os orifícios de fixação, sem porcas bambas, se os parafusos passantes estão todos no local. Verificar se o tirante anti-tesouramento não está tocando no patim.</t>
  </si>
  <si>
    <t>IPA SB1-BRT10B</t>
  </si>
  <si>
    <t>IPA SB1-BRT09B</t>
  </si>
  <si>
    <t>IPA BTO3KVP</t>
  </si>
  <si>
    <t>IPA BTO3KV NEUTRO</t>
  </si>
  <si>
    <t>IRS 12T N</t>
  </si>
  <si>
    <t>IRS 10T N</t>
  </si>
  <si>
    <t>IRS 11T N</t>
  </si>
  <si>
    <t>IRS 9T N</t>
  </si>
  <si>
    <t>IRS 8T N</t>
  </si>
  <si>
    <t>IRA CX005A</t>
  </si>
  <si>
    <t>IRA CX008B</t>
  </si>
  <si>
    <t>IRA CX025B</t>
  </si>
  <si>
    <t>IRA CX030B</t>
  </si>
  <si>
    <t>EE_INS_CONF_S_I_BAT ESTAC BDD_0180</t>
  </si>
  <si>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</si>
  <si>
    <t>EE_MAN_CONF_C_I_MCH 110V GRS 55BR R_0180</t>
  </si>
  <si>
    <t>IPA 282 N</t>
  </si>
  <si>
    <t>Lubrificação engrenagens caixa redutora</t>
  </si>
  <si>
    <t>IRS BLOQ E INT RELE S/BAT 055</t>
  </si>
  <si>
    <t>IPA 286 N</t>
  </si>
  <si>
    <t>IPA 284 N</t>
  </si>
  <si>
    <t>IPA 311ET N</t>
  </si>
  <si>
    <t>IRS SPDA-CX040A</t>
  </si>
  <si>
    <t>IRS SPDA-CX045A</t>
  </si>
  <si>
    <t>IRS SPDA-CX050A</t>
  </si>
  <si>
    <t>IRS SPDA-CX055A</t>
  </si>
  <si>
    <t>IPA 274 N</t>
  </si>
  <si>
    <t>IRS BLOQ E INT RELE S/BAT 040</t>
  </si>
  <si>
    <t>IRS BLOQ E INT RELE S/BAT 045</t>
  </si>
  <si>
    <t>IRS BLOQ E INT RELE S/BAT 050</t>
  </si>
  <si>
    <t>EE_INS_CONF_S_I_33 KV CREMALHEIRA_0180</t>
  </si>
  <si>
    <t>IRS LDT 33kV 012</t>
  </si>
  <si>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</si>
  <si>
    <t>IRS LDT 33kV 013</t>
  </si>
  <si>
    <t>IRS LDT 33kV 014</t>
  </si>
  <si>
    <t>IRS LDT 33kV 015</t>
  </si>
  <si>
    <t>IRS LDT 33kV 017</t>
  </si>
  <si>
    <t>EE_INS_CONF_S_I_BAT ESTAC SGM_0180</t>
  </si>
  <si>
    <t>IPA B-SIST GRAVADOR DE MANOBRA</t>
  </si>
  <si>
    <t>ICG NORTE B-AES-FO</t>
  </si>
  <si>
    <t>ICG CX015A</t>
  </si>
  <si>
    <t>ICG CX020A</t>
  </si>
  <si>
    <t>EE_MAN_CONF_S_I_EST DE VOZ E DADOS_0180</t>
  </si>
  <si>
    <t>LIMPAR EM VOLTA DA TORRE</t>
  </si>
  <si>
    <t>EE_INS_CONF_S_I_BAT ESTAC B-EQUI_0180</t>
  </si>
  <si>
    <t>IPA B-EQUIPAMENTOS VOZ E DADOS</t>
  </si>
  <si>
    <t>IPA B-LINK RADIO</t>
  </si>
  <si>
    <t>EE_INS_CONF_S_I_BAT ESTAC BKB_0180</t>
  </si>
  <si>
    <t>IPA B-BACKBONE</t>
  </si>
  <si>
    <t>ICG 35N N</t>
  </si>
  <si>
    <t>ICG 35S N</t>
  </si>
  <si>
    <t>ICG 33N N</t>
  </si>
  <si>
    <t>ICG 33S N</t>
  </si>
  <si>
    <t>ICG 29 N</t>
  </si>
  <si>
    <t>EE_INS_CONF_S_I_LINK DE RADIO A_0180</t>
  </si>
  <si>
    <t>IPA LINK DE DADOS</t>
  </si>
  <si>
    <t>VERIFICAR AZIMUTE DA ANTENA
INSPECIONAR AMARRAÇÃO DOS CABOS DE RF
INSPECIONAR IDENTIFICAÇÃO DOS CABOS DE RF, REDE E ENERGIA
VERIFICAR INDICADORES DE DESEMPENHO DE RF DO LINK
MEDIR E REGISTRAR TENSÃO DA BATERIA EM DESCARGA APÓS 30 MINUTOS.</t>
  </si>
  <si>
    <t>ICG BLOQ E INT RELE S/BAT 020</t>
  </si>
  <si>
    <t>ICG BLOQ E INT RELE S/BAT 025</t>
  </si>
  <si>
    <t>IRS LDT 33kV 004</t>
  </si>
  <si>
    <t>IRS LDT 33kV 005</t>
  </si>
  <si>
    <t>IRS LDT 33kV 009</t>
  </si>
  <si>
    <t>IRS LDT 33kV 008</t>
  </si>
  <si>
    <t>IRS LDT 33kV 011</t>
  </si>
  <si>
    <t>IRG BLOQ E INT RELE S/BAT 025</t>
  </si>
  <si>
    <t>ICG 18AT N</t>
  </si>
  <si>
    <t>IRG 20BT N</t>
  </si>
  <si>
    <t>IRG 24BT N</t>
  </si>
  <si>
    <t>IRG CX005B</t>
  </si>
  <si>
    <t>IRG 8AT N</t>
  </si>
  <si>
    <t>IRG 8T N</t>
  </si>
  <si>
    <t>IRG 1XT N</t>
  </si>
  <si>
    <t>IRG 2XT N</t>
  </si>
  <si>
    <t>IRG 22AT N</t>
  </si>
  <si>
    <t>IRG 22T N</t>
  </si>
  <si>
    <t>IRG 17 N</t>
  </si>
  <si>
    <t>IRG BLOQ E INT RELE S/BAT 020</t>
  </si>
  <si>
    <t>EE_MAN_SEG_C_I_BARRAMENTO 88KV_0180</t>
  </si>
  <si>
    <t>IRS BTO01</t>
  </si>
  <si>
    <t>Inspecionar do nível do isolamento
Inspecionar isoladores e reapertar das conexões</t>
  </si>
  <si>
    <t>T_EE_MAN_SEG_C_I_BARRAMENTO 88KV_0180</t>
  </si>
  <si>
    <t>Inspecionar condição geral e limpeza</t>
  </si>
  <si>
    <t>IRS BTO02</t>
  </si>
  <si>
    <t>T_EE_MAN_CONF_S_I_GRUPO RETIFICADOR_0180</t>
  </si>
  <si>
    <t>IPA URT01</t>
  </si>
  <si>
    <t>Inspecionar condições gerais e limpeza</t>
  </si>
  <si>
    <t>EE_INS_CONF_S_I_DISJUNTOR CUBICULO_0180</t>
  </si>
  <si>
    <t>IPA DJ-CB-TRA01</t>
  </si>
  <si>
    <t>Inspecionar condições gerais do cubículo</t>
  </si>
  <si>
    <t>EE_MAN_CONF_C_I_DISJUNTOR A SECO_0180</t>
  </si>
  <si>
    <t>IPA DJ3029</t>
  </si>
  <si>
    <t>Medição da Resistência de isolação</t>
  </si>
  <si>
    <t>IRS CHS801</t>
  </si>
  <si>
    <t>EE_MAN_CONF_S_I_SINAL LUMINOSO PN_0090</t>
  </si>
  <si>
    <t>IRG S-IRG005D SINALEIRO PN</t>
  </si>
  <si>
    <t>Lubrificar cadeados, partes móveis/trancas</t>
  </si>
  <si>
    <t>IRG S-IRG005E SINALEIRO PN</t>
  </si>
  <si>
    <t>EE_MAN_CONF_S_I_RADIO FIXO DIGITAL_0090</t>
  </si>
  <si>
    <t>ICG OPE 002</t>
  </si>
  <si>
    <t>FAZER A LIMPEZA E A CONSERVAÇÃO DAS INSTALAÇÕES E EQUIPAMENTOS.</t>
  </si>
  <si>
    <t>IPA ELT 001</t>
  </si>
  <si>
    <t>IPA OPE 001</t>
  </si>
  <si>
    <t>IPA OPE 002</t>
  </si>
  <si>
    <t>IPA OPE 003</t>
  </si>
  <si>
    <t>ICG OPE 001</t>
  </si>
  <si>
    <t>EE_INS_CONF_S_I_DISJ AT SUBESTACAO_0090</t>
  </si>
  <si>
    <t>Inspeção do nível do óleo
Inspecionar mecanismo pneumático</t>
  </si>
  <si>
    <t>IPA DJ3023</t>
  </si>
  <si>
    <t>IPA DJ3021</t>
  </si>
  <si>
    <t>EE_INS_CONF_C_I_TRAFO LOCAL_0090</t>
  </si>
  <si>
    <t>IRS TF040A</t>
  </si>
  <si>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</si>
  <si>
    <t>IRS TF050A</t>
  </si>
  <si>
    <t>IRS TF045A</t>
  </si>
  <si>
    <t>IRS TF030A</t>
  </si>
  <si>
    <t>IRS TF035A</t>
  </si>
  <si>
    <t>IRS TF055A</t>
  </si>
  <si>
    <t>IRS TF060A</t>
  </si>
  <si>
    <t>IRS TF025A</t>
  </si>
  <si>
    <t>ICG TF050A</t>
  </si>
  <si>
    <t>ICG TF045A</t>
  </si>
  <si>
    <t>ICG TF065A</t>
  </si>
  <si>
    <t>ICG TF070A</t>
  </si>
  <si>
    <t>EE_MAN_CONF_C_I_MAQ CHAVE MOLA_0090</t>
  </si>
  <si>
    <t>IRG CM035</t>
  </si>
  <si>
    <t>Lubrificação dos pinos</t>
  </si>
  <si>
    <t>EE_INS_CONF_S_I_CDV DETETORA CA_0090</t>
  </si>
  <si>
    <t>IPA 282T N</t>
  </si>
  <si>
    <t>Inspeção visual da junta isolante, topo e instalação</t>
  </si>
  <si>
    <t>EE_INS_SEG_S_I_CDV DETETORA CA_0090</t>
  </si>
  <si>
    <t>Medir tensões no c.v.d e registrar os valores encontrados</t>
  </si>
  <si>
    <t>EE_INS_CONF_S_I_MCH MAN C/CONTR_0090</t>
  </si>
  <si>
    <t>IRG CM005B</t>
  </si>
  <si>
    <t>Inspeção visual do controlador de circuito verif. respirador sem tela ou orifícios ou gaxeta em mau estado que permitam a entrada de insetos ou água. Verificar limpeza interna e externa</t>
  </si>
  <si>
    <t>EE_INS_CONF_S_I_RADIO FIXO DIGITAL_0090</t>
  </si>
  <si>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</si>
  <si>
    <t>EE_INS_CONF_C_I_MCH 110VCC GRS 55BR_0090</t>
  </si>
  <si>
    <t>Verificação do eixo da caixa redutora e pino da Manivela
Verificação jogo de contatos detectores de posição e de controle do motor (mesa de contatos)
Verificar pressão e reaperto do contato duplo controle e limpeza com aplicação de limpa contato elétrico</t>
  </si>
  <si>
    <t>EE_INS_CONF_S_I_CIRCUITO VIA CA_0090</t>
  </si>
  <si>
    <t>IRG 20AT N</t>
  </si>
  <si>
    <t>IRS 19T N</t>
  </si>
  <si>
    <t>IRS 18T N</t>
  </si>
  <si>
    <t>IRS 17T N</t>
  </si>
  <si>
    <t>EE_INS_CONF_S_I_AES FIBRA OTICA_0090</t>
  </si>
  <si>
    <t>ICG AES-FO C.GRANDE SUL</t>
  </si>
  <si>
    <t>Medir e registrar a tensão de flutuação da fonte. A tensão não poderá variar mais do que 10% do valor nominal. Abrir OS’s para correção.</t>
  </si>
  <si>
    <t>EE_MAN_CONF_S_I_BL INT RELÉ S/ BAT_0090</t>
  </si>
  <si>
    <t>IRS BLOQ E INT RELE S/BAT 095</t>
  </si>
  <si>
    <t>Lubrificar cadeados e trancas</t>
  </si>
  <si>
    <t>IRS BLOQ E INT RELE S/BAT 090</t>
  </si>
  <si>
    <t>IRS BLOQ E INT RELE S/BAT 085</t>
  </si>
  <si>
    <t>IRS BLOQ E INT RELE S/BAT 080</t>
  </si>
  <si>
    <t>EE_MAN_CONF_S_I_QUADRO DISTR ENER_0090</t>
  </si>
  <si>
    <t>IRS QCA01A</t>
  </si>
  <si>
    <t>Medir tensões de saída.</t>
  </si>
  <si>
    <t>IRS QCA01B</t>
  </si>
  <si>
    <t>IRS QCA02A</t>
  </si>
  <si>
    <t>ISU QCA01B</t>
  </si>
  <si>
    <t>EE_INS_CONF_C_I_QUADRO DISTR ENER_0090</t>
  </si>
  <si>
    <t>Inspecionar terminais e conexões.</t>
  </si>
  <si>
    <t>EE_INS_CONF_S_I_MCH 110VCC GRS 55BR_0090</t>
  </si>
  <si>
    <t>Verificação dos anteparos, vedação das tampas, entrada de cabos e proteção das partes móveis. Retirar qualquer obstáculo que impeça a movimentação das agulhas, dos tirantes e das barras de conjugação.</t>
  </si>
  <si>
    <t>EE_MAN_CONF_C_I_QUADRO DISTR ENER_0090</t>
  </si>
  <si>
    <t>Limpeza geral</t>
  </si>
  <si>
    <t>EE_INS_CONF_S_I_BL INT RELÉ S/ BAT_0090</t>
  </si>
  <si>
    <t>Com resistor de 100 ohms em paralelo com o multiteste, medir tensão do negativo e positivo das fontes do bloqueio e intertravamento para terra. O valor deve ser inferior a 10% da tensão nominal da fonte.</t>
  </si>
  <si>
    <t>EE_INS_CONF_S_I_LINK DE RADIO A_0090</t>
  </si>
  <si>
    <t>MEDIR E REGISTRAR, NA FONTE, TENSÃO DE SAÍDA DO CONSUMIDOR E BATERIA.
MEDIR E REGISTRAR TENSÃO DE ENTRADA DA FONTE (AC).</t>
  </si>
  <si>
    <t>EE_INS_CONF_S_I_MCH 110V GRS 55BR R_0090</t>
  </si>
  <si>
    <t>IPA 272 N</t>
  </si>
  <si>
    <t>EE_INS_SEG_S_I_CIRCUITO VIA CC_0090</t>
  </si>
  <si>
    <t>IRG 20T N</t>
  </si>
  <si>
    <t>EE_MAN_CONF_S_I_COM ENER CHAN OVER_0090</t>
  </si>
  <si>
    <t>ICG CHV02A</t>
  </si>
  <si>
    <t>Efetuar teste de comutação e corrigir irregularidades se houver.
Reapertar conexões e terminais.</t>
  </si>
  <si>
    <t>EE_INS_SEG_S_I_CIRCUITO VIA CA_0090</t>
  </si>
  <si>
    <t>EE_INS_CONF_C_I_MCH 110V GRS 55BR R_0090</t>
  </si>
  <si>
    <t>IPA 288 N</t>
  </si>
  <si>
    <t>EE_MAN_CONF_C_I_TRAVADOR ELÉTRICO_0090</t>
  </si>
  <si>
    <t>IRG TVE-CM005B</t>
  </si>
  <si>
    <t>Lubrificar cadeados</t>
  </si>
  <si>
    <t>EE_MAN_CONF_S_I_CAIXA DE LOCAÇÃO_0090</t>
  </si>
  <si>
    <t>IRS CX040A</t>
  </si>
  <si>
    <t>Limpeza interna da caixa de locação
Lubrificar cadeados e trancas</t>
  </si>
  <si>
    <t>IRS CX045A</t>
  </si>
  <si>
    <t>IRS CX050A</t>
  </si>
  <si>
    <t>IRS CX055A</t>
  </si>
  <si>
    <t>IRA CX011B</t>
  </si>
  <si>
    <t>IRA CX040B</t>
  </si>
  <si>
    <t>IRA CX015B</t>
  </si>
  <si>
    <t>IRA CX004B</t>
  </si>
  <si>
    <t>IRA CX010A</t>
  </si>
  <si>
    <t>ISU CX025A</t>
  </si>
  <si>
    <t>ISU CX045A</t>
  </si>
  <si>
    <t>ISU CX050A</t>
  </si>
  <si>
    <t>ISU CX055A</t>
  </si>
  <si>
    <t>ISU CX060A</t>
  </si>
  <si>
    <t>ISU CX030A</t>
  </si>
  <si>
    <t>ISU CX035A</t>
  </si>
  <si>
    <t>ISU CX040A</t>
  </si>
  <si>
    <t>EE_MAN_CONF_C_I_MCH 110V GRS 55BR R_0090</t>
  </si>
  <si>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</si>
  <si>
    <t>EE_INS_CONF_C_I_MAQ CHAVE M2/M3_0090</t>
  </si>
  <si>
    <t>IPA 324 N1</t>
  </si>
  <si>
    <t>Verificação jogo de contatos detectores de posição e de controle do motor (mesa de contatos)
Verificar pressão e reaperto do contato duplo controle e limpeza com aplicação de limpa contato elétrico</t>
  </si>
  <si>
    <t>EE_INS_SEG_S_I_MCH 110V GRS 55BR R_0090</t>
  </si>
  <si>
    <t>Verificação identificação conforme procedimento</t>
  </si>
  <si>
    <t>EE_INS_CONF_S_I_TRAVADOR ELÉTRICO_0090</t>
  </si>
  <si>
    <t>EE_INS_CONF_S_I_CIRCUITO VIA CC_0090</t>
  </si>
  <si>
    <t>EE_MAN_CONF_C_I_MAQ CHAVE M2/M3_0090</t>
  </si>
  <si>
    <t>Limpeza interna
Lubrificação dos pinos
Lubrificação Manga de Ajuste</t>
  </si>
  <si>
    <t>EE_INS_CONF_S_I_MAQ CHAVE MOLA_0090</t>
  </si>
  <si>
    <t>Inspeção visual do controlador de circuito verif. Tela do respirador, orifícios ou gaxeta em mau estado que permitam a entrada de insetos. Verificar limpeza interna e externa</t>
  </si>
  <si>
    <t>EE_MAN_CONF_S_I_DISJ AT SUBESTACAO_0090</t>
  </si>
  <si>
    <t>Limpar do filtro de ar</t>
  </si>
  <si>
    <t>EE_INS_CONF_S_I_SINAL LUMINOSO PN_0090</t>
  </si>
  <si>
    <t>Verificar estado da pintura, sinais de corrosão e integridade nas ferragens do sinaleiro(mastro, conduites, box, tampa da unid. do sinal, anteparos vert. e horiz., pináculo etc)</t>
  </si>
  <si>
    <t>EE_MAN_CONF_S_I_PARA-RAIO CAP_0090</t>
  </si>
  <si>
    <t>IRS PARA-RAIO J1</t>
  </si>
  <si>
    <t>INSPEÇÃO GERAL - Isoladores , conexões e cabos.</t>
  </si>
  <si>
    <t>EE_INS_CONF_S_I_TRAFO LOCAL_0090</t>
  </si>
  <si>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</si>
  <si>
    <t>IRS TF090A</t>
  </si>
  <si>
    <t>IRS TF100A</t>
  </si>
  <si>
    <t>IPA TF065B</t>
  </si>
  <si>
    <t>IPA TF070B</t>
  </si>
  <si>
    <t>EE_MAN_CONF_S_I_SINAL L UNIFO CONT_0090</t>
  </si>
  <si>
    <t>IPA 301D SINALEIRO N</t>
  </si>
  <si>
    <t>IPA 305D SINALEIRO N</t>
  </si>
  <si>
    <t>IPA 307D SINALEIRO N</t>
  </si>
  <si>
    <t>IPA 303D SINALEIRO N</t>
  </si>
  <si>
    <t>EE_INS_CONF_S_I_SINAL L UNIFO CONT_0090</t>
  </si>
  <si>
    <t>Medir tensão da lâmpada/bolacha de led.
Verificar soquete/conexões e se tem lâmpada com filamento aberto</t>
  </si>
  <si>
    <t>EE_MAN_CONF_C_I_MCH 110VCC GRS 55BR_0090</t>
  </si>
  <si>
    <t>Desengraxar parte interna da mesa de contato com  EPL3 e realizar limpeza dos contatos com limpa contato elétrico. Verificar vedação do compartimento.
Lubrificação Manga de Ajuste
Lubrificação das barras internas e verificação dos Casquilhos</t>
  </si>
  <si>
    <t>EE_INS_CONF_S_I_CABO DIST ENERGIA_0090</t>
  </si>
  <si>
    <t>IPA CDE025B</t>
  </si>
  <si>
    <t>Inspecionar muflas e estrutura de descida dos cabos.</t>
  </si>
  <si>
    <t>IPA CDE020B3</t>
  </si>
  <si>
    <t>IPA CDE020B2</t>
  </si>
  <si>
    <t>IPA CDE020B1</t>
  </si>
  <si>
    <t>ICG TF085A</t>
  </si>
  <si>
    <t>ICG TF090A</t>
  </si>
  <si>
    <t>IPA TF045B</t>
  </si>
  <si>
    <t>IPA TF050B</t>
  </si>
  <si>
    <t>IPA TF055B</t>
  </si>
  <si>
    <t>IPA TF060B</t>
  </si>
  <si>
    <t>IPA RADIO FIXO UHF CCO</t>
  </si>
  <si>
    <t>EE_INS_SEG_S_I_MCH 110VCC GRS 55BR_0090</t>
  </si>
  <si>
    <t>EE_INS_CONF_C_I_MCH 110VCC GRS 5C_0090</t>
  </si>
  <si>
    <t>Verificação do eixo da caixa redutora e pino da Manivela
Verificação jogo de contatos detectores de posição e de controle do motor (mesa de contatos)</t>
  </si>
  <si>
    <t>EE_INS_CONF_S_I_MCH 110VCC GRS 5C_0090</t>
  </si>
  <si>
    <t>EE_MAN_CONF_C_I_MCH 110VCC GRS 5C_0090</t>
  </si>
  <si>
    <t>Desengraxar parte interna da mesa de contato com  EPL3 e realizar limpeza dos contatos com limpa contato elétrico. Verificar vedação do compartimento.
Lubrificação das barras internas e verificação dos Casquilhos
Lubrificação Manga de Ajuste</t>
  </si>
  <si>
    <t>EE_INS_CONF_C_I_MCH 110VCC GRS 5C R_0090</t>
  </si>
  <si>
    <t>ICG TF040A</t>
  </si>
  <si>
    <t>ICG TF035A</t>
  </si>
  <si>
    <t>ICG TF030A</t>
  </si>
  <si>
    <t>ICG TF025A</t>
  </si>
  <si>
    <t>ICG TF015A</t>
  </si>
  <si>
    <t>ICG TF020A</t>
  </si>
  <si>
    <t>IPA 344T N</t>
  </si>
  <si>
    <t>IPA 334ST N</t>
  </si>
  <si>
    <t>IRG CM 035B</t>
  </si>
  <si>
    <t>EE_INS_CONF_S_I_MCH 110VCC GRS 5C R_0090</t>
  </si>
  <si>
    <t>IPA AES-FO PARANAPIACABA NORTE</t>
  </si>
  <si>
    <t>IOF QCA01A</t>
  </si>
  <si>
    <t>EE_INS_CONF_S_I_MAQ CHAVE M2/M3_0090</t>
  </si>
  <si>
    <t>IPA 258N N</t>
  </si>
  <si>
    <t>IPA CHV03B</t>
  </si>
  <si>
    <t>EE_INS_CONF_S_I_SINAL L MULTI AUT_0090</t>
  </si>
  <si>
    <t>Medir tensão da lâmpada/bolacha de led
Verificar receptáculo/conexões e se tem lâmpada com filamento aberto ou LEDs da bolacha queimado</t>
  </si>
  <si>
    <t>IRA 2E SINALEIRO</t>
  </si>
  <si>
    <t>IRA 2D SINALEIRO</t>
  </si>
  <si>
    <t>IOF CX010A</t>
  </si>
  <si>
    <t>IPA CX020B</t>
  </si>
  <si>
    <t>IOF CX015A</t>
  </si>
  <si>
    <t>EE_MAN_CONF_C_I_MCH 110VCC GRS 5C R_0090</t>
  </si>
  <si>
    <t>Limpeza dos roletes com EPL22 e regulagem com gabarito.
Desengraxar parte interna da mesa de contato com  EPL3 e realizar limpeza dos contatos com limpa contato elétrico. Verificar vedação do compartimento.
Lubrificação das barras internas e verificação dos Casquilhos
Lubrificação Manga de Ajuste</t>
  </si>
  <si>
    <t>EE_INS_CONF_C_I_COM ENER CHAN OVER_0090</t>
  </si>
  <si>
    <t>IPA CHV01B</t>
  </si>
  <si>
    <t>Medir tensões de entrada nos terminais das bobinas das contatoras</t>
  </si>
  <si>
    <t>ICG CHV10A</t>
  </si>
  <si>
    <t>ICG CHV09A</t>
  </si>
  <si>
    <t>IPA CHV02B</t>
  </si>
  <si>
    <t>EE_MAN_CONF_S_I_SINAL L MULTI AUT_0090</t>
  </si>
  <si>
    <t>EE_INS_SEG_S_I_MCH 110VCC GRS 5C R_0090</t>
  </si>
  <si>
    <t>EE_INS_CONF_C_I_P.N. AUT MD S BARRE_0090</t>
  </si>
  <si>
    <t>Verificar contatos, fiação, conexões, partes móveis, escovas do motor e trava do motor ou slot</t>
  </si>
  <si>
    <t>IPA 285E SINALEIRO N</t>
  </si>
  <si>
    <t>IPA 271E SINALEIRO N</t>
  </si>
  <si>
    <t>IPA 269D SINALEIRO N</t>
  </si>
  <si>
    <t>IPA 267E SINALEIRO N</t>
  </si>
  <si>
    <t>IPA 265E SINALEIRO N</t>
  </si>
  <si>
    <t>IPA 259E SINALEIRO N</t>
  </si>
  <si>
    <t>IPA 261E SINALEIRO N</t>
  </si>
  <si>
    <t>IPA 263D SINALEIRO N</t>
  </si>
  <si>
    <t>IOF 3D SINALEIRO</t>
  </si>
  <si>
    <t>IOF 3E SINALEIRO</t>
  </si>
  <si>
    <t>IRG TF065B</t>
  </si>
  <si>
    <t>ICG 17T N</t>
  </si>
  <si>
    <t>ICG 30AT N</t>
  </si>
  <si>
    <t>EE_MAN_CONF_S_I_SINAL L UNIFO AUT_0090</t>
  </si>
  <si>
    <t>ICG 32AT N</t>
  </si>
  <si>
    <t>ICG 30T N</t>
  </si>
  <si>
    <t>IRG CHV05B</t>
  </si>
  <si>
    <t>IRG CHV06B</t>
  </si>
  <si>
    <t>ICG CHV08A</t>
  </si>
  <si>
    <t>ICG CHV07A</t>
  </si>
  <si>
    <t>EE_INS_CONF_S_I_SINAL L UNIFO AUT_0090</t>
  </si>
  <si>
    <t>ICG 32T N</t>
  </si>
  <si>
    <t>IPA 266N N</t>
  </si>
  <si>
    <t>IRG 24D SINALEIRO N</t>
  </si>
  <si>
    <t>IRG 22D SINALEIRO N</t>
  </si>
  <si>
    <t>IRG 20D SINALEIRO N</t>
  </si>
  <si>
    <t>IRG 30E SINALEIRO N</t>
  </si>
  <si>
    <t>IRG 28E SINALEIRO N</t>
  </si>
  <si>
    <t>IRS TF020A</t>
  </si>
  <si>
    <t>ICG TF060A</t>
  </si>
  <si>
    <t>ICG TF055A</t>
  </si>
  <si>
    <t>ICG TF010A</t>
  </si>
  <si>
    <t>ICG TF005A</t>
  </si>
  <si>
    <t>ICG TF075A</t>
  </si>
  <si>
    <t>ICG 33AT N</t>
  </si>
  <si>
    <t>ICG 33BT N</t>
  </si>
  <si>
    <t>IPA 266ST N</t>
  </si>
  <si>
    <t>IPA 281BT N</t>
  </si>
  <si>
    <t>IPA 281CT N</t>
  </si>
  <si>
    <t>IPA 281DT N</t>
  </si>
  <si>
    <t>IPA 281T N</t>
  </si>
  <si>
    <t>IRS 253T N</t>
  </si>
  <si>
    <t>ICG 32BT N</t>
  </si>
  <si>
    <t>IPA AES-FO PARPIM 1100</t>
  </si>
  <si>
    <t>IPA AES-FO PARANAPIACABA SUL</t>
  </si>
  <si>
    <t>ICG CHV06A</t>
  </si>
  <si>
    <t>IPA 8AT N</t>
  </si>
  <si>
    <t>IPA 277T N</t>
  </si>
  <si>
    <t>ICG 20T N</t>
  </si>
  <si>
    <t>IPA 281ET N</t>
  </si>
  <si>
    <t>IRS CX095A</t>
  </si>
  <si>
    <t>IRS CX090A</t>
  </si>
  <si>
    <t>ICG TF080A</t>
  </si>
  <si>
    <t>IRG CHV02B</t>
  </si>
  <si>
    <t>IRG CHV01B</t>
  </si>
  <si>
    <t>EE_MAN_CONF_C_I_SINAL L UNIFO CONT_0060</t>
  </si>
  <si>
    <t>Substituir lâmpada do sinaleiro</t>
  </si>
  <si>
    <t>LAMPADA 2 POLOS 2 FILAMENTOS PHILIPS</t>
  </si>
  <si>
    <t>IPA 251D SINALEIRO N</t>
  </si>
  <si>
    <t>EE_MAN_CONF_C_I_SINAL L UNIFO AUT_0060</t>
  </si>
  <si>
    <t>IPA 253E SINALEIRO N</t>
  </si>
  <si>
    <t>EE_INS_CONF_S_I_SIST GRAV DE MANOB_0060</t>
  </si>
  <si>
    <t>ZPD SGM005</t>
  </si>
  <si>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</si>
  <si>
    <t>ILA SGM005</t>
  </si>
  <si>
    <t>IIP SGM005</t>
  </si>
  <si>
    <t>EE_MAN_CONF_S_I_DET DESC VIA RADIO_0060</t>
  </si>
  <si>
    <t>IRA D D RADIO KM034+844 D07</t>
  </si>
  <si>
    <t>Realizar limpeza dos conectores rj45 da unicon e clp, com limpa contatos.
Realizar limpeza interna e externa da caixa de locação.</t>
  </si>
  <si>
    <t>IRA D D RADIO KM035+601 D06</t>
  </si>
  <si>
    <t>IRA D D RADIO KM35+981 D05</t>
  </si>
  <si>
    <t>ISU D D RADIO KM30+500 D12</t>
  </si>
  <si>
    <t>ISU D D RADIO KM31+899 D11</t>
  </si>
  <si>
    <t>EE_INS_CONF_S_I_DET DESC VIA RADIO_0060</t>
  </si>
  <si>
    <t>Verificar se o rádio encontra-se com o canal da manutenção selecionado.
Medir e registrar tensão da bateria em descarga.
Verificar presença de zinabre nos polos da bateria.
Medir e registrar, na fonte, tensão de saída do consumidor e bateria.
Medir e registrar tensão de entrada da fonte (ac).
Inspecionar fiação do bastidor.
Inspecionar antena e conexões de rf
Medir e registrar potência de transmissão direta e refletida.
Inspecionar estados de coerência dos led's (vermelho e verde) da unicon, se aplicável
Simular a função de vandalismo, se aplicável.
Verificar documentação técnica (diagrama de ligação elétrica e licença anatel).
Verificar a identificação da caixa de locação (=id do rádio)</t>
  </si>
  <si>
    <t>EE_MAN_CONF_S_I_SIST GRAV DE MANOB_0060</t>
  </si>
  <si>
    <t>REALIZAR LIMPEZA DE TODOS OS COMPONENTES DO SISTEMA DE GRAVAÇÃO</t>
  </si>
  <si>
    <t>EE_INS_CONF_C_I_DET DESC VIA RADIO_0060</t>
  </si>
  <si>
    <t>Realizar teste de barra aberta</t>
  </si>
  <si>
    <t>ICG 20D SINALEIRO N</t>
  </si>
  <si>
    <t>MF-SJU1-ILA_ILA-TELECOM-GTWILA</t>
  </si>
  <si>
    <t>MF-SJU1-IIP_IIP-TELECOM-GTWIIP</t>
  </si>
  <si>
    <t>MF-SJU1-IJN_IJN-TELECOM-GTWIJN</t>
  </si>
  <si>
    <t>MF-RIP1-ZPD_ZPD-TELECOM-GTWZPD1</t>
  </si>
  <si>
    <t>MF-RIP1-ZPD_ZPD-TELECOM-GTWZPD2</t>
  </si>
  <si>
    <t>EE_INS_CONF_S_I_MAQ CHAVE MOLA_0030</t>
  </si>
  <si>
    <t>Verificação dos cadeados e aplicar grafite em pó
Verificar contra-pinos</t>
  </si>
  <si>
    <t>EE_INS_SEG_C_I_MAQ CHAVE MOLA_0030</t>
  </si>
  <si>
    <t>Verificar nível de óleo do êmbolo. Verificar sinais de vazamento
Fazer teste de obstrução da chave de mola com gabarito (até 3mm/5mm) para a posição normal ou reversa</t>
  </si>
  <si>
    <t>EE_MAN_CONF_C_I_MAQ CHAVE M2/M3_0030</t>
  </si>
  <si>
    <t>IRG 21S N</t>
  </si>
  <si>
    <t>Limpeza das placas de apoio ( se necessário utilizar EPL22). Lubrificação das placas de apoio.</t>
  </si>
  <si>
    <t>IRG 21N N</t>
  </si>
  <si>
    <t>EE_INS_SEG_S_I_MAQ CHAVE MOLA_0030</t>
  </si>
  <si>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</si>
  <si>
    <t>EE_INS_SEG_C_I_CIRCUITO VIA CA_0030</t>
  </si>
  <si>
    <t>IRS 13T N</t>
  </si>
  <si>
    <t>Fazer teste ocupação com shunt padrão 0,06ohm no CDV na extremidade inferior do CDV</t>
  </si>
  <si>
    <t>IRS 14T N</t>
  </si>
  <si>
    <t>IRS 16T N</t>
  </si>
  <si>
    <t>IRS 15T N</t>
  </si>
  <si>
    <t>EE_INS_CONF_S_I_BL INT RELÉ S/ BAT_0030</t>
  </si>
  <si>
    <t>IRS BLOQ E INT RELE S/BAT 065</t>
  </si>
  <si>
    <t>Examinar visualmente centelhadores transparentes ou opacos com indicador</t>
  </si>
  <si>
    <t>IRS BLOQ E INT RELE S/BAT 070</t>
  </si>
  <si>
    <t>IRS BLOQ E INT RELE S/BAT 075</t>
  </si>
  <si>
    <t>IRS BLOQ E INT RELE S/BAT 060</t>
  </si>
  <si>
    <t>EE_INS_SEG_S_I_MCH MAN C/CONTR_0030</t>
  </si>
  <si>
    <t>Verificar se a tranca da alavanca de operação manual está com cadeado e travada, impossibilitando a oper. p/ posição contrária
Verificar conexões da cordoalha e do controlador de circuito no trilho
Verificar se o tirante de indicação está bem fixado ao controlador de circuitos e à agulha com todos os contrapinos, porcas, arruelas e parafusos necessários e sem folgas. Verificar estado dos contatos</t>
  </si>
  <si>
    <t>EE_INS_SEG_S_I_CIRCUITO VIA CA_0030</t>
  </si>
  <si>
    <t>T_EE_INS_CONF_S_I_CIRCUITO VIA CA_0030</t>
  </si>
  <si>
    <t>Verificar bondeamento e se todos eles se encontram duplicados</t>
  </si>
  <si>
    <t>EE_INS_SEG_C_I_CIRCUITO VIA CA_1_0030</t>
  </si>
  <si>
    <t>Fazer teste ocupação com shunt padrão 0,06ohm no CDV na extremidade superior do CDV</t>
  </si>
  <si>
    <t>EE_INS_CONF_S_I_MCH 110V GRS 55BR R_0030</t>
  </si>
  <si>
    <t>Verificação dos cadeados e aplicar grafite em pó</t>
  </si>
  <si>
    <t>EE_INS_CONF_S_I_CIRCUITO VIA CA_0030</t>
  </si>
  <si>
    <t>Examinar conexão/trilho</t>
  </si>
  <si>
    <t>EE_MAN_CONF_C_I_MCH MAN C/CONTR_0030</t>
  </si>
  <si>
    <t>EE_INS_CONF_C_I_MAQ CHAVE MOLA_0030</t>
  </si>
  <si>
    <t>Verificar tempo retorno da chave em dois estágios</t>
  </si>
  <si>
    <t>EE_INS_CONF_S_I_MCH MAN C/CONTR_0030</t>
  </si>
  <si>
    <t>EE_INS_CONF_C_I_MCH MAN C/CONTR_0030</t>
  </si>
  <si>
    <t>Verificar regulagem de todos os tirantes</t>
  </si>
  <si>
    <t>EE_MAN_CONF_C_I_MAQ CHAVE MOLA_0030</t>
  </si>
  <si>
    <t>Limpeza das placas de apoio ( se necessário utilizar EPL22). Lubrificação das placas de apoio.
Lubrificar o pistão do êmbolo com vaselina líquida e graxa no retentor.</t>
  </si>
  <si>
    <t>EE_INS_CONF_S_I_MCH 110VCC GRS 5C R_0030</t>
  </si>
  <si>
    <t>EE_INS_CONF_S_I_MCH 110VCC GRS 5C_0030</t>
  </si>
  <si>
    <t>EE_MAN_CONF_C_I_MCH 110VCC GRS 5C_0030</t>
  </si>
  <si>
    <t>EE_INS_CONF_S_I_GRUPO MOTOR GERADOR_0030</t>
  </si>
  <si>
    <t>IPA GMG01A</t>
  </si>
  <si>
    <t>Inspecionar a cor dos gases no escapamento.
Inspecionar a existência de alarmes durante o funcionamento do GMG.
Inspecionar a existência de vazamentos no motor durante operação do GMG.
Inspecionar a frequência de geração do GMG com carga. Deverá estar entre 57 e 63Hz.
Inspecionar alarmes sonoro ou visual na USCA e GMG.
Inspecionar estado geral e fixação de cabos de controle, conexões elétricas e dos instrumentos do painel da USCA e do painel do GMG.
Inspecionar fixação partes mecânicas do motor diesel: escapamento, radiador, tampas, parafusos, suportes.
Inspecionar folga das correias.
Inspecionar Iluminação interna e externa da sala do GMG
Inspecionar integridade das mangueiras e abraçadeiras em geral
Inspecionar nível de óleo de combustível. Não poderá estar abaixo de 1/2 do nível do tanque.
Inspecionar nível do Líquido de Arrefecimento do radiador.
Inspecionar o nível de óleo lubrificante.
Inspecionar o sistema de pré-aquecimento.
Inspecionar se as janelas ou vãos de ventilação da sala se encontram desobstruídas.
Inspecionar se há vazamento de água do radiador.
Inspecionar se há vazamento no tanque combustível.
Inspecionar sinalização remota de funcionamento no CCM.
Medir tensão de carga da bateria. Para 12VDC: 13,4 a 14,4VDC. Para 24VDC: 25,4 a 26,4VDC).
Medir tensão de flutuação da bateria. Para 12 VDC:13,4 a 13,6 VDC. Para 24 VDC:25,4 a 25,6 VDC.
Medir tensões fase-fase GMG (+/-5% da tensão nominal). P/ 380VAC:361 a 399VAC.P/ 220VAC:209 a 231VAC.
Simular falta de energia em modo automático por no mínimo 15 minutos.</t>
  </si>
  <si>
    <t>EE_INS_CONF_S_I_TRAFO CORRENTE_0030</t>
  </si>
  <si>
    <t>IRS TC005B</t>
  </si>
  <si>
    <t>Medir do nível do óleo</t>
  </si>
  <si>
    <t>IRS TC010B</t>
  </si>
  <si>
    <t>IRS TC015B</t>
  </si>
  <si>
    <t>IRS TC020B</t>
  </si>
  <si>
    <t>T_EE_INS_CONF_C_I_R AER TRA FIO CON_0180</t>
  </si>
  <si>
    <t>IPA LAT010B</t>
  </si>
  <si>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</si>
  <si>
    <t>IPA LAT015B</t>
  </si>
  <si>
    <t>IPA LAT020B L01</t>
  </si>
  <si>
    <t>IPA LAT020B L02</t>
  </si>
  <si>
    <t>IPA LAT020B L03</t>
  </si>
  <si>
    <t>IPA LAT020B L04</t>
  </si>
  <si>
    <t>IPA LAT020B L05</t>
  </si>
  <si>
    <t>IPA LAT020B L06</t>
  </si>
  <si>
    <t>IPA LAT020B L07</t>
  </si>
  <si>
    <t>IPA LAT020B L08</t>
  </si>
  <si>
    <t>IPA LAT020B L09</t>
  </si>
  <si>
    <t>IPA LAT020B L10</t>
  </si>
  <si>
    <t>IPA LAT025B L01</t>
  </si>
  <si>
    <t>IPA LAT025B L02</t>
  </si>
  <si>
    <t>IPA LAT TERM</t>
  </si>
  <si>
    <t>IPA SET012</t>
  </si>
  <si>
    <t>IPA SET013</t>
  </si>
  <si>
    <t>IPA SET014</t>
  </si>
  <si>
    <t>IPA SET015</t>
  </si>
  <si>
    <t>IPA SET016</t>
  </si>
  <si>
    <t>IPA SET017</t>
  </si>
  <si>
    <t>IPA SET018</t>
  </si>
  <si>
    <t>IPA SET019</t>
  </si>
  <si>
    <t>IPA SET020</t>
  </si>
  <si>
    <t>IPA SET021</t>
  </si>
  <si>
    <t>T_EE_INS_CONF_C_I_R AER TRACAO CREM_0180</t>
  </si>
  <si>
    <t>ICG CST031</t>
  </si>
  <si>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</si>
  <si>
    <t>ICG CST032</t>
  </si>
  <si>
    <t>IPA CST000</t>
  </si>
  <si>
    <t>IPA CST007</t>
  </si>
  <si>
    <t>IPA CST008</t>
  </si>
  <si>
    <t>IPA CST019</t>
  </si>
  <si>
    <t>IPA CST020</t>
  </si>
  <si>
    <t>T_EE_INS_CONF_C_I_GRUPO MOTOR GERAD_0180</t>
  </si>
  <si>
    <t>Reapertar conexões e terminais</t>
  </si>
  <si>
    <t>T_EE_INS_CONF_S_I_GRUPO MOTOR GERAD_0030</t>
  </si>
  <si>
    <t>Limpeza geral do Grupo Motor Gerador e da Sala.</t>
  </si>
  <si>
    <t>IRS GMG01A</t>
  </si>
  <si>
    <t>T_EE_MAN_CONF_C_I_GRUPO MOTOR GERAD_0180</t>
  </si>
  <si>
    <t>Substituir filtros de combustível.
Substituir filtros de óleo lubrificante
Substituir óleo lubrificante</t>
  </si>
  <si>
    <t>EE_INS_SEG_S_I_MCH 110VCC GRS 5C_0090</t>
  </si>
  <si>
    <t>EE_INS_CONF_S_I_SINAL L MULTI CONT_0360</t>
  </si>
  <si>
    <t>IOF 2D</t>
  </si>
  <si>
    <t>IOF 2E</t>
  </si>
  <si>
    <t>EE_INS_CONF_S_I_LOG PR C.PROGR REM_0180</t>
  </si>
  <si>
    <t>Realizar inspeção visual dos conectores dos cabos de redes, verificando sinais de oxidação, folga ou desgaste nos contatos</t>
  </si>
  <si>
    <t>ICG RTU C.GRANDE SUL</t>
  </si>
  <si>
    <t>EE_INS_CONF_S_I_SINAL L MULTI CONT_0090</t>
  </si>
  <si>
    <t>EE_INS_SEG_S_I_SINAL L MULTI CONT_0180</t>
  </si>
  <si>
    <t>EE_MAN_CONF_S_I_SINAL L MULTI CONT_0030</t>
  </si>
  <si>
    <t>Limpar lente, unidade sinaleiro, sinaleiro, caixa de junção</t>
  </si>
  <si>
    <t>EE_MAN_CONF_S_I_SINAL L MULTI CONT_0090</t>
  </si>
  <si>
    <t>EE_INS_CONF_S_I_CIRCUITO VIA CC_0030</t>
  </si>
  <si>
    <t>ISU DT CDV N</t>
  </si>
  <si>
    <t>ISU ET CDV N</t>
  </si>
  <si>
    <t>T_EE_INS_CONF_S_I_CIRCUITO VIA CC_0030</t>
  </si>
  <si>
    <t>ISU CM01</t>
  </si>
  <si>
    <t>EE_MAN_CONF_S_I_SINAL L UNIFO CONT_0030</t>
  </si>
  <si>
    <t>IPA 349D SINALEIRO N</t>
  </si>
  <si>
    <t>IPA 353E SINALEIRO N</t>
  </si>
  <si>
    <t>IPA 277D SINALEIRO N</t>
  </si>
  <si>
    <t>IPA 279E SINALEIRO N</t>
  </si>
  <si>
    <t>EE_INS_CONF_S_I_CDV DETETORA CA_0030</t>
  </si>
  <si>
    <t>Examinar cordoalha / cabo de transposição
Examinar conexão/trilho
Examinar visualmente centelhadores transparentes ou opacos com indicador</t>
  </si>
  <si>
    <t>IPA 258NT N</t>
  </si>
  <si>
    <t>IPA 258ST N</t>
  </si>
  <si>
    <t>EE_INS_CONF_C_I_MCH 110VCC GRS 5C R_0030</t>
  </si>
  <si>
    <t>Verificação do freio motor</t>
  </si>
  <si>
    <t>EE_MAN_CONF_S_I_SINAL L UNIFO AUT_0030</t>
  </si>
  <si>
    <t>EE_MAN_CONF_C_I_MCH 110VCC GRS 55BR_0030</t>
  </si>
  <si>
    <t>EE_INS_SEG_C_I_CIRCUITO VIA CC_1_0030</t>
  </si>
  <si>
    <t>EE_INS_SEG_C_I_CDV DETETORA CA_0030</t>
  </si>
  <si>
    <t>Fazer teste ocupação com shunt padrão 0,06ohm no C.D.V. Detetora antes e depois de cada junta isolada inversora e nas extremidades do CDV Detetora</t>
  </si>
  <si>
    <t>EE_INS_SEG_S_I_CIRCUITO VIA CC_0030</t>
  </si>
  <si>
    <t>EE_INS_SEG_C_I_CIRCUITO VIA CC_0030</t>
  </si>
  <si>
    <t>EE_INS_CONF_S_I_MCH 110VCC GRS 55BR_0030</t>
  </si>
  <si>
    <t>EE_INS_CONF_S_I_CIRCUITO A DIODO_0030</t>
  </si>
  <si>
    <t>ISU 1T CDV N</t>
  </si>
  <si>
    <t>Examinar cordoalha / cabo de transposição
Examinar conexão/trilho</t>
  </si>
  <si>
    <t>ISU 2T CDV N</t>
  </si>
  <si>
    <t>ISU XT CDV N</t>
  </si>
  <si>
    <t>EE_MAN_CONF_S_I_TRAVADOR ELÉTRICO_0030</t>
  </si>
  <si>
    <t>Retirar graxa existente e lubrificar com graxa nova a placa de deslizamento das agulhas. Lubrificar com graxa as barras  da máquina de chave</t>
  </si>
  <si>
    <t>EE_INS_SEG_C_I_MCH MAN C/CONTR_0030</t>
  </si>
  <si>
    <t>Fazer teste de obstrução da chave manual com gabarito (até 3mm/5mm) para a posição normal e reversa</t>
  </si>
  <si>
    <t>T_EE_INS_CONF_S_I_COM ENE CHAN OVER_0030</t>
  </si>
  <si>
    <t>Executar limpeza geral</t>
  </si>
  <si>
    <t>IRG CHV03B</t>
  </si>
  <si>
    <t>ICG CHV11A</t>
  </si>
  <si>
    <t>ICG CHV01A</t>
  </si>
  <si>
    <t>IPA CHV05B</t>
  </si>
  <si>
    <t>IPA CHV04B</t>
  </si>
  <si>
    <t>IRG CHV08B</t>
  </si>
  <si>
    <t>IRG CHV07B</t>
  </si>
  <si>
    <t>IRG CHV04B</t>
  </si>
  <si>
    <t>EE_INS_SEG_S_I_TRAVADOR ELÉTRICO_0030</t>
  </si>
  <si>
    <t>Verificar integridade do lacre</t>
  </si>
  <si>
    <t>EE_INS_SEG_C_I_MCH 110VCC GRS 5C R_0030</t>
  </si>
  <si>
    <t>Teste de obstrução NORMAL / REVERSA de máquina de chave Com Indicação
Teste de obstrução NORMAL / REVERSA de máquina de chave Sem Indicação e tempo de corte do motor</t>
  </si>
  <si>
    <t>T_EE_INS_CONF_S_I_CDV DETETORA CA_0030</t>
  </si>
  <si>
    <t>EE_MAN_CONF_S_I_SINAL L MULTI AUT_0030</t>
  </si>
  <si>
    <t>IRS 5T N</t>
  </si>
  <si>
    <t>IRS 6T N</t>
  </si>
  <si>
    <t>IRS 7T N</t>
  </si>
  <si>
    <t>IRS 221T N</t>
  </si>
  <si>
    <t>IPA BLOQ E INT RELE S/BAT 005</t>
  </si>
  <si>
    <t>IRG BLOQ E INT RELE S/BAT 010</t>
  </si>
  <si>
    <t>IRS BLOQ E INT RELE S/BAT 030</t>
  </si>
  <si>
    <t>IRS BLOQ E INT RELE S/BAT 035</t>
  </si>
  <si>
    <t>ICG BLOQ E INT RELE S/BAT 040</t>
  </si>
  <si>
    <t>ICG BLOQ E INT RELE S/BAT 035</t>
  </si>
  <si>
    <t>ICG BLOQ E INT RELE S/BAT 030</t>
  </si>
  <si>
    <t>EE_INS_SEG_S_I_CAMPAINHA DE P.N._0030</t>
  </si>
  <si>
    <t>ISU CPN-ISU005D</t>
  </si>
  <si>
    <t>Testar funcionamento automático da campainha
Verificar fiação e conexões na campainha
Conferir alinhamento de montagem</t>
  </si>
  <si>
    <t>ISU CPN-ISU005E</t>
  </si>
  <si>
    <t>IRG CPN-IRG005D</t>
  </si>
  <si>
    <t>IRG CPN-IRG005E</t>
  </si>
  <si>
    <t>ICG CPN-ICG005E</t>
  </si>
  <si>
    <t>ICG CPN-ICG005D</t>
  </si>
  <si>
    <t>ISU CPN-ISU010D</t>
  </si>
  <si>
    <t>ISU CPN-ISU010E</t>
  </si>
  <si>
    <t>IOF CPN-IOF005D</t>
  </si>
  <si>
    <t>IOF CPN-IOF005E</t>
  </si>
  <si>
    <t>EE_INS_SEG_C_I_MCH 110VCC GRS 55BR_0030</t>
  </si>
  <si>
    <t>EE_INS_SEG_C_I_MCH 110V GRS 55BR R_0030</t>
  </si>
  <si>
    <t>EE_INS_CONF_S_I_CONJUNTO MED ENER_0030</t>
  </si>
  <si>
    <t>IOF MED 005</t>
  </si>
  <si>
    <t>Inspecionar acúmulos de poeira, sinais de ferrugem e corrosão no equipamento.
Inspecionar estado geral dos para-raios e aterramento.</t>
  </si>
  <si>
    <t>IRG 24AT N</t>
  </si>
  <si>
    <t>IRG 24T N</t>
  </si>
  <si>
    <t>IPA 14T N</t>
  </si>
  <si>
    <t>IPA 8T N</t>
  </si>
  <si>
    <t>IPA 343T N</t>
  </si>
  <si>
    <t>ICG 30DT N</t>
  </si>
  <si>
    <t>ICG 32DT N</t>
  </si>
  <si>
    <t>ICG 30CT N</t>
  </si>
  <si>
    <t>ICG 32CT N</t>
  </si>
  <si>
    <t>IPA 347T N</t>
  </si>
  <si>
    <t>ICG 18T N</t>
  </si>
  <si>
    <t>EE_INS_CONF_S_I_SINAL LUMINOSO PN_0030</t>
  </si>
  <si>
    <t>IOF S-IOF005D SINALEIRO PN</t>
  </si>
  <si>
    <t>Medir tensão da lâmpada/bolacha de led
Verificar soquete/conexões e se tem lâmpada com filamento aberto ou LEDs da bolacha queimado</t>
  </si>
  <si>
    <t>IOF S-IOF005E SINALEIRO PN</t>
  </si>
  <si>
    <t>ISU S-ISU005D SINALEIRO PN</t>
  </si>
  <si>
    <t>ISU S-ISU005E SINALEIRO PN</t>
  </si>
  <si>
    <t>ISU S-ISU010D SINALEIRO PN</t>
  </si>
  <si>
    <t>ISU S-ISU010E SINALEIRO PN</t>
  </si>
  <si>
    <t>ICG S-ICG005D SINALEIRO PN</t>
  </si>
  <si>
    <t>ICG S-ICG005E SINALEIRO PN</t>
  </si>
  <si>
    <t>ICG S-ICG005F SINALEIRO PN</t>
  </si>
  <si>
    <t>EE_INS_SEG_C_I_CIRCUITO A DIODO_0030</t>
  </si>
  <si>
    <t>Fazer teste ocupação com shunt padrão 0,06ohm no CDV antes e depois de cada junta isolada inversora e nas extremidades do CDV</t>
  </si>
  <si>
    <t>EE_INS_SEG_C_I_SINAL LUMINOSO PN_0030</t>
  </si>
  <si>
    <t>Testar funcionamento do sinal e verificar as conexões, corrigir irregularidades</t>
  </si>
  <si>
    <t>EE_INS_CONF_S_I_IAS_0030</t>
  </si>
  <si>
    <t>Verificar se os orifícios laterais dos leds do  MTO estão alinhados com os orifícios laterais do fototransistor do MRO.Verificar se as travas da parte traseira do MRO e do MTO  estão para baixo</t>
  </si>
  <si>
    <t>IRG 8D IAS N</t>
  </si>
  <si>
    <t>IPA 327D IAS N</t>
  </si>
  <si>
    <t>IPA 339E IAS N</t>
  </si>
  <si>
    <t>IPA 257D IAS N</t>
  </si>
  <si>
    <t>IPA 347D IAS N</t>
  </si>
  <si>
    <t>IRG 24D IAS N</t>
  </si>
  <si>
    <t>IRG 22D IAS N</t>
  </si>
  <si>
    <t>IRG 28E IAS N</t>
  </si>
  <si>
    <t>IRG 30E IAS N</t>
  </si>
  <si>
    <t>IPA 341D IAS N</t>
  </si>
  <si>
    <t>IPA 251D IAS N</t>
  </si>
  <si>
    <t>IPA 277D IAS N</t>
  </si>
  <si>
    <t>IPA 253E IAS N</t>
  </si>
  <si>
    <t>IPA 279E IAS N</t>
  </si>
  <si>
    <t>IPA 329D IAS N</t>
  </si>
  <si>
    <t>IPA 333D IAS N</t>
  </si>
  <si>
    <t>IPA 343D IAS N</t>
  </si>
  <si>
    <t>IPA 345E IAS N</t>
  </si>
  <si>
    <t>IPA 351E IAS N</t>
  </si>
  <si>
    <t>IPA 261E IAS N</t>
  </si>
  <si>
    <t>IPA 263D IAS N</t>
  </si>
  <si>
    <t>IPA 269D IAS N</t>
  </si>
  <si>
    <t>IPA 265E IAS N</t>
  </si>
  <si>
    <t>T_EE_INS_CONF_S_I_CIRCUITO A DIODO_0030</t>
  </si>
  <si>
    <t>EE_INS_CONF_C_I_IAS_0030</t>
  </si>
  <si>
    <t>Verificar  correspondência entre  aspecto do sinal e os led´s do IAS (verde, amarelo, vermelho e pisca) conferindo na remota o acionamento da entrada correspondente</t>
  </si>
  <si>
    <t>EE_INS_SEG_S_I_CIRCUITO A DIODO_0030</t>
  </si>
  <si>
    <t>EE_INS_SEG_C_I_MCH 110VCC GRS 5C_0030</t>
  </si>
  <si>
    <t>EE_INS_CONF_C_I_MCH 110VCC GRS 5C_0030</t>
  </si>
  <si>
    <t>EE_INS_CONF_S_I_CAMPAINHA DE P.N._0030</t>
  </si>
  <si>
    <t>EE_INS_SEG_C_I_TRAVADOR ELÉTRICO_0030</t>
  </si>
  <si>
    <t>Fazer teste de obstrução com gabarito (até 3mm e 5mm) para a posição normal e/ou reversa
Verificar se o tirante de indicação está bem fixado ao controlador de circuitos e à agulha com todos os contrapinos, porcas, arruelas e parafusos necessários e sem folgas. Verificar estado dos contatos</t>
  </si>
  <si>
    <t>IRS 191D IAS N</t>
  </si>
  <si>
    <t>IRS 199D IAS N</t>
  </si>
  <si>
    <t>IRS 197D IAS N</t>
  </si>
  <si>
    <t>IPA 303D IAS N</t>
  </si>
  <si>
    <t>IPA 307D IAS N</t>
  </si>
  <si>
    <t>IPA 305D IAS N</t>
  </si>
  <si>
    <t>IPA 311E IAS N</t>
  </si>
  <si>
    <t>IPA 309D IAS N</t>
  </si>
  <si>
    <t>EE_INS_CONF_C_I_DISJ CABINE PRIM_0030</t>
  </si>
  <si>
    <t>IPA CB-PRIMARIA</t>
  </si>
  <si>
    <t>Inspecionar Alarme CA e CC
Inspecionar lâmpada de sinalização</t>
  </si>
  <si>
    <t>IRA CM010A</t>
  </si>
  <si>
    <t>IPA 334NT N</t>
  </si>
  <si>
    <t>EE_INS_CONF_S_I_MAQ CHAVE M2/M3_0030</t>
  </si>
  <si>
    <t>Verificação dos cadeados e aplicar grafite em pó
Verificação eixo da Manivela
Verificação das alavancas (M22/M23)</t>
  </si>
  <si>
    <t>EE_INS_CONF_S_I_P.N. AUT MD S BARRE_0030</t>
  </si>
  <si>
    <t>Verificação dos cadeados e aplicar grafite em pó
Verificar fiação, reapertos, conexões, terminais, centelhadores e supressores de surto</t>
  </si>
  <si>
    <t>EE_INS_SEG_C_I_MAQ CHAVE M2/M3_0030</t>
  </si>
  <si>
    <t>ICG CHV04A</t>
  </si>
  <si>
    <t>ICG CHV03A</t>
  </si>
  <si>
    <t>ICG CHV05A</t>
  </si>
  <si>
    <t>IOF 1E SINALEIRO</t>
  </si>
  <si>
    <t>IOF 1D SINALEIRO</t>
  </si>
  <si>
    <t>EE_INS_SEG_S_I_P.N. AUT MD S BARRE_0030</t>
  </si>
  <si>
    <t>Verificar sinaleiro: luminosidade, frequência de acionamento (30 a 60 vezes/min), alinhamento e limpeza do sinaleiro
Verificar nível sonoro das campainhas e frequência do badalo (100 a 225 vezes por minuto)</t>
  </si>
  <si>
    <t>IOF MED 025</t>
  </si>
  <si>
    <t>IPA 325D IAS N</t>
  </si>
  <si>
    <t>IPA 301D IAS N</t>
  </si>
  <si>
    <t>IPA 321D IAS N</t>
  </si>
  <si>
    <t>IPA 323D IAS N</t>
  </si>
  <si>
    <t>ABER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</si>
</sst>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m\-yyyy"/>
  </numFmts>
  <fonts count="7" x14ac:knownFonts="1">
    <font>
      <sz val="11"/>
      <color theme="1"/>
      <name val="Aptos Narrow"/>
      <family val="2"/>
      <scheme val="minor"/>
    </font>
    <font>
      <b/>
      <sz val="12"/>
      <color theme="0"/>
      <name val="Aptos Narrow"/>
      <family val="2"/>
      <scheme val="minor"/>
    </font>
    <font>
      <sz val="10"/>
      <color theme="1"/>
      <name val="Aptos Narrow"/>
      <family val="2"/>
      <scheme val="minor"/>
    </font>
    <font>
      <sz val="10"/>
      <name val="Arial"/>
      <family val="2"/>
    </font>
    <font>
      <sz val="11"/>
      <color indexed="8"/>
      <name val="Arial"/>
      <family val="2"/>
    </font>
    <font>
      <sz val="10"/>
      <color indexed="63"/>
      <name val="Tahoma"/>
      <family val="2"/>
    </font>
    <font>
      <b/>
      <sz val="10"/>
      <color theme="1"/>
      <name val="Aptos Narrow"/>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499984740745262"/>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0" fontId="3" fillId="0" borderId="0"/>
  </cellStyleXfs>
  <cellXfs count="13">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xf>
    <xf numFmtId="0" fontId="4" fillId="5" borderId="0" xfId="1" applyFont="1" applyFill="1" applyAlignment="1" applyProtection="1">
      <alignment horizontal="center" vertical="top"/>
      <protection locked="0"/>
    </xf>
    <xf numFmtId="164" fontId="4" fillId="5" borderId="0" xfId="1" applyNumberFormat="1" applyFont="1" applyFill="1" applyAlignment="1" applyProtection="1">
      <alignment horizontal="center" vertical="top"/>
      <protection locked="0"/>
    </xf>
    <xf numFmtId="0" fontId="4" fillId="5" borderId="0" xfId="1" applyFont="1" applyFill="1" applyAlignment="1" applyProtection="1">
      <alignment horizontal="left" vertical="top"/>
      <protection locked="0"/>
    </xf>
    <xf numFmtId="49" fontId="5" fillId="5" borderId="0" xfId="0" applyNumberFormat="1" applyFont="1" applyFill="1" applyProtection="1">
      <protection locked="0"/>
    </xf>
    <xf numFmtId="2" fontId="6" fillId="6" borderId="0" xfId="0" applyNumberFormat="1" applyFont="1" applyFill="1" applyAlignment="1">
      <alignment horizontal="center"/>
    </xf>
    <xf numFmtId="0" fontId="2" fillId="7" borderId="0" xfId="0" applyFont="1" applyFill="1" applyAlignment="1">
      <alignment horizontal="center"/>
    </xf>
    <xf numFmtId="165" fontId="1" fillId="2" borderId="0" xfId="0" applyNumberFormat="1" applyFont="1" applyFill="1" applyAlignment="1">
      <alignment horizontal="center" vertical="center" wrapText="1"/>
    </xf>
    <xf numFmtId="165" fontId="4" fillId="5" borderId="0" xfId="1" applyNumberFormat="1" applyFont="1" applyFill="1" applyAlignment="1" applyProtection="1">
      <alignment horizontal="left" vertical="top"/>
      <protection locked="0"/>
    </xf>
    <xf numFmtId="165" fontId="0" fillId="0" borderId="0" xfId="0" applyNumberFormat="1"/>
  </cellXfs>
  <cellStyles count="2">
    <cellStyle name="Normal" xfId="0" builtinId="0"/>
    <cellStyle name="Normal 2" xfId="1" xr:uid="{1B94F3D1-9466-4D4E-AB14-F67514305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A929-7DF7-487F-A217-4EF8FA346799}">
  <dimension ref="A1:V1957"/>
  <sheetViews>
    <sheetView tabSelected="1" topLeftCell="A213" workbookViewId="0">
      <selection activeCell="H1082" sqref="H235:H1082"/>
    </sheetView>
  </sheetViews>
  <sheetFormatPr defaultRowHeight="15" x14ac:dyDescent="0.25"/>
  <cols>
    <col min="2" max="2" width="23" customWidth="1"/>
    <col min="5" max="5" width="42.7109375" customWidth="1"/>
    <col min="6" max="6" width="34" style="12" bestFit="1" customWidth="1"/>
    <col min="7" max="7" width="18.140625" customWidth="1"/>
    <col min="8" max="8" width="26.140625" customWidth="1"/>
  </cols>
  <sheetData>
    <row r="1" spans="1:22" ht="63"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row>
    <row r="2" spans="1:22" x14ac:dyDescent="0.25">
      <c r="A2" s="3" t="s">
        <v>22</v>
      </c>
      <c r="B2" s="4">
        <v>22650435</v>
      </c>
      <c r="C2" s="5" t="s">
        <v>23</v>
      </c>
      <c r="D2" s="6" t="s">
        <v>79</v>
      </c>
      <c r="E2" s="6" t="s">
        <v>25</v>
      </c>
      <c r="F2" s="11">
        <v>46172</v>
      </c>
      <c r="G2" s="6" t="s">
        <v>1079</v>
      </c>
      <c r="H2" s="7"/>
      <c r="I2" s="7" t="s">
        <v>175</v>
      </c>
      <c r="J2" s="7" t="s">
        <v>81</v>
      </c>
      <c r="K2" s="7" t="s">
        <v>29</v>
      </c>
      <c r="L2" s="3" t="str">
        <f>E2&amp;D2</f>
        <v>E.SP.IPAEE_INS_CONF_C_I_MAQ CHAVE M2/M3_0360</v>
      </c>
      <c r="M2" s="3" t="str">
        <f>IFERROR(MID(D2,SEARCH("S_I_",D2,1),3),"")</f>
        <v/>
      </c>
      <c r="N2" s="3" t="str">
        <f>IFERROR(MID(D2,SEARCH("C_I_",D2,1),3),"")</f>
        <v>C_I</v>
      </c>
      <c r="O2" s="3" t="str">
        <f>IF(AND(M2="",N2=""),"Extra","")</f>
        <v/>
      </c>
      <c r="P2" s="3" t="str">
        <f>IF(Q2=0,"TERCEIRO","MRS")</f>
        <v>MRS</v>
      </c>
      <c r="Q2" s="8" t="str">
        <f>IFERROR(VLOOKUP(L2,#REF!,4,0),"0,00")</f>
        <v>0,00</v>
      </c>
      <c r="R2" s="9" t="s">
        <v>42</v>
      </c>
      <c r="S2" s="9">
        <f>COUNTIF(D2,"*_SEG_*")</f>
        <v>0</v>
      </c>
      <c r="T2" s="9">
        <f>COUNTIF(D2,"*_MAN_*")</f>
        <v>0</v>
      </c>
      <c r="U2" s="9">
        <f>(RIGHT(D2,4))*1</f>
        <v>360</v>
      </c>
      <c r="V2" s="9" t="str">
        <f>IFERROR(VLOOKUP(I2,#REF!,2,0),"Sinalização")</f>
        <v>Sinalização</v>
      </c>
    </row>
    <row r="3" spans="1:22" x14ac:dyDescent="0.25">
      <c r="A3" s="3" t="s">
        <v>22</v>
      </c>
      <c r="B3" s="4">
        <v>22651286</v>
      </c>
      <c r="C3" s="5" t="s">
        <v>23</v>
      </c>
      <c r="D3" s="6" t="s">
        <v>105</v>
      </c>
      <c r="E3" s="6" t="s">
        <v>25</v>
      </c>
      <c r="F3" s="11">
        <v>46172</v>
      </c>
      <c r="G3" s="6" t="s">
        <v>1079</v>
      </c>
      <c r="H3" s="7"/>
      <c r="I3" s="7" t="s">
        <v>176</v>
      </c>
      <c r="J3" s="7" t="s">
        <v>107</v>
      </c>
      <c r="K3" s="7" t="s">
        <v>29</v>
      </c>
      <c r="L3" s="3" t="str">
        <f>E3&amp;D3</f>
        <v>E.SP.IPAEE_INS_CONF_S_I_LOG PR C.PROGR REM_0360</v>
      </c>
      <c r="M3" s="3" t="str">
        <f>IFERROR(MID(D3,SEARCH("S_I_",D3,1),3),"")</f>
        <v>S_I</v>
      </c>
      <c r="N3" s="3" t="str">
        <f>IFERROR(MID(D3,SEARCH("C_I_",D3,1),3),"")</f>
        <v/>
      </c>
      <c r="O3" s="3" t="str">
        <f>IF(AND(M3="",N3=""),"Extra","")</f>
        <v/>
      </c>
      <c r="P3" s="3" t="str">
        <f>IF(Q3=0,"TERCEIRO","MRS")</f>
        <v>MRS</v>
      </c>
      <c r="Q3" s="8" t="str">
        <f>IFERROR(VLOOKUP(L3,#REF!,4,0),"0,00")</f>
        <v>0,00</v>
      </c>
      <c r="R3" s="9" t="s">
        <v>42</v>
      </c>
      <c r="S3" s="9">
        <f>COUNTIF(D3,"*_SEG_*")</f>
        <v>0</v>
      </c>
      <c r="T3" s="9">
        <f>COUNTIF(D3,"*_MAN_*")</f>
        <v>0</v>
      </c>
      <c r="U3" s="9">
        <f>(RIGHT(D3,4))*1</f>
        <v>360</v>
      </c>
      <c r="V3" s="9" t="str">
        <f>IFERROR(VLOOKUP(I3,#REF!,2,0),"Sinalização")</f>
        <v>Sinalização</v>
      </c>
    </row>
    <row r="4" spans="1:22" x14ac:dyDescent="0.25">
      <c r="A4" s="3" t="s">
        <v>22</v>
      </c>
      <c r="B4" s="4">
        <v>22651562</v>
      </c>
      <c r="C4" s="5" t="s">
        <v>23</v>
      </c>
      <c r="D4" s="6" t="s">
        <v>66</v>
      </c>
      <c r="E4" s="6" t="s">
        <v>25</v>
      </c>
      <c r="F4" s="11">
        <v>46172</v>
      </c>
      <c r="G4" s="6" t="s">
        <v>1079</v>
      </c>
      <c r="H4" s="7"/>
      <c r="I4" s="7" t="s">
        <v>177</v>
      </c>
      <c r="J4" s="7" t="s">
        <v>68</v>
      </c>
      <c r="K4" s="7" t="s">
        <v>29</v>
      </c>
      <c r="L4" s="3" t="str">
        <f>E4&amp;D4</f>
        <v>E.SP.IPAEE_INS_CONF_S_I_SINAL L UNIFO CONT_0360</v>
      </c>
      <c r="M4" s="3" t="str">
        <f>IFERROR(MID(D4,SEARCH("S_I_",D4,1),3),"")</f>
        <v>S_I</v>
      </c>
      <c r="N4" s="3" t="str">
        <f>IFERROR(MID(D4,SEARCH("C_I_",D4,1),3),"")</f>
        <v/>
      </c>
      <c r="O4" s="3" t="str">
        <f>IF(AND(M4="",N4=""),"Extra","")</f>
        <v/>
      </c>
      <c r="P4" s="3" t="str">
        <f>IF(Q4=0,"TERCEIRO","MRS")</f>
        <v>MRS</v>
      </c>
      <c r="Q4" s="8" t="str">
        <f>IFERROR(VLOOKUP(L4,#REF!,4,0),"0,00")</f>
        <v>0,00</v>
      </c>
      <c r="R4" s="9" t="s">
        <v>57</v>
      </c>
      <c r="S4" s="9">
        <f>COUNTIF(D4,"*_SEG_*")</f>
        <v>0</v>
      </c>
      <c r="T4" s="9">
        <f>COUNTIF(D4,"*_MAN_*")</f>
        <v>0</v>
      </c>
      <c r="U4" s="9">
        <f>(RIGHT(D4,4))*1</f>
        <v>360</v>
      </c>
      <c r="V4" s="9" t="str">
        <f>IFERROR(VLOOKUP(I4,#REF!,2,0),"Sinalização")</f>
        <v>Sinalização</v>
      </c>
    </row>
    <row r="5" spans="1:22" x14ac:dyDescent="0.25">
      <c r="A5" s="3" t="s">
        <v>22</v>
      </c>
      <c r="B5" s="4">
        <v>22651564</v>
      </c>
      <c r="C5" s="5" t="s">
        <v>23</v>
      </c>
      <c r="D5" s="6" t="s">
        <v>66</v>
      </c>
      <c r="E5" s="6" t="s">
        <v>25</v>
      </c>
      <c r="F5" s="11">
        <v>46172</v>
      </c>
      <c r="G5" s="6" t="s">
        <v>1079</v>
      </c>
      <c r="H5" s="7"/>
      <c r="I5" s="7" t="s">
        <v>178</v>
      </c>
      <c r="J5" s="7" t="s">
        <v>68</v>
      </c>
      <c r="K5" s="7" t="s">
        <v>29</v>
      </c>
      <c r="L5" s="3" t="str">
        <f>E5&amp;D5</f>
        <v>E.SP.IPAEE_INS_CONF_S_I_SINAL L UNIFO CONT_0360</v>
      </c>
      <c r="M5" s="3" t="str">
        <f>IFERROR(MID(D5,SEARCH("S_I_",D5,1),3),"")</f>
        <v>S_I</v>
      </c>
      <c r="N5" s="3" t="str">
        <f>IFERROR(MID(D5,SEARCH("C_I_",D5,1),3),"")</f>
        <v/>
      </c>
      <c r="O5" s="3" t="str">
        <f>IF(AND(M5="",N5=""),"Extra","")</f>
        <v/>
      </c>
      <c r="P5" s="3" t="str">
        <f>IF(Q5=0,"TERCEIRO","MRS")</f>
        <v>MRS</v>
      </c>
      <c r="Q5" s="8" t="str">
        <f>IFERROR(VLOOKUP(L5,#REF!,4,0),"0,00")</f>
        <v>0,00</v>
      </c>
      <c r="R5" s="9" t="s">
        <v>57</v>
      </c>
      <c r="S5" s="9">
        <f>COUNTIF(D5,"*_SEG_*")</f>
        <v>0</v>
      </c>
      <c r="T5" s="9">
        <f>COUNTIF(D5,"*_MAN_*")</f>
        <v>0</v>
      </c>
      <c r="U5" s="9">
        <f>(RIGHT(D5,4))*1</f>
        <v>360</v>
      </c>
      <c r="V5" s="9" t="str">
        <f>IFERROR(VLOOKUP(I5,#REF!,2,0),"Sinalização")</f>
        <v>Sinalização</v>
      </c>
    </row>
    <row r="6" spans="1:22" x14ac:dyDescent="0.25">
      <c r="A6" s="3" t="s">
        <v>22</v>
      </c>
      <c r="B6" s="4">
        <v>23137073</v>
      </c>
      <c r="C6" s="5" t="s">
        <v>23</v>
      </c>
      <c r="D6" s="6" t="s">
        <v>387</v>
      </c>
      <c r="E6" s="6" t="s">
        <v>25</v>
      </c>
      <c r="F6" s="11">
        <v>46172</v>
      </c>
      <c r="G6" s="6" t="s">
        <v>1079</v>
      </c>
      <c r="H6" s="7"/>
      <c r="I6" s="7" t="s">
        <v>494</v>
      </c>
      <c r="J6" s="7" t="s">
        <v>389</v>
      </c>
      <c r="K6" s="7" t="s">
        <v>29</v>
      </c>
      <c r="L6" s="3" t="str">
        <f>E6&amp;D6</f>
        <v>E.SP.IPAEE_MAN_CONF_S_I_BL INT RELÉ S/ BAT_0180</v>
      </c>
      <c r="M6" s="3" t="str">
        <f>IFERROR(MID(D6,SEARCH("S_I_",D6,1),3),"")</f>
        <v>S_I</v>
      </c>
      <c r="N6" s="3" t="str">
        <f>IFERROR(MID(D6,SEARCH("C_I_",D6,1),3),"")</f>
        <v/>
      </c>
      <c r="O6" s="3" t="str">
        <f>IF(AND(M6="",N6=""),"Extra","")</f>
        <v/>
      </c>
      <c r="P6" s="3" t="str">
        <f>IF(Q6=0,"TERCEIRO","MRS")</f>
        <v>MRS</v>
      </c>
      <c r="Q6" s="8" t="str">
        <f>IFERROR(VLOOKUP(L6,#REF!,4,0),"0,00")</f>
        <v>0,00</v>
      </c>
      <c r="R6" s="9" t="s">
        <v>42</v>
      </c>
      <c r="S6" s="9">
        <f>COUNTIF(D6,"*_SEG_*")</f>
        <v>0</v>
      </c>
      <c r="T6" s="9">
        <f>COUNTIF(D6,"*_MAN_*")</f>
        <v>1</v>
      </c>
      <c r="U6" s="9">
        <f>(RIGHT(D6,4))*1</f>
        <v>180</v>
      </c>
      <c r="V6" s="9" t="str">
        <f>IFERROR(VLOOKUP(I6,#REF!,2,0),"Sinalização")</f>
        <v>Sinalização</v>
      </c>
    </row>
    <row r="7" spans="1:22" x14ac:dyDescent="0.25">
      <c r="A7" s="3" t="s">
        <v>22</v>
      </c>
      <c r="B7" s="4">
        <v>23137074</v>
      </c>
      <c r="C7" s="5" t="s">
        <v>23</v>
      </c>
      <c r="D7" s="6" t="s">
        <v>387</v>
      </c>
      <c r="E7" s="6" t="s">
        <v>25</v>
      </c>
      <c r="F7" s="11">
        <v>46172</v>
      </c>
      <c r="G7" s="6" t="s">
        <v>1079</v>
      </c>
      <c r="H7" s="7"/>
      <c r="I7" s="7" t="s">
        <v>125</v>
      </c>
      <c r="J7" s="7" t="s">
        <v>389</v>
      </c>
      <c r="K7" s="7" t="s">
        <v>29</v>
      </c>
      <c r="L7" s="3" t="str">
        <f>E7&amp;D7</f>
        <v>E.SP.IPAEE_MAN_CONF_S_I_BL INT RELÉ S/ BAT_0180</v>
      </c>
      <c r="M7" s="3" t="str">
        <f>IFERROR(MID(D7,SEARCH("S_I_",D7,1),3),"")</f>
        <v>S_I</v>
      </c>
      <c r="N7" s="3" t="str">
        <f>IFERROR(MID(D7,SEARCH("C_I_",D7,1),3),"")</f>
        <v/>
      </c>
      <c r="O7" s="3" t="str">
        <f>IF(AND(M7="",N7=""),"Extra","")</f>
        <v/>
      </c>
      <c r="P7" s="3" t="str">
        <f>IF(Q7=0,"TERCEIRO","MRS")</f>
        <v>MRS</v>
      </c>
      <c r="Q7" s="8" t="str">
        <f>IFERROR(VLOOKUP(L7,#REF!,4,0),"0,00")</f>
        <v>0,00</v>
      </c>
      <c r="R7" s="9" t="s">
        <v>42</v>
      </c>
      <c r="S7" s="9">
        <f>COUNTIF(D7,"*_SEG_*")</f>
        <v>0</v>
      </c>
      <c r="T7" s="9">
        <f>COUNTIF(D7,"*_MAN_*")</f>
        <v>1</v>
      </c>
      <c r="U7" s="9">
        <f>(RIGHT(D7,4))*1</f>
        <v>180</v>
      </c>
      <c r="V7" s="9" t="str">
        <f>IFERROR(VLOOKUP(I7,#REF!,2,0),"Sinalização")</f>
        <v>Sinalização</v>
      </c>
    </row>
    <row r="8" spans="1:22" x14ac:dyDescent="0.25">
      <c r="A8" s="3" t="s">
        <v>22</v>
      </c>
      <c r="B8" s="4">
        <v>23137184</v>
      </c>
      <c r="C8" s="5" t="s">
        <v>23</v>
      </c>
      <c r="D8" s="6" t="s">
        <v>193</v>
      </c>
      <c r="E8" s="6" t="s">
        <v>25</v>
      </c>
      <c r="F8" s="11">
        <v>46172</v>
      </c>
      <c r="G8" s="6" t="s">
        <v>1079</v>
      </c>
      <c r="H8" s="7"/>
      <c r="I8" s="7" t="s">
        <v>495</v>
      </c>
      <c r="J8" s="7" t="s">
        <v>195</v>
      </c>
      <c r="K8" s="7" t="s">
        <v>29</v>
      </c>
      <c r="L8" s="3" t="str">
        <f>E8&amp;D8</f>
        <v>E.SP.IPAEE_INS_SEG_S_I_CIRCUITO VIA CA_0180</v>
      </c>
      <c r="M8" s="3" t="str">
        <f>IFERROR(MID(D8,SEARCH("S_I_",D8,1),3),"")</f>
        <v>S_I</v>
      </c>
      <c r="N8" s="3" t="str">
        <f>IFERROR(MID(D8,SEARCH("C_I_",D8,1),3),"")</f>
        <v/>
      </c>
      <c r="O8" s="3" t="str">
        <f>IF(AND(M8="",N8=""),"Extra","")</f>
        <v/>
      </c>
      <c r="P8" s="3" t="str">
        <f>IF(Q8=0,"TERCEIRO","MRS")</f>
        <v>MRS</v>
      </c>
      <c r="Q8" s="8" t="str">
        <f>IFERROR(VLOOKUP(L8,#REF!,4,0),"0,00")</f>
        <v>0,00</v>
      </c>
      <c r="R8" s="9" t="s">
        <v>30</v>
      </c>
      <c r="S8" s="9">
        <f>COUNTIF(D8,"*_SEG_*")</f>
        <v>1</v>
      </c>
      <c r="T8" s="9">
        <f>COUNTIF(D8,"*_MAN_*")</f>
        <v>0</v>
      </c>
      <c r="U8" s="9">
        <f>(RIGHT(D8,4))*1</f>
        <v>180</v>
      </c>
      <c r="V8" s="9" t="str">
        <f>IFERROR(VLOOKUP(I8,#REF!,2,0),"Sinalização")</f>
        <v>Sinalização</v>
      </c>
    </row>
    <row r="9" spans="1:22" x14ac:dyDescent="0.25">
      <c r="A9" s="3" t="s">
        <v>22</v>
      </c>
      <c r="B9" s="4">
        <v>23137191</v>
      </c>
      <c r="C9" s="5" t="s">
        <v>23</v>
      </c>
      <c r="D9" s="6" t="s">
        <v>193</v>
      </c>
      <c r="E9" s="6" t="s">
        <v>25</v>
      </c>
      <c r="F9" s="11">
        <v>46172</v>
      </c>
      <c r="G9" s="6" t="s">
        <v>1079</v>
      </c>
      <c r="H9" s="7"/>
      <c r="I9" s="7" t="s">
        <v>496</v>
      </c>
      <c r="J9" s="7" t="s">
        <v>195</v>
      </c>
      <c r="K9" s="7" t="s">
        <v>29</v>
      </c>
      <c r="L9" s="3" t="str">
        <f>E9&amp;D9</f>
        <v>E.SP.IPAEE_INS_SEG_S_I_CIRCUITO VIA CA_0180</v>
      </c>
      <c r="M9" s="3" t="str">
        <f>IFERROR(MID(D9,SEARCH("S_I_",D9,1),3),"")</f>
        <v>S_I</v>
      </c>
      <c r="N9" s="3" t="str">
        <f>IFERROR(MID(D9,SEARCH("C_I_",D9,1),3),"")</f>
        <v/>
      </c>
      <c r="O9" s="3" t="str">
        <f>IF(AND(M9="",N9=""),"Extra","")</f>
        <v/>
      </c>
      <c r="P9" s="3" t="str">
        <f>IF(Q9=0,"TERCEIRO","MRS")</f>
        <v>MRS</v>
      </c>
      <c r="Q9" s="8" t="str">
        <f>IFERROR(VLOOKUP(L9,#REF!,4,0),"0,00")</f>
        <v>0,00</v>
      </c>
      <c r="R9" s="9" t="s">
        <v>30</v>
      </c>
      <c r="S9" s="9">
        <f>COUNTIF(D9,"*_SEG_*")</f>
        <v>1</v>
      </c>
      <c r="T9" s="9">
        <f>COUNTIF(D9,"*_MAN_*")</f>
        <v>0</v>
      </c>
      <c r="U9" s="9">
        <f>(RIGHT(D9,4))*1</f>
        <v>180</v>
      </c>
      <c r="V9" s="9" t="str">
        <f>IFERROR(VLOOKUP(I9,#REF!,2,0),"Sinalização")</f>
        <v>Sinalização</v>
      </c>
    </row>
    <row r="10" spans="1:22" x14ac:dyDescent="0.25">
      <c r="A10" s="3" t="s">
        <v>22</v>
      </c>
      <c r="B10" s="4">
        <v>23137192</v>
      </c>
      <c r="C10" s="5" t="s">
        <v>23</v>
      </c>
      <c r="D10" s="6" t="s">
        <v>193</v>
      </c>
      <c r="E10" s="6" t="s">
        <v>25</v>
      </c>
      <c r="F10" s="11">
        <v>46172</v>
      </c>
      <c r="G10" s="6" t="s">
        <v>1079</v>
      </c>
      <c r="H10" s="7"/>
      <c r="I10" s="7" t="s">
        <v>497</v>
      </c>
      <c r="J10" s="7" t="s">
        <v>195</v>
      </c>
      <c r="K10" s="7" t="s">
        <v>29</v>
      </c>
      <c r="L10" s="3" t="str">
        <f>E10&amp;D10</f>
        <v>E.SP.IPAEE_INS_SEG_S_I_CIRCUITO VIA CA_0180</v>
      </c>
      <c r="M10" s="3" t="str">
        <f>IFERROR(MID(D10,SEARCH("S_I_",D10,1),3),"")</f>
        <v>S_I</v>
      </c>
      <c r="N10" s="3" t="str">
        <f>IFERROR(MID(D10,SEARCH("C_I_",D10,1),3),"")</f>
        <v/>
      </c>
      <c r="O10" s="3" t="str">
        <f>IF(AND(M10="",N10=""),"Extra","")</f>
        <v/>
      </c>
      <c r="P10" s="3" t="str">
        <f>IF(Q10=0,"TERCEIRO","MRS")</f>
        <v>MRS</v>
      </c>
      <c r="Q10" s="8" t="str">
        <f>IFERROR(VLOOKUP(L10,#REF!,4,0),"0,00")</f>
        <v>0,00</v>
      </c>
      <c r="R10" s="9" t="s">
        <v>30</v>
      </c>
      <c r="S10" s="9">
        <f>COUNTIF(D10,"*_SEG_*")</f>
        <v>1</v>
      </c>
      <c r="T10" s="9">
        <f>COUNTIF(D10,"*_MAN_*")</f>
        <v>0</v>
      </c>
      <c r="U10" s="9">
        <f>(RIGHT(D10,4))*1</f>
        <v>180</v>
      </c>
      <c r="V10" s="9" t="str">
        <f>IFERROR(VLOOKUP(I10,#REF!,2,0),"Sinalização")</f>
        <v>Sinalização</v>
      </c>
    </row>
    <row r="11" spans="1:22" x14ac:dyDescent="0.25">
      <c r="A11" s="3" t="s">
        <v>22</v>
      </c>
      <c r="B11" s="4">
        <v>23137214</v>
      </c>
      <c r="C11" s="5" t="s">
        <v>23</v>
      </c>
      <c r="D11" s="6" t="s">
        <v>198</v>
      </c>
      <c r="E11" s="6" t="s">
        <v>25</v>
      </c>
      <c r="F11" s="11">
        <v>46172</v>
      </c>
      <c r="G11" s="6" t="s">
        <v>1079</v>
      </c>
      <c r="H11" s="7"/>
      <c r="I11" s="7" t="s">
        <v>498</v>
      </c>
      <c r="J11" s="7" t="s">
        <v>200</v>
      </c>
      <c r="K11" s="7" t="s">
        <v>29</v>
      </c>
      <c r="L11" s="3" t="str">
        <f>E11&amp;D11</f>
        <v>E.SP.IPAEE_INS_CONF_S_I_CAIXA DE LOCAÇÃO_0180</v>
      </c>
      <c r="M11" s="3" t="str">
        <f>IFERROR(MID(D11,SEARCH("S_I_",D11,1),3),"")</f>
        <v>S_I</v>
      </c>
      <c r="N11" s="3" t="str">
        <f>IFERROR(MID(D11,SEARCH("C_I_",D11,1),3),"")</f>
        <v/>
      </c>
      <c r="O11" s="3" t="str">
        <f>IF(AND(M11="",N11=""),"Extra","")</f>
        <v/>
      </c>
      <c r="P11" s="3" t="str">
        <f>IF(Q11=0,"TERCEIRO","MRS")</f>
        <v>MRS</v>
      </c>
      <c r="Q11" s="8" t="str">
        <f>IFERROR(VLOOKUP(L11,#REF!,4,0),"0,00")</f>
        <v>0,00</v>
      </c>
      <c r="R11" s="9" t="s">
        <v>98</v>
      </c>
      <c r="S11" s="9">
        <f>COUNTIF(D11,"*_SEG_*")</f>
        <v>0</v>
      </c>
      <c r="T11" s="9">
        <f>COUNTIF(D11,"*_MAN_*")</f>
        <v>0</v>
      </c>
      <c r="U11" s="9">
        <f>(RIGHT(D11,4))*1</f>
        <v>180</v>
      </c>
      <c r="V11" s="9" t="str">
        <f>IFERROR(VLOOKUP(I11,#REF!,2,0),"Sinalização")</f>
        <v>Sinalização</v>
      </c>
    </row>
    <row r="12" spans="1:22" x14ac:dyDescent="0.25">
      <c r="A12" s="3" t="s">
        <v>22</v>
      </c>
      <c r="B12" s="4">
        <v>23137218</v>
      </c>
      <c r="C12" s="5" t="s">
        <v>23</v>
      </c>
      <c r="D12" s="6" t="s">
        <v>205</v>
      </c>
      <c r="E12" s="6" t="s">
        <v>25</v>
      </c>
      <c r="F12" s="11">
        <v>46172</v>
      </c>
      <c r="G12" s="6" t="s">
        <v>1079</v>
      </c>
      <c r="H12" s="7"/>
      <c r="I12" s="7" t="s">
        <v>60</v>
      </c>
      <c r="J12" s="7" t="s">
        <v>181</v>
      </c>
      <c r="K12" s="7" t="s">
        <v>29</v>
      </c>
      <c r="L12" s="3" t="str">
        <f>E12&amp;D12</f>
        <v>E.SP.IPAEE_INS_CONF_S_I_BAT ESTAC B-LFR_0180</v>
      </c>
      <c r="M12" s="3" t="str">
        <f>IFERROR(MID(D12,SEARCH("S_I_",D12,1),3),"")</f>
        <v>S_I</v>
      </c>
      <c r="N12" s="3" t="str">
        <f>IFERROR(MID(D12,SEARCH("C_I_",D12,1),3),"")</f>
        <v/>
      </c>
      <c r="O12" s="3" t="str">
        <f>IF(AND(M12="",N12=""),"Extra","")</f>
        <v/>
      </c>
      <c r="P12" s="3" t="str">
        <f>IF(Q12=0,"TERCEIRO","MRS")</f>
        <v>MRS</v>
      </c>
      <c r="Q12" s="8" t="str">
        <f>IFERROR(VLOOKUP(L12,#REF!,4,0),"0,00")</f>
        <v>0,00</v>
      </c>
      <c r="R12" s="9" t="s">
        <v>42</v>
      </c>
      <c r="S12" s="9">
        <f>COUNTIF(D12,"*_SEG_*")</f>
        <v>0</v>
      </c>
      <c r="T12" s="9">
        <f>COUNTIF(D12,"*_MAN_*")</f>
        <v>0</v>
      </c>
      <c r="U12" s="9">
        <f>(RIGHT(D12,4))*1</f>
        <v>180</v>
      </c>
      <c r="V12" s="9" t="str">
        <f>IFERROR(VLOOKUP(I12,#REF!,2,0),"Sinalização")</f>
        <v>Sinalização</v>
      </c>
    </row>
    <row r="13" spans="1:22" x14ac:dyDescent="0.25">
      <c r="A13" s="3" t="s">
        <v>22</v>
      </c>
      <c r="B13" s="4">
        <v>23137446</v>
      </c>
      <c r="C13" s="5" t="s">
        <v>23</v>
      </c>
      <c r="D13" s="6" t="s">
        <v>213</v>
      </c>
      <c r="E13" s="6" t="s">
        <v>25</v>
      </c>
      <c r="F13" s="11">
        <v>46172</v>
      </c>
      <c r="G13" s="6" t="s">
        <v>1079</v>
      </c>
      <c r="H13" s="7"/>
      <c r="I13" s="7" t="s">
        <v>499</v>
      </c>
      <c r="J13" s="7" t="s">
        <v>215</v>
      </c>
      <c r="K13" s="7" t="s">
        <v>29</v>
      </c>
      <c r="L13" s="3" t="str">
        <f>E13&amp;D13</f>
        <v>E.SP.IPAEE_MAN_CONF_S_I_CIRCUITO VIA CA_0180</v>
      </c>
      <c r="M13" s="3" t="str">
        <f>IFERROR(MID(D13,SEARCH("S_I_",D13,1),3),"")</f>
        <v>S_I</v>
      </c>
      <c r="N13" s="3" t="str">
        <f>IFERROR(MID(D13,SEARCH("C_I_",D13,1),3),"")</f>
        <v/>
      </c>
      <c r="O13" s="3" t="str">
        <f>IF(AND(M13="",N13=""),"Extra","")</f>
        <v/>
      </c>
      <c r="P13" s="3" t="str">
        <f>IF(Q13=0,"TERCEIRO","MRS")</f>
        <v>MRS</v>
      </c>
      <c r="Q13" s="8" t="str">
        <f>IFERROR(VLOOKUP(L13,#REF!,4,0),"0,00")</f>
        <v>0,00</v>
      </c>
      <c r="R13" s="9" t="s">
        <v>98</v>
      </c>
      <c r="S13" s="9">
        <f>COUNTIF(D13,"*_SEG_*")</f>
        <v>0</v>
      </c>
      <c r="T13" s="9">
        <f>COUNTIF(D13,"*_MAN_*")</f>
        <v>1</v>
      </c>
      <c r="U13" s="9">
        <f>(RIGHT(D13,4))*1</f>
        <v>180</v>
      </c>
      <c r="V13" s="9" t="str">
        <f>IFERROR(VLOOKUP(I13,#REF!,2,0),"Sinalização")</f>
        <v>Sinalização</v>
      </c>
    </row>
    <row r="14" spans="1:22" x14ac:dyDescent="0.25">
      <c r="A14" s="3" t="s">
        <v>22</v>
      </c>
      <c r="B14" s="4">
        <v>23137447</v>
      </c>
      <c r="C14" s="5" t="s">
        <v>23</v>
      </c>
      <c r="D14" s="6" t="s">
        <v>213</v>
      </c>
      <c r="E14" s="6" t="s">
        <v>25</v>
      </c>
      <c r="F14" s="11">
        <v>46172</v>
      </c>
      <c r="G14" s="6" t="s">
        <v>1079</v>
      </c>
      <c r="H14" s="7"/>
      <c r="I14" s="7" t="s">
        <v>500</v>
      </c>
      <c r="J14" s="7" t="s">
        <v>215</v>
      </c>
      <c r="K14" s="7" t="s">
        <v>29</v>
      </c>
      <c r="L14" s="3" t="str">
        <f>E14&amp;D14</f>
        <v>E.SP.IPAEE_MAN_CONF_S_I_CIRCUITO VIA CA_0180</v>
      </c>
      <c r="M14" s="3" t="str">
        <f>IFERROR(MID(D14,SEARCH("S_I_",D14,1),3),"")</f>
        <v>S_I</v>
      </c>
      <c r="N14" s="3" t="str">
        <f>IFERROR(MID(D14,SEARCH("C_I_",D14,1),3),"")</f>
        <v/>
      </c>
      <c r="O14" s="3" t="str">
        <f>IF(AND(M14="",N14=""),"Extra","")</f>
        <v/>
      </c>
      <c r="P14" s="3" t="str">
        <f>IF(Q14=0,"TERCEIRO","MRS")</f>
        <v>MRS</v>
      </c>
      <c r="Q14" s="8" t="str">
        <f>IFERROR(VLOOKUP(L14,#REF!,4,0),"0,00")</f>
        <v>0,00</v>
      </c>
      <c r="R14" s="9" t="s">
        <v>98</v>
      </c>
      <c r="S14" s="9">
        <f>COUNTIF(D14,"*_SEG_*")</f>
        <v>0</v>
      </c>
      <c r="T14" s="9">
        <f>COUNTIF(D14,"*_MAN_*")</f>
        <v>1</v>
      </c>
      <c r="U14" s="9">
        <f>(RIGHT(D14,4))*1</f>
        <v>180</v>
      </c>
      <c r="V14" s="9" t="str">
        <f>IFERROR(VLOOKUP(I14,#REF!,2,0),"Sinalização")</f>
        <v>Sinalização</v>
      </c>
    </row>
    <row r="15" spans="1:22" x14ac:dyDescent="0.25">
      <c r="A15" s="3" t="s">
        <v>22</v>
      </c>
      <c r="B15" s="4">
        <v>23137448</v>
      </c>
      <c r="C15" s="5" t="s">
        <v>23</v>
      </c>
      <c r="D15" s="6" t="s">
        <v>213</v>
      </c>
      <c r="E15" s="6" t="s">
        <v>25</v>
      </c>
      <c r="F15" s="11">
        <v>46172</v>
      </c>
      <c r="G15" s="6" t="s">
        <v>1079</v>
      </c>
      <c r="H15" s="7"/>
      <c r="I15" s="7" t="s">
        <v>501</v>
      </c>
      <c r="J15" s="7" t="s">
        <v>215</v>
      </c>
      <c r="K15" s="7" t="s">
        <v>29</v>
      </c>
      <c r="L15" s="3" t="str">
        <f>E15&amp;D15</f>
        <v>E.SP.IPAEE_MAN_CONF_S_I_CIRCUITO VIA CA_0180</v>
      </c>
      <c r="M15" s="3" t="str">
        <f>IFERROR(MID(D15,SEARCH("S_I_",D15,1),3),"")</f>
        <v>S_I</v>
      </c>
      <c r="N15" s="3" t="str">
        <f>IFERROR(MID(D15,SEARCH("C_I_",D15,1),3),"")</f>
        <v/>
      </c>
      <c r="O15" s="3" t="str">
        <f>IF(AND(M15="",N15=""),"Extra","")</f>
        <v/>
      </c>
      <c r="P15" s="3" t="str">
        <f>IF(Q15=0,"TERCEIRO","MRS")</f>
        <v>MRS</v>
      </c>
      <c r="Q15" s="8" t="str">
        <f>IFERROR(VLOOKUP(L15,#REF!,4,0),"0,00")</f>
        <v>0,00</v>
      </c>
      <c r="R15" s="9" t="s">
        <v>98</v>
      </c>
      <c r="S15" s="9">
        <f>COUNTIF(D15,"*_SEG_*")</f>
        <v>0</v>
      </c>
      <c r="T15" s="9">
        <f>COUNTIF(D15,"*_MAN_*")</f>
        <v>1</v>
      </c>
      <c r="U15" s="9">
        <f>(RIGHT(D15,4))*1</f>
        <v>180</v>
      </c>
      <c r="V15" s="9" t="str">
        <f>IFERROR(VLOOKUP(I15,#REF!,2,0),"Sinalização")</f>
        <v>Sinalização</v>
      </c>
    </row>
    <row r="16" spans="1:22" x14ac:dyDescent="0.25">
      <c r="A16" s="3" t="s">
        <v>22</v>
      </c>
      <c r="B16" s="4">
        <v>23137449</v>
      </c>
      <c r="C16" s="5" t="s">
        <v>23</v>
      </c>
      <c r="D16" s="6" t="s">
        <v>213</v>
      </c>
      <c r="E16" s="6" t="s">
        <v>25</v>
      </c>
      <c r="F16" s="11">
        <v>46172</v>
      </c>
      <c r="G16" s="6" t="s">
        <v>1079</v>
      </c>
      <c r="H16" s="7"/>
      <c r="I16" s="7" t="s">
        <v>502</v>
      </c>
      <c r="J16" s="7" t="s">
        <v>215</v>
      </c>
      <c r="K16" s="7" t="s">
        <v>29</v>
      </c>
      <c r="L16" s="3" t="str">
        <f>E16&amp;D16</f>
        <v>E.SP.IPAEE_MAN_CONF_S_I_CIRCUITO VIA CA_0180</v>
      </c>
      <c r="M16" s="3" t="str">
        <f>IFERROR(MID(D16,SEARCH("S_I_",D16,1),3),"")</f>
        <v>S_I</v>
      </c>
      <c r="N16" s="3" t="str">
        <f>IFERROR(MID(D16,SEARCH("C_I_",D16,1),3),"")</f>
        <v/>
      </c>
      <c r="O16" s="3" t="str">
        <f>IF(AND(M16="",N16=""),"Extra","")</f>
        <v/>
      </c>
      <c r="P16" s="3" t="str">
        <f>IF(Q16=0,"TERCEIRO","MRS")</f>
        <v>MRS</v>
      </c>
      <c r="Q16" s="8" t="str">
        <f>IFERROR(VLOOKUP(L16,#REF!,4,0),"0,00")</f>
        <v>0,00</v>
      </c>
      <c r="R16" s="9" t="s">
        <v>98</v>
      </c>
      <c r="S16" s="9">
        <f>COUNTIF(D16,"*_SEG_*")</f>
        <v>0</v>
      </c>
      <c r="T16" s="9">
        <f>COUNTIF(D16,"*_MAN_*")</f>
        <v>1</v>
      </c>
      <c r="U16" s="9">
        <f>(RIGHT(D16,4))*1</f>
        <v>180</v>
      </c>
      <c r="V16" s="9" t="str">
        <f>IFERROR(VLOOKUP(I16,#REF!,2,0),"Sinalização")</f>
        <v>Sinalização</v>
      </c>
    </row>
    <row r="17" spans="1:22" x14ac:dyDescent="0.25">
      <c r="A17" s="3" t="s">
        <v>22</v>
      </c>
      <c r="B17" s="4">
        <v>23137451</v>
      </c>
      <c r="C17" s="5" t="s">
        <v>23</v>
      </c>
      <c r="D17" s="6" t="s">
        <v>213</v>
      </c>
      <c r="E17" s="6" t="s">
        <v>25</v>
      </c>
      <c r="F17" s="11">
        <v>46172</v>
      </c>
      <c r="G17" s="6" t="s">
        <v>1079</v>
      </c>
      <c r="H17" s="7"/>
      <c r="I17" s="7" t="s">
        <v>503</v>
      </c>
      <c r="J17" s="7" t="s">
        <v>215</v>
      </c>
      <c r="K17" s="7" t="s">
        <v>29</v>
      </c>
      <c r="L17" s="3" t="str">
        <f>E17&amp;D17</f>
        <v>E.SP.IPAEE_MAN_CONF_S_I_CIRCUITO VIA CA_0180</v>
      </c>
      <c r="M17" s="3" t="str">
        <f>IFERROR(MID(D17,SEARCH("S_I_",D17,1),3),"")</f>
        <v>S_I</v>
      </c>
      <c r="N17" s="3" t="str">
        <f>IFERROR(MID(D17,SEARCH("C_I_",D17,1),3),"")</f>
        <v/>
      </c>
      <c r="O17" s="3" t="str">
        <f>IF(AND(M17="",N17=""),"Extra","")</f>
        <v/>
      </c>
      <c r="P17" s="3" t="str">
        <f>IF(Q17=0,"TERCEIRO","MRS")</f>
        <v>MRS</v>
      </c>
      <c r="Q17" s="8" t="str">
        <f>IFERROR(VLOOKUP(L17,#REF!,4,0),"0,00")</f>
        <v>0,00</v>
      </c>
      <c r="R17" s="9" t="s">
        <v>98</v>
      </c>
      <c r="S17" s="9">
        <f>COUNTIF(D17,"*_SEG_*")</f>
        <v>0</v>
      </c>
      <c r="T17" s="9">
        <f>COUNTIF(D17,"*_MAN_*")</f>
        <v>1</v>
      </c>
      <c r="U17" s="9">
        <f>(RIGHT(D17,4))*1</f>
        <v>180</v>
      </c>
      <c r="V17" s="9" t="str">
        <f>IFERROR(VLOOKUP(I17,#REF!,2,0),"Sinalização")</f>
        <v>Sinalização</v>
      </c>
    </row>
    <row r="18" spans="1:22" x14ac:dyDescent="0.25">
      <c r="A18" s="3" t="s">
        <v>22</v>
      </c>
      <c r="B18" s="4">
        <v>23137452</v>
      </c>
      <c r="C18" s="5" t="s">
        <v>23</v>
      </c>
      <c r="D18" s="6" t="s">
        <v>213</v>
      </c>
      <c r="E18" s="6" t="s">
        <v>25</v>
      </c>
      <c r="F18" s="11">
        <v>46172</v>
      </c>
      <c r="G18" s="6" t="s">
        <v>1079</v>
      </c>
      <c r="H18" s="7"/>
      <c r="I18" s="7" t="s">
        <v>497</v>
      </c>
      <c r="J18" s="7" t="s">
        <v>215</v>
      </c>
      <c r="K18" s="7" t="s">
        <v>29</v>
      </c>
      <c r="L18" s="3" t="str">
        <f>E18&amp;D18</f>
        <v>E.SP.IPAEE_MAN_CONF_S_I_CIRCUITO VIA CA_0180</v>
      </c>
      <c r="M18" s="3" t="str">
        <f>IFERROR(MID(D18,SEARCH("S_I_",D18,1),3),"")</f>
        <v>S_I</v>
      </c>
      <c r="N18" s="3" t="str">
        <f>IFERROR(MID(D18,SEARCH("C_I_",D18,1),3),"")</f>
        <v/>
      </c>
      <c r="O18" s="3" t="str">
        <f>IF(AND(M18="",N18=""),"Extra","")</f>
        <v/>
      </c>
      <c r="P18" s="3" t="str">
        <f>IF(Q18=0,"TERCEIRO","MRS")</f>
        <v>MRS</v>
      </c>
      <c r="Q18" s="8" t="str">
        <f>IFERROR(VLOOKUP(L18,#REF!,4,0),"0,00")</f>
        <v>0,00</v>
      </c>
      <c r="R18" s="9" t="s">
        <v>98</v>
      </c>
      <c r="S18" s="9">
        <f>COUNTIF(D18,"*_SEG_*")</f>
        <v>0</v>
      </c>
      <c r="T18" s="9">
        <f>COUNTIF(D18,"*_MAN_*")</f>
        <v>1</v>
      </c>
      <c r="U18" s="9">
        <f>(RIGHT(D18,4))*1</f>
        <v>180</v>
      </c>
      <c r="V18" s="9" t="str">
        <f>IFERROR(VLOOKUP(I18,#REF!,2,0),"Sinalização")</f>
        <v>Sinalização</v>
      </c>
    </row>
    <row r="19" spans="1:22" x14ac:dyDescent="0.25">
      <c r="A19" s="3" t="s">
        <v>22</v>
      </c>
      <c r="B19" s="4">
        <v>23137699</v>
      </c>
      <c r="C19" s="5" t="s">
        <v>23</v>
      </c>
      <c r="D19" s="6" t="s">
        <v>240</v>
      </c>
      <c r="E19" s="6" t="s">
        <v>25</v>
      </c>
      <c r="F19" s="11">
        <v>46172</v>
      </c>
      <c r="G19" s="6" t="s">
        <v>1079</v>
      </c>
      <c r="H19" s="7"/>
      <c r="I19" s="7" t="s">
        <v>504</v>
      </c>
      <c r="J19" s="7" t="s">
        <v>215</v>
      </c>
      <c r="K19" s="7" t="s">
        <v>29</v>
      </c>
      <c r="L19" s="3" t="str">
        <f>E19&amp;D19</f>
        <v>E.SP.IPAEE_MAN_CONF_S_I_CDV DETETORA CA_0180</v>
      </c>
      <c r="M19" s="3" t="str">
        <f>IFERROR(MID(D19,SEARCH("S_I_",D19,1),3),"")</f>
        <v>S_I</v>
      </c>
      <c r="N19" s="3" t="str">
        <f>IFERROR(MID(D19,SEARCH("C_I_",D19,1),3),"")</f>
        <v/>
      </c>
      <c r="O19" s="3" t="str">
        <f>IF(AND(M19="",N19=""),"Extra","")</f>
        <v/>
      </c>
      <c r="P19" s="3" t="str">
        <f>IF(Q19=0,"TERCEIRO","MRS")</f>
        <v>MRS</v>
      </c>
      <c r="Q19" s="8" t="str">
        <f>IFERROR(VLOOKUP(L19,#REF!,4,0),"0,00")</f>
        <v>0,00</v>
      </c>
      <c r="R19" s="9" t="s">
        <v>98</v>
      </c>
      <c r="S19" s="9">
        <f>COUNTIF(D19,"*_SEG_*")</f>
        <v>0</v>
      </c>
      <c r="T19" s="9">
        <f>COUNTIF(D19,"*_MAN_*")</f>
        <v>1</v>
      </c>
      <c r="U19" s="9">
        <f>(RIGHT(D19,4))*1</f>
        <v>180</v>
      </c>
      <c r="V19" s="9" t="str">
        <f>IFERROR(VLOOKUP(I19,#REF!,2,0),"Sinalização")</f>
        <v>Sinalização</v>
      </c>
    </row>
    <row r="20" spans="1:22" x14ac:dyDescent="0.25">
      <c r="A20" s="3" t="s">
        <v>22</v>
      </c>
      <c r="B20" s="4">
        <v>23137708</v>
      </c>
      <c r="C20" s="5" t="s">
        <v>23</v>
      </c>
      <c r="D20" s="6" t="s">
        <v>246</v>
      </c>
      <c r="E20" s="6" t="s">
        <v>25</v>
      </c>
      <c r="F20" s="11">
        <v>46172</v>
      </c>
      <c r="G20" s="6" t="s">
        <v>1079</v>
      </c>
      <c r="H20" s="7"/>
      <c r="I20" s="7" t="s">
        <v>505</v>
      </c>
      <c r="J20" s="7" t="s">
        <v>248</v>
      </c>
      <c r="K20" s="7" t="s">
        <v>29</v>
      </c>
      <c r="L20" s="3" t="str">
        <f>E20&amp;D20</f>
        <v>E.SP.IPAEE_INS_CONF_C_I_MCH 110V GRS 55BR R_0180</v>
      </c>
      <c r="M20" s="3" t="str">
        <f>IFERROR(MID(D20,SEARCH("S_I_",D20,1),3),"")</f>
        <v/>
      </c>
      <c r="N20" s="3" t="str">
        <f>IFERROR(MID(D20,SEARCH("C_I_",D20,1),3),"")</f>
        <v>C_I</v>
      </c>
      <c r="O20" s="3" t="str">
        <f>IF(AND(M20="",N20=""),"Extra","")</f>
        <v/>
      </c>
      <c r="P20" s="3" t="str">
        <f>IF(Q20=0,"TERCEIRO","MRS")</f>
        <v>MRS</v>
      </c>
      <c r="Q20" s="8" t="str">
        <f>IFERROR(VLOOKUP(L20,#REF!,4,0),"0,00")</f>
        <v>0,00</v>
      </c>
      <c r="R20" s="9" t="s">
        <v>42</v>
      </c>
      <c r="S20" s="9">
        <f>COUNTIF(D20,"*_SEG_*")</f>
        <v>0</v>
      </c>
      <c r="T20" s="9">
        <f>COUNTIF(D20,"*_MAN_*")</f>
        <v>0</v>
      </c>
      <c r="U20" s="9">
        <f>(RIGHT(D20,4))*1</f>
        <v>180</v>
      </c>
      <c r="V20" s="9" t="str">
        <f>IFERROR(VLOOKUP(I20,#REF!,2,0),"Sinalização")</f>
        <v>Sinalização</v>
      </c>
    </row>
    <row r="21" spans="1:22" x14ac:dyDescent="0.25">
      <c r="A21" s="3" t="s">
        <v>22</v>
      </c>
      <c r="B21" s="4">
        <v>23138015</v>
      </c>
      <c r="C21" s="5" t="s">
        <v>23</v>
      </c>
      <c r="D21" s="6" t="s">
        <v>259</v>
      </c>
      <c r="E21" s="6" t="s">
        <v>25</v>
      </c>
      <c r="F21" s="11">
        <v>46172</v>
      </c>
      <c r="G21" s="6" t="s">
        <v>1079</v>
      </c>
      <c r="H21" s="7"/>
      <c r="I21" s="7" t="s">
        <v>506</v>
      </c>
      <c r="J21" s="7" t="s">
        <v>261</v>
      </c>
      <c r="K21" s="7" t="s">
        <v>29</v>
      </c>
      <c r="L21" s="3" t="str">
        <f>E21&amp;D21</f>
        <v>E.SP.IPAEE_INS_SEG_S_I_BL INT RELÉ S/ BAT_0180</v>
      </c>
      <c r="M21" s="3" t="str">
        <f>IFERROR(MID(D21,SEARCH("S_I_",D21,1),3),"")</f>
        <v>S_I</v>
      </c>
      <c r="N21" s="3" t="str">
        <f>IFERROR(MID(D21,SEARCH("C_I_",D21,1),3),"")</f>
        <v/>
      </c>
      <c r="O21" s="3" t="str">
        <f>IF(AND(M21="",N21=""),"Extra","")</f>
        <v/>
      </c>
      <c r="P21" s="3" t="str">
        <f>IF(Q21=0,"TERCEIRO","MRS")</f>
        <v>MRS</v>
      </c>
      <c r="Q21" s="8" t="str">
        <f>IFERROR(VLOOKUP(L21,#REF!,4,0),"0,00")</f>
        <v>0,00</v>
      </c>
      <c r="R21" s="9" t="s">
        <v>30</v>
      </c>
      <c r="S21" s="9">
        <f>COUNTIF(D21,"*_SEG_*")</f>
        <v>1</v>
      </c>
      <c r="T21" s="9">
        <f>COUNTIF(D21,"*_MAN_*")</f>
        <v>0</v>
      </c>
      <c r="U21" s="9">
        <f>(RIGHT(D21,4))*1</f>
        <v>180</v>
      </c>
      <c r="V21" s="9" t="str">
        <f>IFERROR(VLOOKUP(I21,#REF!,2,0),"Sinalização")</f>
        <v>Sinalização</v>
      </c>
    </row>
    <row r="22" spans="1:22" x14ac:dyDescent="0.25">
      <c r="A22" s="3" t="s">
        <v>22</v>
      </c>
      <c r="B22" s="4">
        <v>23138021</v>
      </c>
      <c r="C22" s="5" t="s">
        <v>23</v>
      </c>
      <c r="D22" s="6" t="s">
        <v>259</v>
      </c>
      <c r="E22" s="6" t="s">
        <v>25</v>
      </c>
      <c r="F22" s="11">
        <v>46172</v>
      </c>
      <c r="G22" s="6" t="s">
        <v>1079</v>
      </c>
      <c r="H22" s="7"/>
      <c r="I22" s="7" t="s">
        <v>494</v>
      </c>
      <c r="J22" s="7" t="s">
        <v>261</v>
      </c>
      <c r="K22" s="7" t="s">
        <v>29</v>
      </c>
      <c r="L22" s="3" t="str">
        <f>E22&amp;D22</f>
        <v>E.SP.IPAEE_INS_SEG_S_I_BL INT RELÉ S/ BAT_0180</v>
      </c>
      <c r="M22" s="3" t="str">
        <f>IFERROR(MID(D22,SEARCH("S_I_",D22,1),3),"")</f>
        <v>S_I</v>
      </c>
      <c r="N22" s="3" t="str">
        <f>IFERROR(MID(D22,SEARCH("C_I_",D22,1),3),"")</f>
        <v/>
      </c>
      <c r="O22" s="3" t="str">
        <f>IF(AND(M22="",N22=""),"Extra","")</f>
        <v/>
      </c>
      <c r="P22" s="3" t="str">
        <f>IF(Q22=0,"TERCEIRO","MRS")</f>
        <v>MRS</v>
      </c>
      <c r="Q22" s="8" t="str">
        <f>IFERROR(VLOOKUP(L22,#REF!,4,0),"0,00")</f>
        <v>0,00</v>
      </c>
      <c r="R22" s="9" t="s">
        <v>30</v>
      </c>
      <c r="S22" s="9">
        <f>COUNTIF(D22,"*_SEG_*")</f>
        <v>1</v>
      </c>
      <c r="T22" s="9">
        <f>COUNTIF(D22,"*_MAN_*")</f>
        <v>0</v>
      </c>
      <c r="U22" s="9">
        <f>(RIGHT(D22,4))*1</f>
        <v>180</v>
      </c>
      <c r="V22" s="9" t="str">
        <f>IFERROR(VLOOKUP(I22,#REF!,2,0),"Sinalização")</f>
        <v>Sinalização</v>
      </c>
    </row>
    <row r="23" spans="1:22" x14ac:dyDescent="0.25">
      <c r="A23" s="3" t="s">
        <v>22</v>
      </c>
      <c r="B23" s="4">
        <v>23138022</v>
      </c>
      <c r="C23" s="5" t="s">
        <v>23</v>
      </c>
      <c r="D23" s="6" t="s">
        <v>259</v>
      </c>
      <c r="E23" s="6" t="s">
        <v>25</v>
      </c>
      <c r="F23" s="11">
        <v>46172</v>
      </c>
      <c r="G23" s="6" t="s">
        <v>1079</v>
      </c>
      <c r="H23" s="7"/>
      <c r="I23" s="7" t="s">
        <v>125</v>
      </c>
      <c r="J23" s="7" t="s">
        <v>261</v>
      </c>
      <c r="K23" s="7" t="s">
        <v>29</v>
      </c>
      <c r="L23" s="3" t="str">
        <f>E23&amp;D23</f>
        <v>E.SP.IPAEE_INS_SEG_S_I_BL INT RELÉ S/ BAT_0180</v>
      </c>
      <c r="M23" s="3" t="str">
        <f>IFERROR(MID(D23,SEARCH("S_I_",D23,1),3),"")</f>
        <v>S_I</v>
      </c>
      <c r="N23" s="3" t="str">
        <f>IFERROR(MID(D23,SEARCH("C_I_",D23,1),3),"")</f>
        <v/>
      </c>
      <c r="O23" s="3" t="str">
        <f>IF(AND(M23="",N23=""),"Extra","")</f>
        <v/>
      </c>
      <c r="P23" s="3" t="str">
        <f>IF(Q23=0,"TERCEIRO","MRS")</f>
        <v>MRS</v>
      </c>
      <c r="Q23" s="8" t="str">
        <f>IFERROR(VLOOKUP(L23,#REF!,4,0),"0,00")</f>
        <v>0,00</v>
      </c>
      <c r="R23" s="9" t="s">
        <v>30</v>
      </c>
      <c r="S23" s="9">
        <f>COUNTIF(D23,"*_SEG_*")</f>
        <v>1</v>
      </c>
      <c r="T23" s="9">
        <f>COUNTIF(D23,"*_MAN_*")</f>
        <v>0</v>
      </c>
      <c r="U23" s="9">
        <f>(RIGHT(D23,4))*1</f>
        <v>180</v>
      </c>
      <c r="V23" s="9" t="str">
        <f>IFERROR(VLOOKUP(I23,#REF!,2,0),"Sinalização")</f>
        <v>Sinalização</v>
      </c>
    </row>
    <row r="24" spans="1:22" x14ac:dyDescent="0.25">
      <c r="A24" s="3" t="s">
        <v>22</v>
      </c>
      <c r="B24" s="4">
        <v>23138179</v>
      </c>
      <c r="C24" s="5" t="s">
        <v>23</v>
      </c>
      <c r="D24" s="6" t="s">
        <v>507</v>
      </c>
      <c r="E24" s="6" t="s">
        <v>25</v>
      </c>
      <c r="F24" s="11">
        <v>46172</v>
      </c>
      <c r="G24" s="6" t="s">
        <v>1079</v>
      </c>
      <c r="H24" s="7"/>
      <c r="I24" s="7" t="s">
        <v>508</v>
      </c>
      <c r="J24" s="7" t="s">
        <v>509</v>
      </c>
      <c r="K24" s="7" t="s">
        <v>29</v>
      </c>
      <c r="L24" s="3" t="str">
        <f>E24&amp;D24</f>
        <v>E.SP.IPAEE_MAN_SEG_C_I_BARRAMENTO 88KV_0180</v>
      </c>
      <c r="M24" s="3" t="str">
        <f>IFERROR(MID(D24,SEARCH("S_I_",D24,1),3),"")</f>
        <v/>
      </c>
      <c r="N24" s="3" t="str">
        <f>IFERROR(MID(D24,SEARCH("C_I_",D24,1),3),"")</f>
        <v>C_I</v>
      </c>
      <c r="O24" s="3" t="str">
        <f>IF(AND(M24="",N24=""),"Extra","")</f>
        <v/>
      </c>
      <c r="P24" s="3" t="str">
        <f>IF(Q24=0,"TERCEIRO","MRS")</f>
        <v>MRS</v>
      </c>
      <c r="Q24" s="8" t="str">
        <f>IFERROR(VLOOKUP(L24,#REF!,4,0),"0,00")</f>
        <v>0,00</v>
      </c>
      <c r="R24" s="9" t="s">
        <v>30</v>
      </c>
      <c r="S24" s="9">
        <f>COUNTIF(D24,"*_SEG_*")</f>
        <v>1</v>
      </c>
      <c r="T24" s="9">
        <f>COUNTIF(D24,"*_MAN_*")</f>
        <v>1</v>
      </c>
      <c r="U24" s="9">
        <f>(RIGHT(D24,4))*1</f>
        <v>180</v>
      </c>
      <c r="V24" s="9" t="str">
        <f>IFERROR(VLOOKUP(I24,#REF!,2,0),"Sinalização")</f>
        <v>Sinalização</v>
      </c>
    </row>
    <row r="25" spans="1:22" x14ac:dyDescent="0.25">
      <c r="A25" s="3" t="s">
        <v>22</v>
      </c>
      <c r="B25" s="4">
        <v>23138494</v>
      </c>
      <c r="C25" s="5" t="s">
        <v>23</v>
      </c>
      <c r="D25" s="6" t="s">
        <v>285</v>
      </c>
      <c r="E25" s="6" t="s">
        <v>25</v>
      </c>
      <c r="F25" s="11">
        <v>46172</v>
      </c>
      <c r="G25" s="6" t="s">
        <v>1079</v>
      </c>
      <c r="H25" s="7"/>
      <c r="I25" s="7" t="s">
        <v>497</v>
      </c>
      <c r="J25" s="7" t="s">
        <v>284</v>
      </c>
      <c r="K25" s="7" t="s">
        <v>29</v>
      </c>
      <c r="L25" s="3" t="str">
        <f>E25&amp;D25</f>
        <v>E.SP.IPAEE_INS_CONF_S_I_CIRCUITO VIA CA_0180</v>
      </c>
      <c r="M25" s="3" t="str">
        <f>IFERROR(MID(D25,SEARCH("S_I_",D25,1),3),"")</f>
        <v>S_I</v>
      </c>
      <c r="N25" s="3" t="str">
        <f>IFERROR(MID(D25,SEARCH("C_I_",D25,1),3),"")</f>
        <v/>
      </c>
      <c r="O25" s="3" t="str">
        <f>IF(AND(M25="",N25=""),"Extra","")</f>
        <v/>
      </c>
      <c r="P25" s="3" t="str">
        <f>IF(Q25=0,"TERCEIRO","MRS")</f>
        <v>MRS</v>
      </c>
      <c r="Q25" s="8" t="str">
        <f>IFERROR(VLOOKUP(L25,#REF!,4,0),"0,00")</f>
        <v>0,00</v>
      </c>
      <c r="R25" s="9" t="s">
        <v>57</v>
      </c>
      <c r="S25" s="9">
        <f>COUNTIF(D25,"*_SEG_*")</f>
        <v>0</v>
      </c>
      <c r="T25" s="9">
        <f>COUNTIF(D25,"*_MAN_*")</f>
        <v>0</v>
      </c>
      <c r="U25" s="9">
        <f>(RIGHT(D25,4))*1</f>
        <v>180</v>
      </c>
      <c r="V25" s="9" t="str">
        <f>IFERROR(VLOOKUP(I25,#REF!,2,0),"Sinalização")</f>
        <v>Sinalização</v>
      </c>
    </row>
    <row r="26" spans="1:22" x14ac:dyDescent="0.25">
      <c r="A26" s="3" t="s">
        <v>22</v>
      </c>
      <c r="B26" s="4">
        <v>23138496</v>
      </c>
      <c r="C26" s="5" t="s">
        <v>23</v>
      </c>
      <c r="D26" s="6" t="s">
        <v>285</v>
      </c>
      <c r="E26" s="6" t="s">
        <v>25</v>
      </c>
      <c r="F26" s="11">
        <v>46172</v>
      </c>
      <c r="G26" s="6" t="s">
        <v>1079</v>
      </c>
      <c r="H26" s="7"/>
      <c r="I26" s="7" t="s">
        <v>503</v>
      </c>
      <c r="J26" s="7" t="s">
        <v>284</v>
      </c>
      <c r="K26" s="7" t="s">
        <v>29</v>
      </c>
      <c r="L26" s="3" t="str">
        <f>E26&amp;D26</f>
        <v>E.SP.IPAEE_INS_CONF_S_I_CIRCUITO VIA CA_0180</v>
      </c>
      <c r="M26" s="3" t="str">
        <f>IFERROR(MID(D26,SEARCH("S_I_",D26,1),3),"")</f>
        <v>S_I</v>
      </c>
      <c r="N26" s="3" t="str">
        <f>IFERROR(MID(D26,SEARCH("C_I_",D26,1),3),"")</f>
        <v/>
      </c>
      <c r="O26" s="3" t="str">
        <f>IF(AND(M26="",N26=""),"Extra","")</f>
        <v/>
      </c>
      <c r="P26" s="3" t="str">
        <f>IF(Q26=0,"TERCEIRO","MRS")</f>
        <v>MRS</v>
      </c>
      <c r="Q26" s="8" t="str">
        <f>IFERROR(VLOOKUP(L26,#REF!,4,0),"0,00")</f>
        <v>0,00</v>
      </c>
      <c r="R26" s="9" t="s">
        <v>57</v>
      </c>
      <c r="S26" s="9">
        <f>COUNTIF(D26,"*_SEG_*")</f>
        <v>0</v>
      </c>
      <c r="T26" s="9">
        <f>COUNTIF(D26,"*_MAN_*")</f>
        <v>0</v>
      </c>
      <c r="U26" s="9">
        <f>(RIGHT(D26,4))*1</f>
        <v>180</v>
      </c>
      <c r="V26" s="9" t="str">
        <f>IFERROR(VLOOKUP(I26,#REF!,2,0),"Sinalização")</f>
        <v>Sinalização</v>
      </c>
    </row>
    <row r="27" spans="1:22" x14ac:dyDescent="0.25">
      <c r="A27" s="3" t="s">
        <v>22</v>
      </c>
      <c r="B27" s="4">
        <v>23138506</v>
      </c>
      <c r="C27" s="5" t="s">
        <v>23</v>
      </c>
      <c r="D27" s="6" t="s">
        <v>510</v>
      </c>
      <c r="E27" s="6" t="s">
        <v>25</v>
      </c>
      <c r="F27" s="11">
        <v>46172</v>
      </c>
      <c r="G27" s="6" t="s">
        <v>1079</v>
      </c>
      <c r="H27" s="7"/>
      <c r="I27" s="7" t="s">
        <v>508</v>
      </c>
      <c r="J27" s="7" t="s">
        <v>511</v>
      </c>
      <c r="K27" s="7" t="s">
        <v>29</v>
      </c>
      <c r="L27" s="3" t="str">
        <f>E27&amp;D27</f>
        <v>E.SP.IPAT_EE_MAN_SEG_C_I_BARRAMENTO 88KV_0180</v>
      </c>
      <c r="M27" s="3" t="str">
        <f>IFERROR(MID(D27,SEARCH("S_I_",D27,1),3),"")</f>
        <v/>
      </c>
      <c r="N27" s="3" t="str">
        <f>IFERROR(MID(D27,SEARCH("C_I_",D27,1),3),"")</f>
        <v>C_I</v>
      </c>
      <c r="O27" s="3" t="str">
        <f>IF(AND(M27="",N27=""),"Extra","")</f>
        <v/>
      </c>
      <c r="P27" s="3" t="str">
        <f>IF(Q27=0,"TERCEIRO","MRS")</f>
        <v>MRS</v>
      </c>
      <c r="Q27" s="8" t="str">
        <f>IFERROR(VLOOKUP(L27,#REF!,4,0),"0,00")</f>
        <v>0,00</v>
      </c>
      <c r="R27" s="9" t="s">
        <v>30</v>
      </c>
      <c r="S27" s="9">
        <f>COUNTIF(D27,"*_SEG_*")</f>
        <v>1</v>
      </c>
      <c r="T27" s="9">
        <f>COUNTIF(D27,"*_MAN_*")</f>
        <v>1</v>
      </c>
      <c r="U27" s="9">
        <f>(RIGHT(D27,4))*1</f>
        <v>180</v>
      </c>
      <c r="V27" s="9" t="str">
        <f>IFERROR(VLOOKUP(I27,#REF!,2,0),"Sinalização")</f>
        <v>Sinalização</v>
      </c>
    </row>
    <row r="28" spans="1:22" x14ac:dyDescent="0.25">
      <c r="A28" s="3" t="s">
        <v>22</v>
      </c>
      <c r="B28" s="4">
        <v>23138507</v>
      </c>
      <c r="C28" s="5" t="s">
        <v>23</v>
      </c>
      <c r="D28" s="6" t="s">
        <v>510</v>
      </c>
      <c r="E28" s="6" t="s">
        <v>25</v>
      </c>
      <c r="F28" s="11">
        <v>46172</v>
      </c>
      <c r="G28" s="6" t="s">
        <v>1079</v>
      </c>
      <c r="H28" s="7"/>
      <c r="I28" s="7" t="s">
        <v>512</v>
      </c>
      <c r="J28" s="7" t="s">
        <v>511</v>
      </c>
      <c r="K28" s="7" t="s">
        <v>29</v>
      </c>
      <c r="L28" s="3" t="str">
        <f>E28&amp;D28</f>
        <v>E.SP.IPAT_EE_MAN_SEG_C_I_BARRAMENTO 88KV_0180</v>
      </c>
      <c r="M28" s="3" t="str">
        <f>IFERROR(MID(D28,SEARCH("S_I_",D28,1),3),"")</f>
        <v/>
      </c>
      <c r="N28" s="3" t="str">
        <f>IFERROR(MID(D28,SEARCH("C_I_",D28,1),3),"")</f>
        <v>C_I</v>
      </c>
      <c r="O28" s="3" t="str">
        <f>IF(AND(M28="",N28=""),"Extra","")</f>
        <v/>
      </c>
      <c r="P28" s="3" t="str">
        <f>IF(Q28=0,"TERCEIRO","MRS")</f>
        <v>MRS</v>
      </c>
      <c r="Q28" s="8" t="str">
        <f>IFERROR(VLOOKUP(L28,#REF!,4,0),"0,00")</f>
        <v>0,00</v>
      </c>
      <c r="R28" s="9" t="s">
        <v>30</v>
      </c>
      <c r="S28" s="9">
        <f>COUNTIF(D28,"*_SEG_*")</f>
        <v>1</v>
      </c>
      <c r="T28" s="9">
        <f>COUNTIF(D28,"*_MAN_*")</f>
        <v>1</v>
      </c>
      <c r="U28" s="9">
        <f>(RIGHT(D28,4))*1</f>
        <v>180</v>
      </c>
      <c r="V28" s="9" t="str">
        <f>IFERROR(VLOOKUP(I28,#REF!,2,0),"Sinalização")</f>
        <v>Sinalização</v>
      </c>
    </row>
    <row r="29" spans="1:22" x14ac:dyDescent="0.25">
      <c r="A29" s="3" t="s">
        <v>22</v>
      </c>
      <c r="B29" s="4">
        <v>23138551</v>
      </c>
      <c r="C29" s="5" t="s">
        <v>23</v>
      </c>
      <c r="D29" s="6" t="s">
        <v>513</v>
      </c>
      <c r="E29" s="6" t="s">
        <v>25</v>
      </c>
      <c r="F29" s="11">
        <v>46172</v>
      </c>
      <c r="G29" s="6" t="s">
        <v>1079</v>
      </c>
      <c r="H29" s="7"/>
      <c r="I29" s="7" t="s">
        <v>514</v>
      </c>
      <c r="J29" s="7" t="s">
        <v>515</v>
      </c>
      <c r="K29" s="7" t="s">
        <v>29</v>
      </c>
      <c r="L29" s="3" t="str">
        <f>E29&amp;D29</f>
        <v>E.SP.IPAT_EE_MAN_CONF_S_I_GRUPO RETIFICADOR_0180</v>
      </c>
      <c r="M29" s="3" t="str">
        <f>IFERROR(MID(D29,SEARCH("S_I_",D29,1),3),"")</f>
        <v>S_I</v>
      </c>
      <c r="N29" s="3" t="str">
        <f>IFERROR(MID(D29,SEARCH("C_I_",D29,1),3),"")</f>
        <v/>
      </c>
      <c r="O29" s="3" t="str">
        <f>IF(AND(M29="",N29=""),"Extra","")</f>
        <v/>
      </c>
      <c r="P29" s="3" t="str">
        <f>IF(Q29=0,"TERCEIRO","MRS")</f>
        <v>MRS</v>
      </c>
      <c r="Q29" s="8" t="str">
        <f>IFERROR(VLOOKUP(L29,#REF!,4,0),"0,00")</f>
        <v>0,00</v>
      </c>
      <c r="R29" s="9" t="s">
        <v>42</v>
      </c>
      <c r="S29" s="9">
        <f>COUNTIF(D29,"*_SEG_*")</f>
        <v>0</v>
      </c>
      <c r="T29" s="9">
        <f>COUNTIF(D29,"*_MAN_*")</f>
        <v>1</v>
      </c>
      <c r="U29" s="9">
        <f>(RIGHT(D29,4))*1</f>
        <v>180</v>
      </c>
      <c r="V29" s="9" t="str">
        <f>IFERROR(VLOOKUP(I29,#REF!,2,0),"Sinalização")</f>
        <v>Sinalização</v>
      </c>
    </row>
    <row r="30" spans="1:22" x14ac:dyDescent="0.25">
      <c r="A30" s="3" t="s">
        <v>22</v>
      </c>
      <c r="B30" s="4">
        <v>23138552</v>
      </c>
      <c r="C30" s="5" t="s">
        <v>23</v>
      </c>
      <c r="D30" s="6" t="s">
        <v>516</v>
      </c>
      <c r="E30" s="6" t="s">
        <v>25</v>
      </c>
      <c r="F30" s="11">
        <v>46172</v>
      </c>
      <c r="G30" s="6" t="s">
        <v>1079</v>
      </c>
      <c r="H30" s="7"/>
      <c r="I30" s="7" t="s">
        <v>517</v>
      </c>
      <c r="J30" s="7" t="s">
        <v>518</v>
      </c>
      <c r="K30" s="7" t="s">
        <v>29</v>
      </c>
      <c r="L30" s="3" t="str">
        <f>E30&amp;D30</f>
        <v>E.SP.IPAEE_INS_CONF_S_I_DISJUNTOR CUBICULO_0180</v>
      </c>
      <c r="M30" s="3" t="str">
        <f>IFERROR(MID(D30,SEARCH("S_I_",D30,1),3),"")</f>
        <v>S_I</v>
      </c>
      <c r="N30" s="3" t="str">
        <f>IFERROR(MID(D30,SEARCH("C_I_",D30,1),3),"")</f>
        <v/>
      </c>
      <c r="O30" s="3" t="str">
        <f>IF(AND(M30="",N30=""),"Extra","")</f>
        <v/>
      </c>
      <c r="P30" s="3" t="str">
        <f>IF(Q30=0,"TERCEIRO","MRS")</f>
        <v>MRS</v>
      </c>
      <c r="Q30" s="8" t="str">
        <f>IFERROR(VLOOKUP(L30,#REF!,4,0),"0,00")</f>
        <v>0,00</v>
      </c>
      <c r="R30" s="9" t="s">
        <v>42</v>
      </c>
      <c r="S30" s="9">
        <f>COUNTIF(D30,"*_SEG_*")</f>
        <v>0</v>
      </c>
      <c r="T30" s="9">
        <f>COUNTIF(D30,"*_MAN_*")</f>
        <v>0</v>
      </c>
      <c r="U30" s="9">
        <f>(RIGHT(D30,4))*1</f>
        <v>180</v>
      </c>
      <c r="V30" s="9" t="str">
        <f>IFERROR(VLOOKUP(I30,#REF!,2,0),"Sinalização")</f>
        <v>Sinalização</v>
      </c>
    </row>
    <row r="31" spans="1:22" x14ac:dyDescent="0.25">
      <c r="A31" s="3" t="s">
        <v>22</v>
      </c>
      <c r="B31" s="4">
        <v>23138565</v>
      </c>
      <c r="C31" s="5" t="s">
        <v>23</v>
      </c>
      <c r="D31" s="6" t="s">
        <v>519</v>
      </c>
      <c r="E31" s="6" t="s">
        <v>25</v>
      </c>
      <c r="F31" s="11">
        <v>46172</v>
      </c>
      <c r="G31" s="6" t="s">
        <v>1079</v>
      </c>
      <c r="H31" s="7"/>
      <c r="I31" s="7" t="s">
        <v>520</v>
      </c>
      <c r="J31" s="7" t="s">
        <v>521</v>
      </c>
      <c r="K31" s="7" t="s">
        <v>29</v>
      </c>
      <c r="L31" s="3" t="str">
        <f>E31&amp;D31</f>
        <v>E.SP.IPAEE_MAN_CONF_C_I_DISJUNTOR A SECO_0180</v>
      </c>
      <c r="M31" s="3" t="str">
        <f>IFERROR(MID(D31,SEARCH("S_I_",D31,1),3),"")</f>
        <v/>
      </c>
      <c r="N31" s="3" t="str">
        <f>IFERROR(MID(D31,SEARCH("C_I_",D31,1),3),"")</f>
        <v>C_I</v>
      </c>
      <c r="O31" s="3" t="str">
        <f>IF(AND(M31="",N31=""),"Extra","")</f>
        <v/>
      </c>
      <c r="P31" s="3" t="str">
        <f>IF(Q31=0,"TERCEIRO","MRS")</f>
        <v>MRS</v>
      </c>
      <c r="Q31" s="8" t="str">
        <f>IFERROR(VLOOKUP(L31,#REF!,4,0),"0,00")</f>
        <v>0,00</v>
      </c>
      <c r="R31" s="9" t="s">
        <v>42</v>
      </c>
      <c r="S31" s="9">
        <f>COUNTIF(D31,"*_SEG_*")</f>
        <v>0</v>
      </c>
      <c r="T31" s="9">
        <f>COUNTIF(D31,"*_MAN_*")</f>
        <v>1</v>
      </c>
      <c r="U31" s="9">
        <f>(RIGHT(D31,4))*1</f>
        <v>180</v>
      </c>
      <c r="V31" s="9" t="str">
        <f>IFERROR(VLOOKUP(I31,#REF!,2,0),"Sinalização")</f>
        <v>Sinalização</v>
      </c>
    </row>
    <row r="32" spans="1:22" x14ac:dyDescent="0.25">
      <c r="A32" s="3" t="s">
        <v>22</v>
      </c>
      <c r="B32" s="4">
        <v>23138624</v>
      </c>
      <c r="C32" s="5" t="s">
        <v>23</v>
      </c>
      <c r="D32" s="6" t="s">
        <v>287</v>
      </c>
      <c r="E32" s="6" t="s">
        <v>25</v>
      </c>
      <c r="F32" s="11">
        <v>46172</v>
      </c>
      <c r="G32" s="6" t="s">
        <v>1079</v>
      </c>
      <c r="H32" s="7"/>
      <c r="I32" s="7" t="s">
        <v>522</v>
      </c>
      <c r="J32" s="7" t="s">
        <v>289</v>
      </c>
      <c r="K32" s="7" t="s">
        <v>29</v>
      </c>
      <c r="L32" s="3" t="str">
        <f>E32&amp;D32</f>
        <v>E.SP.IPAEE_INS_SEG_C_I_CH SEC AT SUBESTACAO_0180</v>
      </c>
      <c r="M32" s="3" t="str">
        <f>IFERROR(MID(D32,SEARCH("S_I_",D32,1),3),"")</f>
        <v/>
      </c>
      <c r="N32" s="3" t="str">
        <f>IFERROR(MID(D32,SEARCH("C_I_",D32,1),3),"")</f>
        <v>C_I</v>
      </c>
      <c r="O32" s="3" t="str">
        <f>IF(AND(M32="",N32=""),"Extra","")</f>
        <v/>
      </c>
      <c r="P32" s="3" t="str">
        <f>IF(Q32=0,"TERCEIRO","MRS")</f>
        <v>MRS</v>
      </c>
      <c r="Q32" s="8" t="str">
        <f>IFERROR(VLOOKUP(L32,#REF!,4,0),"0,00")</f>
        <v>0,00</v>
      </c>
      <c r="R32" s="9" t="s">
        <v>30</v>
      </c>
      <c r="S32" s="9">
        <f>COUNTIF(D32,"*_SEG_*")</f>
        <v>1</v>
      </c>
      <c r="T32" s="9">
        <f>COUNTIF(D32,"*_MAN_*")</f>
        <v>0</v>
      </c>
      <c r="U32" s="9">
        <f>(RIGHT(D32,4))*1</f>
        <v>180</v>
      </c>
      <c r="V32" s="9" t="str">
        <f>IFERROR(VLOOKUP(I32,#REF!,2,0),"Sinalização")</f>
        <v>Sinalização</v>
      </c>
    </row>
    <row r="33" spans="1:22" x14ac:dyDescent="0.25">
      <c r="A33" s="3" t="s">
        <v>22</v>
      </c>
      <c r="B33" s="4">
        <v>22648891</v>
      </c>
      <c r="C33" s="5" t="s">
        <v>23</v>
      </c>
      <c r="D33" s="6" t="s">
        <v>64</v>
      </c>
      <c r="E33" s="6" t="s">
        <v>25</v>
      </c>
      <c r="F33" s="11">
        <v>46171</v>
      </c>
      <c r="G33" s="6" t="s">
        <v>1079</v>
      </c>
      <c r="H33" s="7"/>
      <c r="I33" s="7" t="s">
        <v>173</v>
      </c>
      <c r="J33" s="7" t="s">
        <v>65</v>
      </c>
      <c r="K33" s="7" t="s">
        <v>29</v>
      </c>
      <c r="L33" s="3" t="str">
        <f>E33&amp;D33</f>
        <v>E.SP.IPAEE_MAN_CONF_S_I_BAT ESTAC B-LFR_0090</v>
      </c>
      <c r="M33" s="3" t="str">
        <f>IFERROR(MID(D33,SEARCH("S_I_",D33,1),3),"")</f>
        <v>S_I</v>
      </c>
      <c r="N33" s="3" t="str">
        <f>IFERROR(MID(D33,SEARCH("C_I_",D33,1),3),"")</f>
        <v/>
      </c>
      <c r="O33" s="3" t="str">
        <f>IF(AND(M33="",N33=""),"Extra","")</f>
        <v/>
      </c>
      <c r="P33" s="3" t="str">
        <f>IF(Q33=0,"TERCEIRO","MRS")</f>
        <v>MRS</v>
      </c>
      <c r="Q33" s="8" t="str">
        <f>IFERROR(VLOOKUP(L33,#REF!,4,0),"0,00")</f>
        <v>0,00</v>
      </c>
      <c r="R33" s="9" t="s">
        <v>42</v>
      </c>
      <c r="S33" s="9">
        <f>COUNTIF(D33,"*_SEG_*")</f>
        <v>0</v>
      </c>
      <c r="T33" s="9">
        <f>COUNTIF(D33,"*_MAN_*")</f>
        <v>1</v>
      </c>
      <c r="U33" s="9">
        <f>(RIGHT(D33,4))*1</f>
        <v>90</v>
      </c>
      <c r="V33" s="9" t="str">
        <f>IFERROR(VLOOKUP(I33,#REF!,2,0),"Sinalização")</f>
        <v>Sinalização</v>
      </c>
    </row>
    <row r="34" spans="1:22" x14ac:dyDescent="0.25">
      <c r="A34" s="3" t="s">
        <v>22</v>
      </c>
      <c r="B34" s="4">
        <v>22649032</v>
      </c>
      <c r="C34" s="5" t="s">
        <v>23</v>
      </c>
      <c r="D34" s="6" t="s">
        <v>116</v>
      </c>
      <c r="E34" s="6" t="s">
        <v>25</v>
      </c>
      <c r="F34" s="11">
        <v>46171</v>
      </c>
      <c r="G34" s="6" t="s">
        <v>1079</v>
      </c>
      <c r="H34" s="7"/>
      <c r="I34" s="7" t="s">
        <v>174</v>
      </c>
      <c r="J34" s="7" t="s">
        <v>117</v>
      </c>
      <c r="K34" s="7" t="s">
        <v>29</v>
      </c>
      <c r="L34" s="3" t="str">
        <f>E34&amp;D34</f>
        <v>E.SP.IPAEE_INS_CONF_S_I_BAT ESTAC AES-FO_0360</v>
      </c>
      <c r="M34" s="3" t="str">
        <f>IFERROR(MID(D34,SEARCH("S_I_",D34,1),3),"")</f>
        <v>S_I</v>
      </c>
      <c r="N34" s="3" t="str">
        <f>IFERROR(MID(D34,SEARCH("C_I_",D34,1),3),"")</f>
        <v/>
      </c>
      <c r="O34" s="3" t="str">
        <f>IF(AND(M34="",N34=""),"Extra","")</f>
        <v/>
      </c>
      <c r="P34" s="3" t="str">
        <f>IF(Q34=0,"TERCEIRO","MRS")</f>
        <v>MRS</v>
      </c>
      <c r="Q34" s="8" t="str">
        <f>IFERROR(VLOOKUP(L34,#REF!,4,0),"0,00")</f>
        <v>0,00</v>
      </c>
      <c r="R34" s="9" t="s">
        <v>42</v>
      </c>
      <c r="S34" s="9">
        <f>COUNTIF(D34,"*_SEG_*")</f>
        <v>0</v>
      </c>
      <c r="T34" s="9">
        <f>COUNTIF(D34,"*_MAN_*")</f>
        <v>0</v>
      </c>
      <c r="U34" s="9">
        <f>(RIGHT(D34,4))*1</f>
        <v>360</v>
      </c>
      <c r="V34" s="9" t="str">
        <f>IFERROR(VLOOKUP(I34,#REF!,2,0),"Sinalização")</f>
        <v>Sinalização</v>
      </c>
    </row>
    <row r="35" spans="1:22" x14ac:dyDescent="0.25">
      <c r="A35" s="3" t="s">
        <v>22</v>
      </c>
      <c r="B35" s="4">
        <v>23443288</v>
      </c>
      <c r="C35" s="5" t="s">
        <v>23</v>
      </c>
      <c r="D35" s="6" t="s">
        <v>780</v>
      </c>
      <c r="E35" s="6" t="s">
        <v>25</v>
      </c>
      <c r="F35" s="11">
        <v>46171</v>
      </c>
      <c r="G35" s="6" t="s">
        <v>1079</v>
      </c>
      <c r="H35" s="7"/>
      <c r="I35" s="7" t="s">
        <v>783</v>
      </c>
      <c r="J35" s="7" t="s">
        <v>782</v>
      </c>
      <c r="K35" s="7" t="s">
        <v>29</v>
      </c>
      <c r="L35" s="3" t="str">
        <f>E35&amp;D35</f>
        <v>E.SP.IPAEE_INS_CONF_S_I_SIST GRAV DE MANOB_0060</v>
      </c>
      <c r="M35" s="3" t="str">
        <f>IFERROR(MID(D35,SEARCH("S_I_",D35,1),3),"")</f>
        <v>S_I</v>
      </c>
      <c r="N35" s="3" t="str">
        <f>IFERROR(MID(D35,SEARCH("C_I_",D35,1),3),"")</f>
        <v/>
      </c>
      <c r="O35" s="3" t="str">
        <f>IF(AND(M35="",N35=""),"Extra","")</f>
        <v/>
      </c>
      <c r="P35" s="3" t="str">
        <f>IF(Q35=0,"TERCEIRO","MRS")</f>
        <v>MRS</v>
      </c>
      <c r="Q35" s="8" t="str">
        <f>IFERROR(VLOOKUP(L35,#REF!,4,0),"0,00")</f>
        <v>0,00</v>
      </c>
      <c r="R35" s="9" t="s">
        <v>42</v>
      </c>
      <c r="S35" s="9">
        <f>COUNTIF(D35,"*_SEG_*")</f>
        <v>0</v>
      </c>
      <c r="T35" s="9">
        <f>COUNTIF(D35,"*_MAN_*")</f>
        <v>0</v>
      </c>
      <c r="U35" s="9">
        <f>(RIGHT(D35,4))*1</f>
        <v>60</v>
      </c>
      <c r="V35" s="9" t="str">
        <f>IFERROR(VLOOKUP(I35,#REF!,2,0),"Sinalização")</f>
        <v>Sinalização</v>
      </c>
    </row>
    <row r="36" spans="1:22" x14ac:dyDescent="0.25">
      <c r="A36" s="3" t="s">
        <v>22</v>
      </c>
      <c r="B36" s="4">
        <v>23443289</v>
      </c>
      <c r="C36" s="5" t="s">
        <v>23</v>
      </c>
      <c r="D36" s="6" t="s">
        <v>780</v>
      </c>
      <c r="E36" s="6" t="s">
        <v>25</v>
      </c>
      <c r="F36" s="11">
        <v>46171</v>
      </c>
      <c r="G36" s="6" t="s">
        <v>1079</v>
      </c>
      <c r="H36" s="7"/>
      <c r="I36" s="7" t="s">
        <v>784</v>
      </c>
      <c r="J36" s="7" t="s">
        <v>782</v>
      </c>
      <c r="K36" s="7" t="s">
        <v>29</v>
      </c>
      <c r="L36" s="3" t="str">
        <f>E36&amp;D36</f>
        <v>E.SP.IPAEE_INS_CONF_S_I_SIST GRAV DE MANOB_0060</v>
      </c>
      <c r="M36" s="3" t="str">
        <f>IFERROR(MID(D36,SEARCH("S_I_",D36,1),3),"")</f>
        <v>S_I</v>
      </c>
      <c r="N36" s="3" t="str">
        <f>IFERROR(MID(D36,SEARCH("C_I_",D36,1),3),"")</f>
        <v/>
      </c>
      <c r="O36" s="3" t="str">
        <f>IF(AND(M36="",N36=""),"Extra","")</f>
        <v/>
      </c>
      <c r="P36" s="3" t="str">
        <f>IF(Q36=0,"TERCEIRO","MRS")</f>
        <v>MRS</v>
      </c>
      <c r="Q36" s="8" t="str">
        <f>IFERROR(VLOOKUP(L36,#REF!,4,0),"0,00")</f>
        <v>0,00</v>
      </c>
      <c r="R36" s="9" t="s">
        <v>42</v>
      </c>
      <c r="S36" s="9">
        <f>COUNTIF(D36,"*_SEG_*")</f>
        <v>0</v>
      </c>
      <c r="T36" s="9">
        <f>COUNTIF(D36,"*_MAN_*")</f>
        <v>0</v>
      </c>
      <c r="U36" s="9">
        <f>(RIGHT(D36,4))*1</f>
        <v>60</v>
      </c>
      <c r="V36" s="9" t="str">
        <f>IFERROR(VLOOKUP(I36,#REF!,2,0),"Sinalização")</f>
        <v>Sinalização</v>
      </c>
    </row>
    <row r="37" spans="1:22" x14ac:dyDescent="0.25">
      <c r="A37" s="3" t="s">
        <v>22</v>
      </c>
      <c r="B37" s="4">
        <v>23443338</v>
      </c>
      <c r="C37" s="5" t="s">
        <v>23</v>
      </c>
      <c r="D37" s="6" t="s">
        <v>785</v>
      </c>
      <c r="E37" s="6" t="s">
        <v>25</v>
      </c>
      <c r="F37" s="11">
        <v>46171</v>
      </c>
      <c r="G37" s="6" t="s">
        <v>1079</v>
      </c>
      <c r="H37" s="7"/>
      <c r="I37" s="7" t="s">
        <v>786</v>
      </c>
      <c r="J37" s="7" t="s">
        <v>787</v>
      </c>
      <c r="K37" s="7" t="s">
        <v>29</v>
      </c>
      <c r="L37" s="3" t="str">
        <f>E37&amp;D37</f>
        <v>E.SP.IPAEE_MAN_CONF_S_I_DET DESC VIA RADIO_0060</v>
      </c>
      <c r="M37" s="3" t="str">
        <f>IFERROR(MID(D37,SEARCH("S_I_",D37,1),3),"")</f>
        <v>S_I</v>
      </c>
      <c r="N37" s="3" t="str">
        <f>IFERROR(MID(D37,SEARCH("C_I_",D37,1),3),"")</f>
        <v/>
      </c>
      <c r="O37" s="3" t="str">
        <f>IF(AND(M37="",N37=""),"Extra","")</f>
        <v/>
      </c>
      <c r="P37" s="3" t="str">
        <f>IF(Q37=0,"TERCEIRO","MRS")</f>
        <v>MRS</v>
      </c>
      <c r="Q37" s="8" t="str">
        <f>IFERROR(VLOOKUP(L37,#REF!,4,0),"0,00")</f>
        <v>0,00</v>
      </c>
      <c r="R37" s="9" t="s">
        <v>42</v>
      </c>
      <c r="S37" s="9">
        <f>COUNTIF(D37,"*_SEG_*")</f>
        <v>0</v>
      </c>
      <c r="T37" s="9">
        <f>COUNTIF(D37,"*_MAN_*")</f>
        <v>1</v>
      </c>
      <c r="U37" s="9">
        <f>(RIGHT(D37,4))*1</f>
        <v>60</v>
      </c>
      <c r="V37" s="9" t="str">
        <f>IFERROR(VLOOKUP(I37,#REF!,2,0),"Sinalização")</f>
        <v>Sinalização</v>
      </c>
    </row>
    <row r="38" spans="1:22" x14ac:dyDescent="0.25">
      <c r="A38" s="3" t="s">
        <v>22</v>
      </c>
      <c r="B38" s="4">
        <v>23443340</v>
      </c>
      <c r="C38" s="5" t="s">
        <v>23</v>
      </c>
      <c r="D38" s="6" t="s">
        <v>785</v>
      </c>
      <c r="E38" s="6" t="s">
        <v>25</v>
      </c>
      <c r="F38" s="11">
        <v>46171</v>
      </c>
      <c r="G38" s="6" t="s">
        <v>1079</v>
      </c>
      <c r="H38" s="7"/>
      <c r="I38" s="7" t="s">
        <v>788</v>
      </c>
      <c r="J38" s="7" t="s">
        <v>787</v>
      </c>
      <c r="K38" s="7" t="s">
        <v>29</v>
      </c>
      <c r="L38" s="3" t="str">
        <f>E38&amp;D38</f>
        <v>E.SP.IPAEE_MAN_CONF_S_I_DET DESC VIA RADIO_0060</v>
      </c>
      <c r="M38" s="3" t="str">
        <f>IFERROR(MID(D38,SEARCH("S_I_",D38,1),3),"")</f>
        <v>S_I</v>
      </c>
      <c r="N38" s="3" t="str">
        <f>IFERROR(MID(D38,SEARCH("C_I_",D38,1),3),"")</f>
        <v/>
      </c>
      <c r="O38" s="3" t="str">
        <f>IF(AND(M38="",N38=""),"Extra","")</f>
        <v/>
      </c>
      <c r="P38" s="3" t="str">
        <f>IF(Q38=0,"TERCEIRO","MRS")</f>
        <v>MRS</v>
      </c>
      <c r="Q38" s="8" t="str">
        <f>IFERROR(VLOOKUP(L38,#REF!,4,0),"0,00")</f>
        <v>0,00</v>
      </c>
      <c r="R38" s="9" t="s">
        <v>42</v>
      </c>
      <c r="S38" s="9">
        <f>COUNTIF(D38,"*_SEG_*")</f>
        <v>0</v>
      </c>
      <c r="T38" s="9">
        <f>COUNTIF(D38,"*_MAN_*")</f>
        <v>1</v>
      </c>
      <c r="U38" s="9">
        <f>(RIGHT(D38,4))*1</f>
        <v>60</v>
      </c>
      <c r="V38" s="9" t="str">
        <f>IFERROR(VLOOKUP(I38,#REF!,2,0),"Sinalização")</f>
        <v>Sinalização</v>
      </c>
    </row>
    <row r="39" spans="1:22" x14ac:dyDescent="0.25">
      <c r="A39" s="3" t="s">
        <v>22</v>
      </c>
      <c r="B39" s="4">
        <v>23443343</v>
      </c>
      <c r="C39" s="5" t="s">
        <v>23</v>
      </c>
      <c r="D39" s="6" t="s">
        <v>785</v>
      </c>
      <c r="E39" s="6" t="s">
        <v>25</v>
      </c>
      <c r="F39" s="11">
        <v>46171</v>
      </c>
      <c r="G39" s="6" t="s">
        <v>1079</v>
      </c>
      <c r="H39" s="7"/>
      <c r="I39" s="7" t="s">
        <v>789</v>
      </c>
      <c r="J39" s="7" t="s">
        <v>787</v>
      </c>
      <c r="K39" s="7" t="s">
        <v>29</v>
      </c>
      <c r="L39" s="3" t="str">
        <f>E39&amp;D39</f>
        <v>E.SP.IPAEE_MAN_CONF_S_I_DET DESC VIA RADIO_0060</v>
      </c>
      <c r="M39" s="3" t="str">
        <f>IFERROR(MID(D39,SEARCH("S_I_",D39,1),3),"")</f>
        <v>S_I</v>
      </c>
      <c r="N39" s="3" t="str">
        <f>IFERROR(MID(D39,SEARCH("C_I_",D39,1),3),"")</f>
        <v/>
      </c>
      <c r="O39" s="3" t="str">
        <f>IF(AND(M39="",N39=""),"Extra","")</f>
        <v/>
      </c>
      <c r="P39" s="3" t="str">
        <f>IF(Q39=0,"TERCEIRO","MRS")</f>
        <v>MRS</v>
      </c>
      <c r="Q39" s="8" t="str">
        <f>IFERROR(VLOOKUP(L39,#REF!,4,0),"0,00")</f>
        <v>0,00</v>
      </c>
      <c r="R39" s="9" t="s">
        <v>42</v>
      </c>
      <c r="S39" s="9">
        <f>COUNTIF(D39,"*_SEG_*")</f>
        <v>0</v>
      </c>
      <c r="T39" s="9">
        <f>COUNTIF(D39,"*_MAN_*")</f>
        <v>1</v>
      </c>
      <c r="U39" s="9">
        <f>(RIGHT(D39,4))*1</f>
        <v>60</v>
      </c>
      <c r="V39" s="9" t="str">
        <f>IFERROR(VLOOKUP(I39,#REF!,2,0),"Sinalização")</f>
        <v>Sinalização</v>
      </c>
    </row>
    <row r="40" spans="1:22" x14ac:dyDescent="0.25">
      <c r="A40" s="3" t="s">
        <v>22</v>
      </c>
      <c r="B40" s="4">
        <v>23443357</v>
      </c>
      <c r="C40" s="5" t="s">
        <v>23</v>
      </c>
      <c r="D40" s="6" t="s">
        <v>785</v>
      </c>
      <c r="E40" s="6" t="s">
        <v>25</v>
      </c>
      <c r="F40" s="11">
        <v>46171</v>
      </c>
      <c r="G40" s="6" t="s">
        <v>1079</v>
      </c>
      <c r="H40" s="7"/>
      <c r="I40" s="7" t="s">
        <v>790</v>
      </c>
      <c r="J40" s="7" t="s">
        <v>787</v>
      </c>
      <c r="K40" s="7" t="s">
        <v>29</v>
      </c>
      <c r="L40" s="3" t="str">
        <f>E40&amp;D40</f>
        <v>E.SP.IPAEE_MAN_CONF_S_I_DET DESC VIA RADIO_0060</v>
      </c>
      <c r="M40" s="3" t="str">
        <f>IFERROR(MID(D40,SEARCH("S_I_",D40,1),3),"")</f>
        <v>S_I</v>
      </c>
      <c r="N40" s="3" t="str">
        <f>IFERROR(MID(D40,SEARCH("C_I_",D40,1),3),"")</f>
        <v/>
      </c>
      <c r="O40" s="3" t="str">
        <f>IF(AND(M40="",N40=""),"Extra","")</f>
        <v/>
      </c>
      <c r="P40" s="3" t="str">
        <f>IF(Q40=0,"TERCEIRO","MRS")</f>
        <v>MRS</v>
      </c>
      <c r="Q40" s="8" t="str">
        <f>IFERROR(VLOOKUP(L40,#REF!,4,0),"0,00")</f>
        <v>0,00</v>
      </c>
      <c r="R40" s="9" t="s">
        <v>42</v>
      </c>
      <c r="S40" s="9">
        <f>COUNTIF(D40,"*_SEG_*")</f>
        <v>0</v>
      </c>
      <c r="T40" s="9">
        <f>COUNTIF(D40,"*_MAN_*")</f>
        <v>1</v>
      </c>
      <c r="U40" s="9">
        <f>(RIGHT(D40,4))*1</f>
        <v>60</v>
      </c>
      <c r="V40" s="9" t="str">
        <f>IFERROR(VLOOKUP(I40,#REF!,2,0),"Sinalização")</f>
        <v>Sinalização</v>
      </c>
    </row>
    <row r="41" spans="1:22" x14ac:dyDescent="0.25">
      <c r="A41" s="3" t="s">
        <v>22</v>
      </c>
      <c r="B41" s="4">
        <v>23443360</v>
      </c>
      <c r="C41" s="5" t="s">
        <v>23</v>
      </c>
      <c r="D41" s="6" t="s">
        <v>785</v>
      </c>
      <c r="E41" s="6" t="s">
        <v>25</v>
      </c>
      <c r="F41" s="11">
        <v>46171</v>
      </c>
      <c r="G41" s="6" t="s">
        <v>1079</v>
      </c>
      <c r="H41" s="7"/>
      <c r="I41" s="7" t="s">
        <v>791</v>
      </c>
      <c r="J41" s="7" t="s">
        <v>787</v>
      </c>
      <c r="K41" s="7" t="s">
        <v>29</v>
      </c>
      <c r="L41" s="3" t="str">
        <f>E41&amp;D41</f>
        <v>E.SP.IPAEE_MAN_CONF_S_I_DET DESC VIA RADIO_0060</v>
      </c>
      <c r="M41" s="3" t="str">
        <f>IFERROR(MID(D41,SEARCH("S_I_",D41,1),3),"")</f>
        <v>S_I</v>
      </c>
      <c r="N41" s="3" t="str">
        <f>IFERROR(MID(D41,SEARCH("C_I_",D41,1),3),"")</f>
        <v/>
      </c>
      <c r="O41" s="3" t="str">
        <f>IF(AND(M41="",N41=""),"Extra","")</f>
        <v/>
      </c>
      <c r="P41" s="3" t="str">
        <f>IF(Q41=0,"TERCEIRO","MRS")</f>
        <v>MRS</v>
      </c>
      <c r="Q41" s="8" t="str">
        <f>IFERROR(VLOOKUP(L41,#REF!,4,0),"0,00")</f>
        <v>0,00</v>
      </c>
      <c r="R41" s="9" t="s">
        <v>42</v>
      </c>
      <c r="S41" s="9">
        <f>COUNTIF(D41,"*_SEG_*")</f>
        <v>0</v>
      </c>
      <c r="T41" s="9">
        <f>COUNTIF(D41,"*_MAN_*")</f>
        <v>1</v>
      </c>
      <c r="U41" s="9">
        <f>(RIGHT(D41,4))*1</f>
        <v>60</v>
      </c>
      <c r="V41" s="9" t="str">
        <f>IFERROR(VLOOKUP(I41,#REF!,2,0),"Sinalização")</f>
        <v>Sinalização</v>
      </c>
    </row>
    <row r="42" spans="1:22" x14ac:dyDescent="0.25">
      <c r="A42" s="3" t="s">
        <v>22</v>
      </c>
      <c r="B42" s="4">
        <v>23443786</v>
      </c>
      <c r="C42" s="5" t="s">
        <v>23</v>
      </c>
      <c r="D42" s="6" t="s">
        <v>792</v>
      </c>
      <c r="E42" s="6" t="s">
        <v>25</v>
      </c>
      <c r="F42" s="11">
        <v>46171</v>
      </c>
      <c r="G42" s="6" t="s">
        <v>1079</v>
      </c>
      <c r="H42" s="7"/>
      <c r="I42" s="7" t="s">
        <v>788</v>
      </c>
      <c r="J42" s="7" t="s">
        <v>793</v>
      </c>
      <c r="K42" s="7" t="s">
        <v>29</v>
      </c>
      <c r="L42" s="3" t="str">
        <f>E42&amp;D42</f>
        <v>E.SP.IPAEE_INS_CONF_S_I_DET DESC VIA RADIO_0060</v>
      </c>
      <c r="M42" s="3" t="str">
        <f>IFERROR(MID(D42,SEARCH("S_I_",D42,1),3),"")</f>
        <v>S_I</v>
      </c>
      <c r="N42" s="3" t="str">
        <f>IFERROR(MID(D42,SEARCH("C_I_",D42,1),3),"")</f>
        <v/>
      </c>
      <c r="O42" s="3" t="str">
        <f>IF(AND(M42="",N42=""),"Extra","")</f>
        <v/>
      </c>
      <c r="P42" s="3" t="str">
        <f>IF(Q42=0,"TERCEIRO","MRS")</f>
        <v>MRS</v>
      </c>
      <c r="Q42" s="8" t="str">
        <f>IFERROR(VLOOKUP(L42,#REF!,4,0),"0,00")</f>
        <v>0,00</v>
      </c>
      <c r="R42" s="9" t="s">
        <v>42</v>
      </c>
      <c r="S42" s="9">
        <f>COUNTIF(D42,"*_SEG_*")</f>
        <v>0</v>
      </c>
      <c r="T42" s="9">
        <f>COUNTIF(D42,"*_MAN_*")</f>
        <v>0</v>
      </c>
      <c r="U42" s="9">
        <f>(RIGHT(D42,4))*1</f>
        <v>60</v>
      </c>
      <c r="V42" s="9" t="str">
        <f>IFERROR(VLOOKUP(I42,#REF!,2,0),"Sinalização")</f>
        <v>Sinalização</v>
      </c>
    </row>
    <row r="43" spans="1:22" x14ac:dyDescent="0.25">
      <c r="A43" s="3" t="s">
        <v>22</v>
      </c>
      <c r="B43" s="4">
        <v>23443788</v>
      </c>
      <c r="C43" s="5" t="s">
        <v>23</v>
      </c>
      <c r="D43" s="6" t="s">
        <v>792</v>
      </c>
      <c r="E43" s="6" t="s">
        <v>25</v>
      </c>
      <c r="F43" s="11">
        <v>46171</v>
      </c>
      <c r="G43" s="6" t="s">
        <v>1079</v>
      </c>
      <c r="H43" s="7"/>
      <c r="I43" s="7" t="s">
        <v>786</v>
      </c>
      <c r="J43" s="7" t="s">
        <v>793</v>
      </c>
      <c r="K43" s="7" t="s">
        <v>29</v>
      </c>
      <c r="L43" s="3" t="str">
        <f>E43&amp;D43</f>
        <v>E.SP.IPAEE_INS_CONF_S_I_DET DESC VIA RADIO_0060</v>
      </c>
      <c r="M43" s="3" t="str">
        <f>IFERROR(MID(D43,SEARCH("S_I_",D43,1),3),"")</f>
        <v>S_I</v>
      </c>
      <c r="N43" s="3" t="str">
        <f>IFERROR(MID(D43,SEARCH("C_I_",D43,1),3),"")</f>
        <v/>
      </c>
      <c r="O43" s="3" t="str">
        <f>IF(AND(M43="",N43=""),"Extra","")</f>
        <v/>
      </c>
      <c r="P43" s="3" t="str">
        <f>IF(Q43=0,"TERCEIRO","MRS")</f>
        <v>MRS</v>
      </c>
      <c r="Q43" s="8" t="str">
        <f>IFERROR(VLOOKUP(L43,#REF!,4,0),"0,00")</f>
        <v>0,00</v>
      </c>
      <c r="R43" s="9" t="s">
        <v>42</v>
      </c>
      <c r="S43" s="9">
        <f>COUNTIF(D43,"*_SEG_*")</f>
        <v>0</v>
      </c>
      <c r="T43" s="9">
        <f>COUNTIF(D43,"*_MAN_*")</f>
        <v>0</v>
      </c>
      <c r="U43" s="9">
        <f>(RIGHT(D43,4))*1</f>
        <v>60</v>
      </c>
      <c r="V43" s="9" t="str">
        <f>IFERROR(VLOOKUP(I43,#REF!,2,0),"Sinalização")</f>
        <v>Sinalização</v>
      </c>
    </row>
    <row r="44" spans="1:22" x14ac:dyDescent="0.25">
      <c r="A44" s="3" t="s">
        <v>22</v>
      </c>
      <c r="B44" s="4">
        <v>23443789</v>
      </c>
      <c r="C44" s="5" t="s">
        <v>23</v>
      </c>
      <c r="D44" s="6" t="s">
        <v>792</v>
      </c>
      <c r="E44" s="6" t="s">
        <v>25</v>
      </c>
      <c r="F44" s="11">
        <v>46171</v>
      </c>
      <c r="G44" s="6" t="s">
        <v>1079</v>
      </c>
      <c r="H44" s="7"/>
      <c r="I44" s="7" t="s">
        <v>790</v>
      </c>
      <c r="J44" s="7" t="s">
        <v>793</v>
      </c>
      <c r="K44" s="7" t="s">
        <v>29</v>
      </c>
      <c r="L44" s="3" t="str">
        <f>E44&amp;D44</f>
        <v>E.SP.IPAEE_INS_CONF_S_I_DET DESC VIA RADIO_0060</v>
      </c>
      <c r="M44" s="3" t="str">
        <f>IFERROR(MID(D44,SEARCH("S_I_",D44,1),3),"")</f>
        <v>S_I</v>
      </c>
      <c r="N44" s="3" t="str">
        <f>IFERROR(MID(D44,SEARCH("C_I_",D44,1),3),"")</f>
        <v/>
      </c>
      <c r="O44" s="3" t="str">
        <f>IF(AND(M44="",N44=""),"Extra","")</f>
        <v/>
      </c>
      <c r="P44" s="3" t="str">
        <f>IF(Q44=0,"TERCEIRO","MRS")</f>
        <v>MRS</v>
      </c>
      <c r="Q44" s="8" t="str">
        <f>IFERROR(VLOOKUP(L44,#REF!,4,0),"0,00")</f>
        <v>0,00</v>
      </c>
      <c r="R44" s="9" t="s">
        <v>42</v>
      </c>
      <c r="S44" s="9">
        <f>COUNTIF(D44,"*_SEG_*")</f>
        <v>0</v>
      </c>
      <c r="T44" s="9">
        <f>COUNTIF(D44,"*_MAN_*")</f>
        <v>0</v>
      </c>
      <c r="U44" s="9">
        <f>(RIGHT(D44,4))*1</f>
        <v>60</v>
      </c>
      <c r="V44" s="9" t="str">
        <f>IFERROR(VLOOKUP(I44,#REF!,2,0),"Sinalização")</f>
        <v>Sinalização</v>
      </c>
    </row>
    <row r="45" spans="1:22" x14ac:dyDescent="0.25">
      <c r="A45" s="3" t="s">
        <v>22</v>
      </c>
      <c r="B45" s="4">
        <v>23443790</v>
      </c>
      <c r="C45" s="5" t="s">
        <v>23</v>
      </c>
      <c r="D45" s="6" t="s">
        <v>792</v>
      </c>
      <c r="E45" s="6" t="s">
        <v>25</v>
      </c>
      <c r="F45" s="11">
        <v>46171</v>
      </c>
      <c r="G45" s="6" t="s">
        <v>1079</v>
      </c>
      <c r="H45" s="7"/>
      <c r="I45" s="7" t="s">
        <v>791</v>
      </c>
      <c r="J45" s="7" t="s">
        <v>793</v>
      </c>
      <c r="K45" s="7" t="s">
        <v>29</v>
      </c>
      <c r="L45" s="3" t="str">
        <f>E45&amp;D45</f>
        <v>E.SP.IPAEE_INS_CONF_S_I_DET DESC VIA RADIO_0060</v>
      </c>
      <c r="M45" s="3" t="str">
        <f>IFERROR(MID(D45,SEARCH("S_I_",D45,1),3),"")</f>
        <v>S_I</v>
      </c>
      <c r="N45" s="3" t="str">
        <f>IFERROR(MID(D45,SEARCH("C_I_",D45,1),3),"")</f>
        <v/>
      </c>
      <c r="O45" s="3" t="str">
        <f>IF(AND(M45="",N45=""),"Extra","")</f>
        <v/>
      </c>
      <c r="P45" s="3" t="str">
        <f>IF(Q45=0,"TERCEIRO","MRS")</f>
        <v>MRS</v>
      </c>
      <c r="Q45" s="8" t="str">
        <f>IFERROR(VLOOKUP(L45,#REF!,4,0),"0,00")</f>
        <v>0,00</v>
      </c>
      <c r="R45" s="9" t="s">
        <v>42</v>
      </c>
      <c r="S45" s="9">
        <f>COUNTIF(D45,"*_SEG_*")</f>
        <v>0</v>
      </c>
      <c r="T45" s="9">
        <f>COUNTIF(D45,"*_MAN_*")</f>
        <v>0</v>
      </c>
      <c r="U45" s="9">
        <f>(RIGHT(D45,4))*1</f>
        <v>60</v>
      </c>
      <c r="V45" s="9" t="str">
        <f>IFERROR(VLOOKUP(I45,#REF!,2,0),"Sinalização")</f>
        <v>Sinalização</v>
      </c>
    </row>
    <row r="46" spans="1:22" x14ac:dyDescent="0.25">
      <c r="A46" s="3" t="s">
        <v>22</v>
      </c>
      <c r="B46" s="4">
        <v>23444641</v>
      </c>
      <c r="C46" s="5" t="s">
        <v>23</v>
      </c>
      <c r="D46" s="6" t="s">
        <v>794</v>
      </c>
      <c r="E46" s="6" t="s">
        <v>25</v>
      </c>
      <c r="F46" s="11">
        <v>46171</v>
      </c>
      <c r="G46" s="6" t="s">
        <v>1079</v>
      </c>
      <c r="H46" s="7"/>
      <c r="I46" s="7" t="s">
        <v>783</v>
      </c>
      <c r="J46" s="7" t="s">
        <v>795</v>
      </c>
      <c r="K46" s="7" t="s">
        <v>29</v>
      </c>
      <c r="L46" s="3" t="str">
        <f>E46&amp;D46</f>
        <v>E.SP.IPAEE_MAN_CONF_S_I_SIST GRAV DE MANOB_0060</v>
      </c>
      <c r="M46" s="3" t="str">
        <f>IFERROR(MID(D46,SEARCH("S_I_",D46,1),3),"")</f>
        <v>S_I</v>
      </c>
      <c r="N46" s="3" t="str">
        <f>IFERROR(MID(D46,SEARCH("C_I_",D46,1),3),"")</f>
        <v/>
      </c>
      <c r="O46" s="3" t="str">
        <f>IF(AND(M46="",N46=""),"Extra","")</f>
        <v/>
      </c>
      <c r="P46" s="3" t="str">
        <f>IF(Q46=0,"TERCEIRO","MRS")</f>
        <v>MRS</v>
      </c>
      <c r="Q46" s="8" t="str">
        <f>IFERROR(VLOOKUP(L46,#REF!,4,0),"0,00")</f>
        <v>0,00</v>
      </c>
      <c r="R46" s="9" t="s">
        <v>42</v>
      </c>
      <c r="S46" s="9">
        <f>COUNTIF(D46,"*_SEG_*")</f>
        <v>0</v>
      </c>
      <c r="T46" s="9">
        <f>COUNTIF(D46,"*_MAN_*")</f>
        <v>1</v>
      </c>
      <c r="U46" s="9">
        <f>(RIGHT(D46,4))*1</f>
        <v>60</v>
      </c>
      <c r="V46" s="9" t="str">
        <f>IFERROR(VLOOKUP(I46,#REF!,2,0),"Sinalização")</f>
        <v>Sinalização</v>
      </c>
    </row>
    <row r="47" spans="1:22" x14ac:dyDescent="0.25">
      <c r="A47" s="3" t="s">
        <v>22</v>
      </c>
      <c r="B47" s="4">
        <v>23444650</v>
      </c>
      <c r="C47" s="5" t="s">
        <v>23</v>
      </c>
      <c r="D47" s="6" t="s">
        <v>794</v>
      </c>
      <c r="E47" s="6" t="s">
        <v>25</v>
      </c>
      <c r="F47" s="11">
        <v>46171</v>
      </c>
      <c r="G47" s="6" t="s">
        <v>1079</v>
      </c>
      <c r="H47" s="7"/>
      <c r="I47" s="7" t="s">
        <v>784</v>
      </c>
      <c r="J47" s="7" t="s">
        <v>795</v>
      </c>
      <c r="K47" s="7" t="s">
        <v>29</v>
      </c>
      <c r="L47" s="3" t="str">
        <f>E47&amp;D47</f>
        <v>E.SP.IPAEE_MAN_CONF_S_I_SIST GRAV DE MANOB_0060</v>
      </c>
      <c r="M47" s="3" t="str">
        <f>IFERROR(MID(D47,SEARCH("S_I_",D47,1),3),"")</f>
        <v>S_I</v>
      </c>
      <c r="N47" s="3" t="str">
        <f>IFERROR(MID(D47,SEARCH("C_I_",D47,1),3),"")</f>
        <v/>
      </c>
      <c r="O47" s="3" t="str">
        <f>IF(AND(M47="",N47=""),"Extra","")</f>
        <v/>
      </c>
      <c r="P47" s="3" t="str">
        <f>IF(Q47=0,"TERCEIRO","MRS")</f>
        <v>MRS</v>
      </c>
      <c r="Q47" s="8" t="str">
        <f>IFERROR(VLOOKUP(L47,#REF!,4,0),"0,00")</f>
        <v>0,00</v>
      </c>
      <c r="R47" s="9" t="s">
        <v>42</v>
      </c>
      <c r="S47" s="9">
        <f>COUNTIF(D47,"*_SEG_*")</f>
        <v>0</v>
      </c>
      <c r="T47" s="9">
        <f>COUNTIF(D47,"*_MAN_*")</f>
        <v>1</v>
      </c>
      <c r="U47" s="9">
        <f>(RIGHT(D47,4))*1</f>
        <v>60</v>
      </c>
      <c r="V47" s="9" t="str">
        <f>IFERROR(VLOOKUP(I47,#REF!,2,0),"Sinalização")</f>
        <v>Sinalização</v>
      </c>
    </row>
    <row r="48" spans="1:22" x14ac:dyDescent="0.25">
      <c r="A48" s="3" t="s">
        <v>22</v>
      </c>
      <c r="B48" s="4">
        <v>23445052</v>
      </c>
      <c r="C48" s="5" t="s">
        <v>23</v>
      </c>
      <c r="D48" s="6" t="s">
        <v>796</v>
      </c>
      <c r="E48" s="6" t="s">
        <v>25</v>
      </c>
      <c r="F48" s="11">
        <v>46171</v>
      </c>
      <c r="G48" s="6" t="s">
        <v>1079</v>
      </c>
      <c r="H48" s="7"/>
      <c r="I48" s="7" t="s">
        <v>786</v>
      </c>
      <c r="J48" s="7" t="s">
        <v>797</v>
      </c>
      <c r="K48" s="7" t="s">
        <v>29</v>
      </c>
      <c r="L48" s="3" t="str">
        <f>E48&amp;D48</f>
        <v>E.SP.IPAEE_INS_CONF_C_I_DET DESC VIA RADIO_0060</v>
      </c>
      <c r="M48" s="3" t="str">
        <f>IFERROR(MID(D48,SEARCH("S_I_",D48,1),3),"")</f>
        <v/>
      </c>
      <c r="N48" s="3" t="str">
        <f>IFERROR(MID(D48,SEARCH("C_I_",D48,1),3),"")</f>
        <v>C_I</v>
      </c>
      <c r="O48" s="3" t="str">
        <f>IF(AND(M48="",N48=""),"Extra","")</f>
        <v/>
      </c>
      <c r="P48" s="3" t="str">
        <f>IF(Q48=0,"TERCEIRO","MRS")</f>
        <v>MRS</v>
      </c>
      <c r="Q48" s="8" t="str">
        <f>IFERROR(VLOOKUP(L48,#REF!,4,0),"0,00")</f>
        <v>0,00</v>
      </c>
      <c r="R48" s="9" t="s">
        <v>42</v>
      </c>
      <c r="S48" s="9">
        <f>COUNTIF(D48,"*_SEG_*")</f>
        <v>0</v>
      </c>
      <c r="T48" s="9">
        <f>COUNTIF(D48,"*_MAN_*")</f>
        <v>0</v>
      </c>
      <c r="U48" s="9">
        <f>(RIGHT(D48,4))*1</f>
        <v>60</v>
      </c>
      <c r="V48" s="9" t="str">
        <f>IFERROR(VLOOKUP(I48,#REF!,2,0),"Sinalização")</f>
        <v>Sinalização</v>
      </c>
    </row>
    <row r="49" spans="1:22" x14ac:dyDescent="0.25">
      <c r="A49" s="3" t="s">
        <v>22</v>
      </c>
      <c r="B49" s="4">
        <v>23445595</v>
      </c>
      <c r="C49" s="5" t="s">
        <v>23</v>
      </c>
      <c r="D49" s="6" t="s">
        <v>774</v>
      </c>
      <c r="E49" s="6" t="s">
        <v>25</v>
      </c>
      <c r="F49" s="11">
        <v>46171</v>
      </c>
      <c r="G49" s="6" t="s">
        <v>1079</v>
      </c>
      <c r="H49" s="7"/>
      <c r="I49" s="7" t="s">
        <v>798</v>
      </c>
      <c r="J49" s="7" t="s">
        <v>775</v>
      </c>
      <c r="K49" s="7" t="s">
        <v>776</v>
      </c>
      <c r="L49" s="3" t="str">
        <f>E49&amp;D49</f>
        <v>E.SP.IPAEE_MAN_CONF_C_I_SINAL L UNIFO CONT_0060</v>
      </c>
      <c r="M49" s="3" t="str">
        <f>IFERROR(MID(D49,SEARCH("S_I_",D49,1),3),"")</f>
        <v/>
      </c>
      <c r="N49" s="3" t="str">
        <f>IFERROR(MID(D49,SEARCH("C_I_",D49,1),3),"")</f>
        <v>C_I</v>
      </c>
      <c r="O49" s="3" t="str">
        <f>IF(AND(M49="",N49=""),"Extra","")</f>
        <v/>
      </c>
      <c r="P49" s="3" t="str">
        <f>IF(Q49=0,"TERCEIRO","MRS")</f>
        <v>MRS</v>
      </c>
      <c r="Q49" s="8" t="str">
        <f>IFERROR(VLOOKUP(L49,#REF!,4,0),"0,00")</f>
        <v>0,00</v>
      </c>
      <c r="R49" s="9" t="s">
        <v>42</v>
      </c>
      <c r="S49" s="9">
        <f>COUNTIF(D49,"*_SEG_*")</f>
        <v>0</v>
      </c>
      <c r="T49" s="9">
        <f>COUNTIF(D49,"*_MAN_*")</f>
        <v>1</v>
      </c>
      <c r="U49" s="9">
        <f>(RIGHT(D49,4))*1</f>
        <v>60</v>
      </c>
      <c r="V49" s="9" t="str">
        <f>IFERROR(VLOOKUP(I49,#REF!,2,0),"Sinalização")</f>
        <v>Sinalização</v>
      </c>
    </row>
    <row r="50" spans="1:22" x14ac:dyDescent="0.25">
      <c r="A50" s="3" t="s">
        <v>22</v>
      </c>
      <c r="B50" s="4">
        <v>23445596</v>
      </c>
      <c r="C50" s="5" t="s">
        <v>23</v>
      </c>
      <c r="D50" s="6" t="s">
        <v>774</v>
      </c>
      <c r="E50" s="6" t="s">
        <v>25</v>
      </c>
      <c r="F50" s="11">
        <v>46171</v>
      </c>
      <c r="G50" s="6" t="s">
        <v>1079</v>
      </c>
      <c r="H50" s="7"/>
      <c r="I50" s="7" t="s">
        <v>420</v>
      </c>
      <c r="J50" s="7" t="s">
        <v>775</v>
      </c>
      <c r="K50" s="7" t="s">
        <v>776</v>
      </c>
      <c r="L50" s="3" t="str">
        <f>E50&amp;D50</f>
        <v>E.SP.IPAEE_MAN_CONF_C_I_SINAL L UNIFO CONT_0060</v>
      </c>
      <c r="M50" s="3" t="str">
        <f>IFERROR(MID(D50,SEARCH("S_I_",D50,1),3),"")</f>
        <v/>
      </c>
      <c r="N50" s="3" t="str">
        <f>IFERROR(MID(D50,SEARCH("C_I_",D50,1),3),"")</f>
        <v>C_I</v>
      </c>
      <c r="O50" s="3" t="str">
        <f>IF(AND(M50="",N50=""),"Extra","")</f>
        <v/>
      </c>
      <c r="P50" s="3" t="str">
        <f>IF(Q50=0,"TERCEIRO","MRS")</f>
        <v>MRS</v>
      </c>
      <c r="Q50" s="8" t="str">
        <f>IFERROR(VLOOKUP(L50,#REF!,4,0),"0,00")</f>
        <v>0,00</v>
      </c>
      <c r="R50" s="9" t="s">
        <v>42</v>
      </c>
      <c r="S50" s="9">
        <f>COUNTIF(D50,"*_SEG_*")</f>
        <v>0</v>
      </c>
      <c r="T50" s="9">
        <f>COUNTIF(D50,"*_MAN_*")</f>
        <v>1</v>
      </c>
      <c r="U50" s="9">
        <f>(RIGHT(D50,4))*1</f>
        <v>60</v>
      </c>
      <c r="V50" s="9" t="str">
        <f>IFERROR(VLOOKUP(I50,#REF!,2,0),"Sinalização")</f>
        <v>Sinalização</v>
      </c>
    </row>
    <row r="51" spans="1:22" x14ac:dyDescent="0.25">
      <c r="A51" s="3" t="s">
        <v>22</v>
      </c>
      <c r="B51" s="4">
        <v>23445597</v>
      </c>
      <c r="C51" s="5" t="s">
        <v>23</v>
      </c>
      <c r="D51" s="6" t="s">
        <v>774</v>
      </c>
      <c r="E51" s="6" t="s">
        <v>25</v>
      </c>
      <c r="F51" s="11">
        <v>46171</v>
      </c>
      <c r="G51" s="6" t="s">
        <v>1079</v>
      </c>
      <c r="H51" s="7"/>
      <c r="I51" s="7" t="s">
        <v>421</v>
      </c>
      <c r="J51" s="7" t="s">
        <v>775</v>
      </c>
      <c r="K51" s="7" t="s">
        <v>776</v>
      </c>
      <c r="L51" s="3" t="str">
        <f>E51&amp;D51</f>
        <v>E.SP.IPAEE_MAN_CONF_C_I_SINAL L UNIFO CONT_0060</v>
      </c>
      <c r="M51" s="3" t="str">
        <f>IFERROR(MID(D51,SEARCH("S_I_",D51,1),3),"")</f>
        <v/>
      </c>
      <c r="N51" s="3" t="str">
        <f>IFERROR(MID(D51,SEARCH("C_I_",D51,1),3),"")</f>
        <v>C_I</v>
      </c>
      <c r="O51" s="3" t="str">
        <f>IF(AND(M51="",N51=""),"Extra","")</f>
        <v/>
      </c>
      <c r="P51" s="3" t="str">
        <f>IF(Q51=0,"TERCEIRO","MRS")</f>
        <v>MRS</v>
      </c>
      <c r="Q51" s="8" t="str">
        <f>IFERROR(VLOOKUP(L51,#REF!,4,0),"0,00")</f>
        <v>0,00</v>
      </c>
      <c r="R51" s="9" t="s">
        <v>42</v>
      </c>
      <c r="S51" s="9">
        <f>COUNTIF(D51,"*_SEG_*")</f>
        <v>0</v>
      </c>
      <c r="T51" s="9">
        <f>COUNTIF(D51,"*_MAN_*")</f>
        <v>1</v>
      </c>
      <c r="U51" s="9">
        <f>(RIGHT(D51,4))*1</f>
        <v>60</v>
      </c>
      <c r="V51" s="9" t="str">
        <f>IFERROR(VLOOKUP(I51,#REF!,2,0),"Sinalização")</f>
        <v>Sinalização</v>
      </c>
    </row>
    <row r="52" spans="1:22" x14ac:dyDescent="0.25">
      <c r="A52" s="3" t="s">
        <v>22</v>
      </c>
      <c r="B52" s="4">
        <v>23445604</v>
      </c>
      <c r="C52" s="5" t="s">
        <v>23</v>
      </c>
      <c r="D52" s="6" t="s">
        <v>780</v>
      </c>
      <c r="E52" s="6" t="s">
        <v>25</v>
      </c>
      <c r="F52" s="11">
        <v>46171</v>
      </c>
      <c r="G52" s="6" t="s">
        <v>1079</v>
      </c>
      <c r="H52" s="7"/>
      <c r="I52" s="7" t="s">
        <v>799</v>
      </c>
      <c r="J52" s="7" t="s">
        <v>782</v>
      </c>
      <c r="K52" s="7" t="s">
        <v>29</v>
      </c>
      <c r="L52" s="3" t="str">
        <f>E52&amp;D52</f>
        <v>E.SP.IPAEE_INS_CONF_S_I_SIST GRAV DE MANOB_0060</v>
      </c>
      <c r="M52" s="3" t="str">
        <f>IFERROR(MID(D52,SEARCH("S_I_",D52,1),3),"")</f>
        <v>S_I</v>
      </c>
      <c r="N52" s="3" t="str">
        <f>IFERROR(MID(D52,SEARCH("C_I_",D52,1),3),"")</f>
        <v/>
      </c>
      <c r="O52" s="3" t="str">
        <f>IF(AND(M52="",N52=""),"Extra","")</f>
        <v/>
      </c>
      <c r="P52" s="3" t="str">
        <f>IF(Q52=0,"TERCEIRO","MRS")</f>
        <v>MRS</v>
      </c>
      <c r="Q52" s="8" t="str">
        <f>IFERROR(VLOOKUP(L52,#REF!,4,0),"0,00")</f>
        <v>0,00</v>
      </c>
      <c r="R52" s="9" t="s">
        <v>42</v>
      </c>
      <c r="S52" s="9">
        <f>COUNTIF(D52,"*_SEG_*")</f>
        <v>0</v>
      </c>
      <c r="T52" s="9">
        <f>COUNTIF(D52,"*_MAN_*")</f>
        <v>0</v>
      </c>
      <c r="U52" s="9">
        <f>(RIGHT(D52,4))*1</f>
        <v>60</v>
      </c>
      <c r="V52" s="9" t="str">
        <f>IFERROR(VLOOKUP(I52,#REF!,2,0),"Sinalização")</f>
        <v>Sinalização</v>
      </c>
    </row>
    <row r="53" spans="1:22" x14ac:dyDescent="0.25">
      <c r="A53" s="3" t="s">
        <v>22</v>
      </c>
      <c r="B53" s="4">
        <v>23445605</v>
      </c>
      <c r="C53" s="5" t="s">
        <v>23</v>
      </c>
      <c r="D53" s="6" t="s">
        <v>780</v>
      </c>
      <c r="E53" s="6" t="s">
        <v>25</v>
      </c>
      <c r="F53" s="11">
        <v>46171</v>
      </c>
      <c r="G53" s="6" t="s">
        <v>1079</v>
      </c>
      <c r="H53" s="7"/>
      <c r="I53" s="7" t="s">
        <v>800</v>
      </c>
      <c r="J53" s="7" t="s">
        <v>782</v>
      </c>
      <c r="K53" s="7" t="s">
        <v>29</v>
      </c>
      <c r="L53" s="3" t="str">
        <f>E53&amp;D53</f>
        <v>E.SP.IPAEE_INS_CONF_S_I_SIST GRAV DE MANOB_0060</v>
      </c>
      <c r="M53" s="3" t="str">
        <f>IFERROR(MID(D53,SEARCH("S_I_",D53,1),3),"")</f>
        <v>S_I</v>
      </c>
      <c r="N53" s="3" t="str">
        <f>IFERROR(MID(D53,SEARCH("C_I_",D53,1),3),"")</f>
        <v/>
      </c>
      <c r="O53" s="3" t="str">
        <f>IF(AND(M53="",N53=""),"Extra","")</f>
        <v/>
      </c>
      <c r="P53" s="3" t="str">
        <f>IF(Q53=0,"TERCEIRO","MRS")</f>
        <v>MRS</v>
      </c>
      <c r="Q53" s="8" t="str">
        <f>IFERROR(VLOOKUP(L53,#REF!,4,0),"0,00")</f>
        <v>0,00</v>
      </c>
      <c r="R53" s="9" t="s">
        <v>42</v>
      </c>
      <c r="S53" s="9">
        <f>COUNTIF(D53,"*_SEG_*")</f>
        <v>0</v>
      </c>
      <c r="T53" s="9">
        <f>COUNTIF(D53,"*_MAN_*")</f>
        <v>0</v>
      </c>
      <c r="U53" s="9">
        <f>(RIGHT(D53,4))*1</f>
        <v>60</v>
      </c>
      <c r="V53" s="9" t="str">
        <f>IFERROR(VLOOKUP(I53,#REF!,2,0),"Sinalização")</f>
        <v>Sinalização</v>
      </c>
    </row>
    <row r="54" spans="1:22" x14ac:dyDescent="0.25">
      <c r="A54" s="3" t="s">
        <v>22</v>
      </c>
      <c r="B54" s="4">
        <v>23445606</v>
      </c>
      <c r="C54" s="5" t="s">
        <v>23</v>
      </c>
      <c r="D54" s="6" t="s">
        <v>780</v>
      </c>
      <c r="E54" s="6" t="s">
        <v>25</v>
      </c>
      <c r="F54" s="11">
        <v>46171</v>
      </c>
      <c r="G54" s="6" t="s">
        <v>1079</v>
      </c>
      <c r="H54" s="7"/>
      <c r="I54" s="7" t="s">
        <v>801</v>
      </c>
      <c r="J54" s="7" t="s">
        <v>782</v>
      </c>
      <c r="K54" s="7" t="s">
        <v>29</v>
      </c>
      <c r="L54" s="3" t="str">
        <f>E54&amp;D54</f>
        <v>E.SP.IPAEE_INS_CONF_S_I_SIST GRAV DE MANOB_0060</v>
      </c>
      <c r="M54" s="3" t="str">
        <f>IFERROR(MID(D54,SEARCH("S_I_",D54,1),3),"")</f>
        <v>S_I</v>
      </c>
      <c r="N54" s="3" t="str">
        <f>IFERROR(MID(D54,SEARCH("C_I_",D54,1),3),"")</f>
        <v/>
      </c>
      <c r="O54" s="3" t="str">
        <f>IF(AND(M54="",N54=""),"Extra","")</f>
        <v/>
      </c>
      <c r="P54" s="3" t="str">
        <f>IF(Q54=0,"TERCEIRO","MRS")</f>
        <v>MRS</v>
      </c>
      <c r="Q54" s="8" t="str">
        <f>IFERROR(VLOOKUP(L54,#REF!,4,0),"0,00")</f>
        <v>0,00</v>
      </c>
      <c r="R54" s="9" t="s">
        <v>42</v>
      </c>
      <c r="S54" s="9">
        <f>COUNTIF(D54,"*_SEG_*")</f>
        <v>0</v>
      </c>
      <c r="T54" s="9">
        <f>COUNTIF(D54,"*_MAN_*")</f>
        <v>0</v>
      </c>
      <c r="U54" s="9">
        <f>(RIGHT(D54,4))*1</f>
        <v>60</v>
      </c>
      <c r="V54" s="9" t="str">
        <f>IFERROR(VLOOKUP(I54,#REF!,2,0),"Sinalização")</f>
        <v>Sinalização</v>
      </c>
    </row>
    <row r="55" spans="1:22" x14ac:dyDescent="0.25">
      <c r="A55" s="3" t="s">
        <v>22</v>
      </c>
      <c r="B55" s="4">
        <v>23445607</v>
      </c>
      <c r="C55" s="5" t="s">
        <v>23</v>
      </c>
      <c r="D55" s="6" t="s">
        <v>780</v>
      </c>
      <c r="E55" s="6" t="s">
        <v>25</v>
      </c>
      <c r="F55" s="11">
        <v>46171</v>
      </c>
      <c r="G55" s="6" t="s">
        <v>1079</v>
      </c>
      <c r="H55" s="7"/>
      <c r="I55" s="7" t="s">
        <v>802</v>
      </c>
      <c r="J55" s="7" t="s">
        <v>782</v>
      </c>
      <c r="K55" s="7" t="s">
        <v>29</v>
      </c>
      <c r="L55" s="3" t="str">
        <f>E55&amp;D55</f>
        <v>E.SP.IPAEE_INS_CONF_S_I_SIST GRAV DE MANOB_0060</v>
      </c>
      <c r="M55" s="3" t="str">
        <f>IFERROR(MID(D55,SEARCH("S_I_",D55,1),3),"")</f>
        <v>S_I</v>
      </c>
      <c r="N55" s="3" t="str">
        <f>IFERROR(MID(D55,SEARCH("C_I_",D55,1),3),"")</f>
        <v/>
      </c>
      <c r="O55" s="3" t="str">
        <f>IF(AND(M55="",N55=""),"Extra","")</f>
        <v/>
      </c>
      <c r="P55" s="3" t="str">
        <f>IF(Q55=0,"TERCEIRO","MRS")</f>
        <v>MRS</v>
      </c>
      <c r="Q55" s="8" t="str">
        <f>IFERROR(VLOOKUP(L55,#REF!,4,0),"0,00")</f>
        <v>0,00</v>
      </c>
      <c r="R55" s="9" t="s">
        <v>42</v>
      </c>
      <c r="S55" s="9">
        <f>COUNTIF(D55,"*_SEG_*")</f>
        <v>0</v>
      </c>
      <c r="T55" s="9">
        <f>COUNTIF(D55,"*_MAN_*")</f>
        <v>0</v>
      </c>
      <c r="U55" s="9">
        <f>(RIGHT(D55,4))*1</f>
        <v>60</v>
      </c>
      <c r="V55" s="9" t="str">
        <f>IFERROR(VLOOKUP(I55,#REF!,2,0),"Sinalização")</f>
        <v>Sinalização</v>
      </c>
    </row>
    <row r="56" spans="1:22" x14ac:dyDescent="0.25">
      <c r="A56" s="3" t="s">
        <v>22</v>
      </c>
      <c r="B56" s="4">
        <v>23445608</v>
      </c>
      <c r="C56" s="5" t="s">
        <v>23</v>
      </c>
      <c r="D56" s="6" t="s">
        <v>780</v>
      </c>
      <c r="E56" s="6" t="s">
        <v>25</v>
      </c>
      <c r="F56" s="11">
        <v>46171</v>
      </c>
      <c r="G56" s="6" t="s">
        <v>1079</v>
      </c>
      <c r="H56" s="7"/>
      <c r="I56" s="7" t="s">
        <v>803</v>
      </c>
      <c r="J56" s="7" t="s">
        <v>782</v>
      </c>
      <c r="K56" s="7" t="s">
        <v>29</v>
      </c>
      <c r="L56" s="3" t="str">
        <f>E56&amp;D56</f>
        <v>E.SP.IPAEE_INS_CONF_S_I_SIST GRAV DE MANOB_0060</v>
      </c>
      <c r="M56" s="3" t="str">
        <f>IFERROR(MID(D56,SEARCH("S_I_",D56,1),3),"")</f>
        <v>S_I</v>
      </c>
      <c r="N56" s="3" t="str">
        <f>IFERROR(MID(D56,SEARCH("C_I_",D56,1),3),"")</f>
        <v/>
      </c>
      <c r="O56" s="3" t="str">
        <f>IF(AND(M56="",N56=""),"Extra","")</f>
        <v/>
      </c>
      <c r="P56" s="3" t="str">
        <f>IF(Q56=0,"TERCEIRO","MRS")</f>
        <v>MRS</v>
      </c>
      <c r="Q56" s="8" t="str">
        <f>IFERROR(VLOOKUP(L56,#REF!,4,0),"0,00")</f>
        <v>0,00</v>
      </c>
      <c r="R56" s="9" t="s">
        <v>42</v>
      </c>
      <c r="S56" s="9">
        <f>COUNTIF(D56,"*_SEG_*")</f>
        <v>0</v>
      </c>
      <c r="T56" s="9">
        <f>COUNTIF(D56,"*_MAN_*")</f>
        <v>0</v>
      </c>
      <c r="U56" s="9">
        <f>(RIGHT(D56,4))*1</f>
        <v>60</v>
      </c>
      <c r="V56" s="9" t="str">
        <f>IFERROR(VLOOKUP(I56,#REF!,2,0),"Sinalização")</f>
        <v>Sinalização</v>
      </c>
    </row>
    <row r="57" spans="1:22" x14ac:dyDescent="0.25">
      <c r="A57" s="3" t="s">
        <v>22</v>
      </c>
      <c r="B57" s="4">
        <v>23445614</v>
      </c>
      <c r="C57" s="5" t="s">
        <v>23</v>
      </c>
      <c r="D57" s="6" t="s">
        <v>794</v>
      </c>
      <c r="E57" s="6" t="s">
        <v>25</v>
      </c>
      <c r="F57" s="11">
        <v>46171</v>
      </c>
      <c r="G57" s="6" t="s">
        <v>1079</v>
      </c>
      <c r="H57" s="7"/>
      <c r="I57" s="7" t="s">
        <v>799</v>
      </c>
      <c r="J57" s="7" t="s">
        <v>795</v>
      </c>
      <c r="K57" s="7" t="s">
        <v>29</v>
      </c>
      <c r="L57" s="3" t="str">
        <f>E57&amp;D57</f>
        <v>E.SP.IPAEE_MAN_CONF_S_I_SIST GRAV DE MANOB_0060</v>
      </c>
      <c r="M57" s="3" t="str">
        <f>IFERROR(MID(D57,SEARCH("S_I_",D57,1),3),"")</f>
        <v>S_I</v>
      </c>
      <c r="N57" s="3" t="str">
        <f>IFERROR(MID(D57,SEARCH("C_I_",D57,1),3),"")</f>
        <v/>
      </c>
      <c r="O57" s="3" t="str">
        <f>IF(AND(M57="",N57=""),"Extra","")</f>
        <v/>
      </c>
      <c r="P57" s="3" t="str">
        <f>IF(Q57=0,"TERCEIRO","MRS")</f>
        <v>MRS</v>
      </c>
      <c r="Q57" s="8" t="str">
        <f>IFERROR(VLOOKUP(L57,#REF!,4,0),"0,00")</f>
        <v>0,00</v>
      </c>
      <c r="R57" s="9" t="s">
        <v>42</v>
      </c>
      <c r="S57" s="9">
        <f>COUNTIF(D57,"*_SEG_*")</f>
        <v>0</v>
      </c>
      <c r="T57" s="9">
        <f>COUNTIF(D57,"*_MAN_*")</f>
        <v>1</v>
      </c>
      <c r="U57" s="9">
        <f>(RIGHT(D57,4))*1</f>
        <v>60</v>
      </c>
      <c r="V57" s="9" t="str">
        <f>IFERROR(VLOOKUP(I57,#REF!,2,0),"Sinalização")</f>
        <v>Sinalização</v>
      </c>
    </row>
    <row r="58" spans="1:22" x14ac:dyDescent="0.25">
      <c r="A58" s="3" t="s">
        <v>22</v>
      </c>
      <c r="B58" s="4">
        <v>23445615</v>
      </c>
      <c r="C58" s="5" t="s">
        <v>23</v>
      </c>
      <c r="D58" s="6" t="s">
        <v>794</v>
      </c>
      <c r="E58" s="6" t="s">
        <v>25</v>
      </c>
      <c r="F58" s="11">
        <v>46171</v>
      </c>
      <c r="G58" s="6" t="s">
        <v>1079</v>
      </c>
      <c r="H58" s="7"/>
      <c r="I58" s="7" t="s">
        <v>800</v>
      </c>
      <c r="J58" s="7" t="s">
        <v>795</v>
      </c>
      <c r="K58" s="7" t="s">
        <v>29</v>
      </c>
      <c r="L58" s="3" t="str">
        <f>E58&amp;D58</f>
        <v>E.SP.IPAEE_MAN_CONF_S_I_SIST GRAV DE MANOB_0060</v>
      </c>
      <c r="M58" s="3" t="str">
        <f>IFERROR(MID(D58,SEARCH("S_I_",D58,1),3),"")</f>
        <v>S_I</v>
      </c>
      <c r="N58" s="3" t="str">
        <f>IFERROR(MID(D58,SEARCH("C_I_",D58,1),3),"")</f>
        <v/>
      </c>
      <c r="O58" s="3" t="str">
        <f>IF(AND(M58="",N58=""),"Extra","")</f>
        <v/>
      </c>
      <c r="P58" s="3" t="str">
        <f>IF(Q58=0,"TERCEIRO","MRS")</f>
        <v>MRS</v>
      </c>
      <c r="Q58" s="8" t="str">
        <f>IFERROR(VLOOKUP(L58,#REF!,4,0),"0,00")</f>
        <v>0,00</v>
      </c>
      <c r="R58" s="9" t="s">
        <v>42</v>
      </c>
      <c r="S58" s="9">
        <f>COUNTIF(D58,"*_SEG_*")</f>
        <v>0</v>
      </c>
      <c r="T58" s="9">
        <f>COUNTIF(D58,"*_MAN_*")</f>
        <v>1</v>
      </c>
      <c r="U58" s="9">
        <f>(RIGHT(D58,4))*1</f>
        <v>60</v>
      </c>
      <c r="V58" s="9" t="str">
        <f>IFERROR(VLOOKUP(I58,#REF!,2,0),"Sinalização")</f>
        <v>Sinalização</v>
      </c>
    </row>
    <row r="59" spans="1:22" x14ac:dyDescent="0.25">
      <c r="A59" s="3" t="s">
        <v>22</v>
      </c>
      <c r="B59" s="4">
        <v>23445616</v>
      </c>
      <c r="C59" s="5" t="s">
        <v>23</v>
      </c>
      <c r="D59" s="6" t="s">
        <v>794</v>
      </c>
      <c r="E59" s="6" t="s">
        <v>25</v>
      </c>
      <c r="F59" s="11">
        <v>46171</v>
      </c>
      <c r="G59" s="6" t="s">
        <v>1079</v>
      </c>
      <c r="H59" s="7"/>
      <c r="I59" s="7" t="s">
        <v>801</v>
      </c>
      <c r="J59" s="7" t="s">
        <v>795</v>
      </c>
      <c r="K59" s="7" t="s">
        <v>29</v>
      </c>
      <c r="L59" s="3" t="str">
        <f>E59&amp;D59</f>
        <v>E.SP.IPAEE_MAN_CONF_S_I_SIST GRAV DE MANOB_0060</v>
      </c>
      <c r="M59" s="3" t="str">
        <f>IFERROR(MID(D59,SEARCH("S_I_",D59,1),3),"")</f>
        <v>S_I</v>
      </c>
      <c r="N59" s="3" t="str">
        <f>IFERROR(MID(D59,SEARCH("C_I_",D59,1),3),"")</f>
        <v/>
      </c>
      <c r="O59" s="3" t="str">
        <f>IF(AND(M59="",N59=""),"Extra","")</f>
        <v/>
      </c>
      <c r="P59" s="3" t="str">
        <f>IF(Q59=0,"TERCEIRO","MRS")</f>
        <v>MRS</v>
      </c>
      <c r="Q59" s="8" t="str">
        <f>IFERROR(VLOOKUP(L59,#REF!,4,0),"0,00")</f>
        <v>0,00</v>
      </c>
      <c r="R59" s="9" t="s">
        <v>42</v>
      </c>
      <c r="S59" s="9">
        <f>COUNTIF(D59,"*_SEG_*")</f>
        <v>0</v>
      </c>
      <c r="T59" s="9">
        <f>COUNTIF(D59,"*_MAN_*")</f>
        <v>1</v>
      </c>
      <c r="U59" s="9">
        <f>(RIGHT(D59,4))*1</f>
        <v>60</v>
      </c>
      <c r="V59" s="9" t="str">
        <f>IFERROR(VLOOKUP(I59,#REF!,2,0),"Sinalização")</f>
        <v>Sinalização</v>
      </c>
    </row>
    <row r="60" spans="1:22" x14ac:dyDescent="0.25">
      <c r="A60" s="3" t="s">
        <v>22</v>
      </c>
      <c r="B60" s="4">
        <v>23445617</v>
      </c>
      <c r="C60" s="5" t="s">
        <v>23</v>
      </c>
      <c r="D60" s="6" t="s">
        <v>794</v>
      </c>
      <c r="E60" s="6" t="s">
        <v>25</v>
      </c>
      <c r="F60" s="11">
        <v>46171</v>
      </c>
      <c r="G60" s="6" t="s">
        <v>1079</v>
      </c>
      <c r="H60" s="7"/>
      <c r="I60" s="7" t="s">
        <v>802</v>
      </c>
      <c r="J60" s="7" t="s">
        <v>795</v>
      </c>
      <c r="K60" s="7" t="s">
        <v>29</v>
      </c>
      <c r="L60" s="3" t="str">
        <f>E60&amp;D60</f>
        <v>E.SP.IPAEE_MAN_CONF_S_I_SIST GRAV DE MANOB_0060</v>
      </c>
      <c r="M60" s="3" t="str">
        <f>IFERROR(MID(D60,SEARCH("S_I_",D60,1),3),"")</f>
        <v>S_I</v>
      </c>
      <c r="N60" s="3" t="str">
        <f>IFERROR(MID(D60,SEARCH("C_I_",D60,1),3),"")</f>
        <v/>
      </c>
      <c r="O60" s="3" t="str">
        <f>IF(AND(M60="",N60=""),"Extra","")</f>
        <v/>
      </c>
      <c r="P60" s="3" t="str">
        <f>IF(Q60=0,"TERCEIRO","MRS")</f>
        <v>MRS</v>
      </c>
      <c r="Q60" s="8" t="str">
        <f>IFERROR(VLOOKUP(L60,#REF!,4,0),"0,00")</f>
        <v>0,00</v>
      </c>
      <c r="R60" s="9" t="s">
        <v>42</v>
      </c>
      <c r="S60" s="9">
        <f>COUNTIF(D60,"*_SEG_*")</f>
        <v>0</v>
      </c>
      <c r="T60" s="9">
        <f>COUNTIF(D60,"*_MAN_*")</f>
        <v>1</v>
      </c>
      <c r="U60" s="9">
        <f>(RIGHT(D60,4))*1</f>
        <v>60</v>
      </c>
      <c r="V60" s="9" t="str">
        <f>IFERROR(VLOOKUP(I60,#REF!,2,0),"Sinalização")</f>
        <v>Sinalização</v>
      </c>
    </row>
    <row r="61" spans="1:22" x14ac:dyDescent="0.25">
      <c r="A61" s="3" t="s">
        <v>22</v>
      </c>
      <c r="B61" s="4">
        <v>23445618</v>
      </c>
      <c r="C61" s="5" t="s">
        <v>23</v>
      </c>
      <c r="D61" s="6" t="s">
        <v>794</v>
      </c>
      <c r="E61" s="6" t="s">
        <v>25</v>
      </c>
      <c r="F61" s="11">
        <v>46171</v>
      </c>
      <c r="G61" s="6" t="s">
        <v>1079</v>
      </c>
      <c r="H61" s="7"/>
      <c r="I61" s="7" t="s">
        <v>803</v>
      </c>
      <c r="J61" s="7" t="s">
        <v>795</v>
      </c>
      <c r="K61" s="7" t="s">
        <v>29</v>
      </c>
      <c r="L61" s="3" t="str">
        <f>E61&amp;D61</f>
        <v>E.SP.IPAEE_MAN_CONF_S_I_SIST GRAV DE MANOB_0060</v>
      </c>
      <c r="M61" s="3" t="str">
        <f>IFERROR(MID(D61,SEARCH("S_I_",D61,1),3),"")</f>
        <v>S_I</v>
      </c>
      <c r="N61" s="3" t="str">
        <f>IFERROR(MID(D61,SEARCH("C_I_",D61,1),3),"")</f>
        <v/>
      </c>
      <c r="O61" s="3" t="str">
        <f>IF(AND(M61="",N61=""),"Extra","")</f>
        <v/>
      </c>
      <c r="P61" s="3" t="str">
        <f>IF(Q61=0,"TERCEIRO","MRS")</f>
        <v>MRS</v>
      </c>
      <c r="Q61" s="8" t="str">
        <f>IFERROR(VLOOKUP(L61,#REF!,4,0),"0,00")</f>
        <v>0,00</v>
      </c>
      <c r="R61" s="9" t="s">
        <v>42</v>
      </c>
      <c r="S61" s="9">
        <f>COUNTIF(D61,"*_SEG_*")</f>
        <v>0</v>
      </c>
      <c r="T61" s="9">
        <f>COUNTIF(D61,"*_MAN_*")</f>
        <v>1</v>
      </c>
      <c r="U61" s="9">
        <f>(RIGHT(D61,4))*1</f>
        <v>60</v>
      </c>
      <c r="V61" s="9" t="str">
        <f>IFERROR(VLOOKUP(I61,#REF!,2,0),"Sinalização")</f>
        <v>Sinalização</v>
      </c>
    </row>
    <row r="62" spans="1:22" x14ac:dyDescent="0.25">
      <c r="A62" s="3" t="s">
        <v>22</v>
      </c>
      <c r="B62" s="4">
        <v>22644739</v>
      </c>
      <c r="C62" s="5" t="s">
        <v>23</v>
      </c>
      <c r="D62" s="6" t="s">
        <v>49</v>
      </c>
      <c r="E62" s="6" t="s">
        <v>25</v>
      </c>
      <c r="F62" s="11">
        <v>46171</v>
      </c>
      <c r="G62" s="6" t="s">
        <v>1079</v>
      </c>
      <c r="H62" s="7"/>
      <c r="I62" s="7" t="s">
        <v>131</v>
      </c>
      <c r="J62" s="7" t="s">
        <v>51</v>
      </c>
      <c r="K62" s="7" t="s">
        <v>29</v>
      </c>
      <c r="L62" s="3" t="str">
        <f>E62&amp;D62</f>
        <v>E.SP.IPAEE_INS_CONF_C_I_BAT ESTAC SINAL_0360</v>
      </c>
      <c r="M62" s="3" t="str">
        <f>IFERROR(MID(D62,SEARCH("S_I_",D62,1),3),"")</f>
        <v/>
      </c>
      <c r="N62" s="3" t="str">
        <f>IFERROR(MID(D62,SEARCH("C_I_",D62,1),3),"")</f>
        <v>C_I</v>
      </c>
      <c r="O62" s="3" t="str">
        <f>IF(AND(M62="",N62=""),"Extra","")</f>
        <v/>
      </c>
      <c r="P62" s="3" t="str">
        <f>IF(Q62=0,"TERCEIRO","MRS")</f>
        <v>MRS</v>
      </c>
      <c r="Q62" s="8" t="str">
        <f>IFERROR(VLOOKUP(L62,#REF!,4,0),"0,00")</f>
        <v>0,00</v>
      </c>
      <c r="R62" s="9" t="s">
        <v>42</v>
      </c>
      <c r="S62" s="9">
        <f>COUNTIF(D62,"*_SEG_*")</f>
        <v>0</v>
      </c>
      <c r="T62" s="9">
        <f>COUNTIF(D62,"*_MAN_*")</f>
        <v>0</v>
      </c>
      <c r="U62" s="9">
        <f>(RIGHT(D62,4))*1</f>
        <v>360</v>
      </c>
      <c r="V62" s="9" t="str">
        <f>IFERROR(VLOOKUP(I62,#REF!,2,0),"Sinalização")</f>
        <v>Sinalização</v>
      </c>
    </row>
    <row r="63" spans="1:22" x14ac:dyDescent="0.25">
      <c r="A63" s="3" t="s">
        <v>22</v>
      </c>
      <c r="B63" s="4">
        <v>22644740</v>
      </c>
      <c r="C63" s="5" t="s">
        <v>23</v>
      </c>
      <c r="D63" s="6" t="s">
        <v>49</v>
      </c>
      <c r="E63" s="6" t="s">
        <v>25</v>
      </c>
      <c r="F63" s="11">
        <v>46171</v>
      </c>
      <c r="G63" s="6" t="s">
        <v>1079</v>
      </c>
      <c r="H63" s="7"/>
      <c r="I63" s="7" t="s">
        <v>132</v>
      </c>
      <c r="J63" s="7" t="s">
        <v>51</v>
      </c>
      <c r="K63" s="7" t="s">
        <v>29</v>
      </c>
      <c r="L63" s="3" t="str">
        <f>E63&amp;D63</f>
        <v>E.SP.IPAEE_INS_CONF_C_I_BAT ESTAC SINAL_0360</v>
      </c>
      <c r="M63" s="3" t="str">
        <f>IFERROR(MID(D63,SEARCH("S_I_",D63,1),3),"")</f>
        <v/>
      </c>
      <c r="N63" s="3" t="str">
        <f>IFERROR(MID(D63,SEARCH("C_I_",D63,1),3),"")</f>
        <v>C_I</v>
      </c>
      <c r="O63" s="3" t="str">
        <f>IF(AND(M63="",N63=""),"Extra","")</f>
        <v/>
      </c>
      <c r="P63" s="3" t="str">
        <f>IF(Q63=0,"TERCEIRO","MRS")</f>
        <v>MRS</v>
      </c>
      <c r="Q63" s="8" t="str">
        <f>IFERROR(VLOOKUP(L63,#REF!,4,0),"0,00")</f>
        <v>0,00</v>
      </c>
      <c r="R63" s="9" t="s">
        <v>42</v>
      </c>
      <c r="S63" s="9">
        <f>COUNTIF(D63,"*_SEG_*")</f>
        <v>0</v>
      </c>
      <c r="T63" s="9">
        <f>COUNTIF(D63,"*_MAN_*")</f>
        <v>0</v>
      </c>
      <c r="U63" s="9">
        <f>(RIGHT(D63,4))*1</f>
        <v>360</v>
      </c>
      <c r="V63" s="9" t="str">
        <f>IFERROR(VLOOKUP(I63,#REF!,2,0),"Sinalização")</f>
        <v>Sinalização</v>
      </c>
    </row>
    <row r="64" spans="1:22" x14ac:dyDescent="0.25">
      <c r="A64" s="3" t="s">
        <v>22</v>
      </c>
      <c r="B64" s="4">
        <v>22644870</v>
      </c>
      <c r="C64" s="5" t="s">
        <v>23</v>
      </c>
      <c r="D64" s="6" t="s">
        <v>58</v>
      </c>
      <c r="E64" s="6" t="s">
        <v>25</v>
      </c>
      <c r="F64" s="11">
        <v>46171</v>
      </c>
      <c r="G64" s="6" t="s">
        <v>1079</v>
      </c>
      <c r="H64" s="7"/>
      <c r="I64" s="7" t="s">
        <v>133</v>
      </c>
      <c r="J64" s="7" t="s">
        <v>51</v>
      </c>
      <c r="K64" s="7" t="s">
        <v>29</v>
      </c>
      <c r="L64" s="3" t="str">
        <f>E64&amp;D64</f>
        <v>E.SP.IPAEE_INS_CONF_C_I_BAT ESTAC B-LFR_0360</v>
      </c>
      <c r="M64" s="3" t="str">
        <f>IFERROR(MID(D64,SEARCH("S_I_",D64,1),3),"")</f>
        <v/>
      </c>
      <c r="N64" s="3" t="str">
        <f>IFERROR(MID(D64,SEARCH("C_I_",D64,1),3),"")</f>
        <v>C_I</v>
      </c>
      <c r="O64" s="3" t="str">
        <f>IF(AND(M64="",N64=""),"Extra","")</f>
        <v/>
      </c>
      <c r="P64" s="3" t="str">
        <f>IF(Q64=0,"TERCEIRO","MRS")</f>
        <v>MRS</v>
      </c>
      <c r="Q64" s="8" t="str">
        <f>IFERROR(VLOOKUP(L64,#REF!,4,0),"0,00")</f>
        <v>0,00</v>
      </c>
      <c r="R64" s="9" t="s">
        <v>42</v>
      </c>
      <c r="S64" s="9">
        <f>COUNTIF(D64,"*_SEG_*")</f>
        <v>0</v>
      </c>
      <c r="T64" s="9">
        <f>COUNTIF(D64,"*_MAN_*")</f>
        <v>0</v>
      </c>
      <c r="U64" s="9">
        <f>(RIGHT(D64,4))*1</f>
        <v>360</v>
      </c>
      <c r="V64" s="9" t="str">
        <f>IFERROR(VLOOKUP(I64,#REF!,2,0),"Sinalização")</f>
        <v>Sinalização</v>
      </c>
    </row>
    <row r="65" spans="1:22" x14ac:dyDescent="0.25">
      <c r="A65" s="3" t="s">
        <v>22</v>
      </c>
      <c r="B65" s="4">
        <v>22645209</v>
      </c>
      <c r="C65" s="5" t="s">
        <v>23</v>
      </c>
      <c r="D65" s="6" t="s">
        <v>95</v>
      </c>
      <c r="E65" s="6" t="s">
        <v>25</v>
      </c>
      <c r="F65" s="11">
        <v>46171</v>
      </c>
      <c r="G65" s="6" t="s">
        <v>1079</v>
      </c>
      <c r="H65" s="7"/>
      <c r="I65" s="7" t="s">
        <v>134</v>
      </c>
      <c r="J65" s="7" t="s">
        <v>97</v>
      </c>
      <c r="K65" s="7" t="s">
        <v>29</v>
      </c>
      <c r="L65" s="3" t="str">
        <f>E65&amp;D65</f>
        <v>E.SP.IPAEE_MAN_CONF_S_I_QUADRO DISTR ENER_0360</v>
      </c>
      <c r="M65" s="3" t="str">
        <f>IFERROR(MID(D65,SEARCH("S_I_",D65,1),3),"")</f>
        <v>S_I</v>
      </c>
      <c r="N65" s="3" t="str">
        <f>IFERROR(MID(D65,SEARCH("C_I_",D65,1),3),"")</f>
        <v/>
      </c>
      <c r="O65" s="3" t="str">
        <f>IF(AND(M65="",N65=""),"Extra","")</f>
        <v/>
      </c>
      <c r="P65" s="3" t="str">
        <f>IF(Q65=0,"TERCEIRO","MRS")</f>
        <v>MRS</v>
      </c>
      <c r="Q65" s="8" t="str">
        <f>IFERROR(VLOOKUP(L65,#REF!,4,0),"0,00")</f>
        <v>0,00</v>
      </c>
      <c r="R65" s="9" t="s">
        <v>98</v>
      </c>
      <c r="S65" s="9">
        <f>COUNTIF(D65,"*_SEG_*")</f>
        <v>0</v>
      </c>
      <c r="T65" s="9">
        <f>COUNTIF(D65,"*_MAN_*")</f>
        <v>1</v>
      </c>
      <c r="U65" s="9">
        <f>(RIGHT(D65,4))*1</f>
        <v>360</v>
      </c>
      <c r="V65" s="9" t="str">
        <f>IFERROR(VLOOKUP(I65,#REF!,2,0),"Sinalização")</f>
        <v>Sinalização</v>
      </c>
    </row>
    <row r="66" spans="1:22" x14ac:dyDescent="0.25">
      <c r="A66" s="3" t="s">
        <v>22</v>
      </c>
      <c r="B66" s="4">
        <v>22645279</v>
      </c>
      <c r="C66" s="5" t="s">
        <v>23</v>
      </c>
      <c r="D66" s="6" t="s">
        <v>135</v>
      </c>
      <c r="E66" s="6" t="s">
        <v>25</v>
      </c>
      <c r="F66" s="11">
        <v>46171</v>
      </c>
      <c r="G66" s="6" t="s">
        <v>1079</v>
      </c>
      <c r="H66" s="7"/>
      <c r="I66" s="7" t="s">
        <v>136</v>
      </c>
      <c r="J66" s="7" t="s">
        <v>137</v>
      </c>
      <c r="K66" s="7" t="s">
        <v>29</v>
      </c>
      <c r="L66" s="3" t="str">
        <f>E66&amp;D66</f>
        <v>E.SP.IPAEE_MAN_CONF_S_I_MALHA ATERRAMENTO_0360</v>
      </c>
      <c r="M66" s="3" t="str">
        <f>IFERROR(MID(D66,SEARCH("S_I_",D66,1),3),"")</f>
        <v>S_I</v>
      </c>
      <c r="N66" s="3" t="str">
        <f>IFERROR(MID(D66,SEARCH("C_I_",D66,1),3),"")</f>
        <v/>
      </c>
      <c r="O66" s="3" t="str">
        <f>IF(AND(M66="",N66=""),"Extra","")</f>
        <v/>
      </c>
      <c r="P66" s="3" t="str">
        <f>IF(Q66=0,"TERCEIRO","MRS")</f>
        <v>MRS</v>
      </c>
      <c r="Q66" s="8" t="str">
        <f>IFERROR(VLOOKUP(L66,#REF!,4,0),"0,00")</f>
        <v>0,00</v>
      </c>
      <c r="R66" s="9" t="s">
        <v>42</v>
      </c>
      <c r="S66" s="9">
        <f>COUNTIF(D66,"*_SEG_*")</f>
        <v>0</v>
      </c>
      <c r="T66" s="9">
        <f>COUNTIF(D66,"*_MAN_*")</f>
        <v>1</v>
      </c>
      <c r="U66" s="9">
        <f>(RIGHT(D66,4))*1</f>
        <v>360</v>
      </c>
      <c r="V66" s="9" t="str">
        <f>IFERROR(VLOOKUP(I66,#REF!,2,0),"Sinalização")</f>
        <v>Sinalização</v>
      </c>
    </row>
    <row r="67" spans="1:22" x14ac:dyDescent="0.25">
      <c r="A67" s="3" t="s">
        <v>22</v>
      </c>
      <c r="B67" s="4">
        <v>22645280</v>
      </c>
      <c r="C67" s="5" t="s">
        <v>23</v>
      </c>
      <c r="D67" s="6" t="s">
        <v>135</v>
      </c>
      <c r="E67" s="6" t="s">
        <v>25</v>
      </c>
      <c r="F67" s="11">
        <v>46171</v>
      </c>
      <c r="G67" s="6" t="s">
        <v>1079</v>
      </c>
      <c r="H67" s="7"/>
      <c r="I67" s="7" t="s">
        <v>138</v>
      </c>
      <c r="J67" s="7" t="s">
        <v>137</v>
      </c>
      <c r="K67" s="7" t="s">
        <v>29</v>
      </c>
      <c r="L67" s="3" t="str">
        <f>E67&amp;D67</f>
        <v>E.SP.IPAEE_MAN_CONF_S_I_MALHA ATERRAMENTO_0360</v>
      </c>
      <c r="M67" s="3" t="str">
        <f>IFERROR(MID(D67,SEARCH("S_I_",D67,1),3),"")</f>
        <v>S_I</v>
      </c>
      <c r="N67" s="3" t="str">
        <f>IFERROR(MID(D67,SEARCH("C_I_",D67,1),3),"")</f>
        <v/>
      </c>
      <c r="O67" s="3" t="str">
        <f>IF(AND(M67="",N67=""),"Extra","")</f>
        <v/>
      </c>
      <c r="P67" s="3" t="str">
        <f>IF(Q67=0,"TERCEIRO","MRS")</f>
        <v>MRS</v>
      </c>
      <c r="Q67" s="8" t="str">
        <f>IFERROR(VLOOKUP(L67,#REF!,4,0),"0,00")</f>
        <v>0,00</v>
      </c>
      <c r="R67" s="9" t="s">
        <v>42</v>
      </c>
      <c r="S67" s="9">
        <f>COUNTIF(D67,"*_SEG_*")</f>
        <v>0</v>
      </c>
      <c r="T67" s="9">
        <f>COUNTIF(D67,"*_MAN_*")</f>
        <v>1</v>
      </c>
      <c r="U67" s="9">
        <f>(RIGHT(D67,4))*1</f>
        <v>360</v>
      </c>
      <c r="V67" s="9" t="str">
        <f>IFERROR(VLOOKUP(I67,#REF!,2,0),"Sinalização")</f>
        <v>Sinalização</v>
      </c>
    </row>
    <row r="68" spans="1:22" x14ac:dyDescent="0.25">
      <c r="A68" s="3" t="s">
        <v>22</v>
      </c>
      <c r="B68" s="4">
        <v>22645281</v>
      </c>
      <c r="C68" s="5" t="s">
        <v>23</v>
      </c>
      <c r="D68" s="6" t="s">
        <v>135</v>
      </c>
      <c r="E68" s="6" t="s">
        <v>25</v>
      </c>
      <c r="F68" s="11">
        <v>46171</v>
      </c>
      <c r="G68" s="6" t="s">
        <v>1079</v>
      </c>
      <c r="H68" s="7"/>
      <c r="I68" s="7" t="s">
        <v>139</v>
      </c>
      <c r="J68" s="7" t="s">
        <v>137</v>
      </c>
      <c r="K68" s="7" t="s">
        <v>29</v>
      </c>
      <c r="L68" s="3" t="str">
        <f>E68&amp;D68</f>
        <v>E.SP.IPAEE_MAN_CONF_S_I_MALHA ATERRAMENTO_0360</v>
      </c>
      <c r="M68" s="3" t="str">
        <f>IFERROR(MID(D68,SEARCH("S_I_",D68,1),3),"")</f>
        <v>S_I</v>
      </c>
      <c r="N68" s="3" t="str">
        <f>IFERROR(MID(D68,SEARCH("C_I_",D68,1),3),"")</f>
        <v/>
      </c>
      <c r="O68" s="3" t="str">
        <f>IF(AND(M68="",N68=""),"Extra","")</f>
        <v/>
      </c>
      <c r="P68" s="3" t="str">
        <f>IF(Q68=0,"TERCEIRO","MRS")</f>
        <v>MRS</v>
      </c>
      <c r="Q68" s="8" t="str">
        <f>IFERROR(VLOOKUP(L68,#REF!,4,0),"0,00")</f>
        <v>0,00</v>
      </c>
      <c r="R68" s="9" t="s">
        <v>42</v>
      </c>
      <c r="S68" s="9">
        <f>COUNTIF(D68,"*_SEG_*")</f>
        <v>0</v>
      </c>
      <c r="T68" s="9">
        <f>COUNTIF(D68,"*_MAN_*")</f>
        <v>1</v>
      </c>
      <c r="U68" s="9">
        <f>(RIGHT(D68,4))*1</f>
        <v>360</v>
      </c>
      <c r="V68" s="9" t="str">
        <f>IFERROR(VLOOKUP(I68,#REF!,2,0),"Sinalização")</f>
        <v>Sinalização</v>
      </c>
    </row>
    <row r="69" spans="1:22" x14ac:dyDescent="0.25">
      <c r="A69" s="3" t="s">
        <v>22</v>
      </c>
      <c r="B69" s="4">
        <v>22645308</v>
      </c>
      <c r="C69" s="5" t="s">
        <v>23</v>
      </c>
      <c r="D69" s="6" t="s">
        <v>135</v>
      </c>
      <c r="E69" s="6" t="s">
        <v>25</v>
      </c>
      <c r="F69" s="11">
        <v>46171</v>
      </c>
      <c r="G69" s="6" t="s">
        <v>1079</v>
      </c>
      <c r="H69" s="7"/>
      <c r="I69" s="7" t="s">
        <v>140</v>
      </c>
      <c r="J69" s="7" t="s">
        <v>137</v>
      </c>
      <c r="K69" s="7" t="s">
        <v>29</v>
      </c>
      <c r="L69" s="3" t="str">
        <f>E69&amp;D69</f>
        <v>E.SP.IPAEE_MAN_CONF_S_I_MALHA ATERRAMENTO_0360</v>
      </c>
      <c r="M69" s="3" t="str">
        <f>IFERROR(MID(D69,SEARCH("S_I_",D69,1),3),"")</f>
        <v>S_I</v>
      </c>
      <c r="N69" s="3" t="str">
        <f>IFERROR(MID(D69,SEARCH("C_I_",D69,1),3),"")</f>
        <v/>
      </c>
      <c r="O69" s="3" t="str">
        <f>IF(AND(M69="",N69=""),"Extra","")</f>
        <v/>
      </c>
      <c r="P69" s="3" t="str">
        <f>IF(Q69=0,"TERCEIRO","MRS")</f>
        <v>MRS</v>
      </c>
      <c r="Q69" s="8" t="str">
        <f>IFERROR(VLOOKUP(L69,#REF!,4,0),"0,00")</f>
        <v>0,00</v>
      </c>
      <c r="R69" s="9" t="s">
        <v>42</v>
      </c>
      <c r="S69" s="9">
        <f>COUNTIF(D69,"*_SEG_*")</f>
        <v>0</v>
      </c>
      <c r="T69" s="9">
        <f>COUNTIF(D69,"*_MAN_*")</f>
        <v>1</v>
      </c>
      <c r="U69" s="9">
        <f>(RIGHT(D69,4))*1</f>
        <v>360</v>
      </c>
      <c r="V69" s="9" t="str">
        <f>IFERROR(VLOOKUP(I69,#REF!,2,0),"Sinalização")</f>
        <v>Sinalização</v>
      </c>
    </row>
    <row r="70" spans="1:22" x14ac:dyDescent="0.25">
      <c r="A70" s="3" t="s">
        <v>22</v>
      </c>
      <c r="B70" s="4">
        <v>22645309</v>
      </c>
      <c r="C70" s="5" t="s">
        <v>23</v>
      </c>
      <c r="D70" s="6" t="s">
        <v>135</v>
      </c>
      <c r="E70" s="6" t="s">
        <v>25</v>
      </c>
      <c r="F70" s="11">
        <v>46171</v>
      </c>
      <c r="G70" s="6" t="s">
        <v>1079</v>
      </c>
      <c r="H70" s="7"/>
      <c r="I70" s="7" t="s">
        <v>141</v>
      </c>
      <c r="J70" s="7" t="s">
        <v>137</v>
      </c>
      <c r="K70" s="7" t="s">
        <v>29</v>
      </c>
      <c r="L70" s="3" t="str">
        <f>E70&amp;D70</f>
        <v>E.SP.IPAEE_MAN_CONF_S_I_MALHA ATERRAMENTO_0360</v>
      </c>
      <c r="M70" s="3" t="str">
        <f>IFERROR(MID(D70,SEARCH("S_I_",D70,1),3),"")</f>
        <v>S_I</v>
      </c>
      <c r="N70" s="3" t="str">
        <f>IFERROR(MID(D70,SEARCH("C_I_",D70,1),3),"")</f>
        <v/>
      </c>
      <c r="O70" s="3" t="str">
        <f>IF(AND(M70="",N70=""),"Extra","")</f>
        <v/>
      </c>
      <c r="P70" s="3" t="str">
        <f>IF(Q70=0,"TERCEIRO","MRS")</f>
        <v>MRS</v>
      </c>
      <c r="Q70" s="8" t="str">
        <f>IFERROR(VLOOKUP(L70,#REF!,4,0),"0,00")</f>
        <v>0,00</v>
      </c>
      <c r="R70" s="9" t="s">
        <v>42</v>
      </c>
      <c r="S70" s="9">
        <f>COUNTIF(D70,"*_SEG_*")</f>
        <v>0</v>
      </c>
      <c r="T70" s="9">
        <f>COUNTIF(D70,"*_MAN_*")</f>
        <v>1</v>
      </c>
      <c r="U70" s="9">
        <f>(RIGHT(D70,4))*1</f>
        <v>360</v>
      </c>
      <c r="V70" s="9" t="str">
        <f>IFERROR(VLOOKUP(I70,#REF!,2,0),"Sinalização")</f>
        <v>Sinalização</v>
      </c>
    </row>
    <row r="71" spans="1:22" x14ac:dyDescent="0.25">
      <c r="A71" s="3" t="s">
        <v>22</v>
      </c>
      <c r="B71" s="4">
        <v>22645310</v>
      </c>
      <c r="C71" s="5" t="s">
        <v>23</v>
      </c>
      <c r="D71" s="6" t="s">
        <v>135</v>
      </c>
      <c r="E71" s="6" t="s">
        <v>25</v>
      </c>
      <c r="F71" s="11">
        <v>46171</v>
      </c>
      <c r="G71" s="6" t="s">
        <v>1079</v>
      </c>
      <c r="H71" s="7"/>
      <c r="I71" s="7" t="s">
        <v>142</v>
      </c>
      <c r="J71" s="7" t="s">
        <v>137</v>
      </c>
      <c r="K71" s="7" t="s">
        <v>29</v>
      </c>
      <c r="L71" s="3" t="str">
        <f>E71&amp;D71</f>
        <v>E.SP.IPAEE_MAN_CONF_S_I_MALHA ATERRAMENTO_0360</v>
      </c>
      <c r="M71" s="3" t="str">
        <f>IFERROR(MID(D71,SEARCH("S_I_",D71,1),3),"")</f>
        <v>S_I</v>
      </c>
      <c r="N71" s="3" t="str">
        <f>IFERROR(MID(D71,SEARCH("C_I_",D71,1),3),"")</f>
        <v/>
      </c>
      <c r="O71" s="3" t="str">
        <f>IF(AND(M71="",N71=""),"Extra","")</f>
        <v/>
      </c>
      <c r="P71" s="3" t="str">
        <f>IF(Q71=0,"TERCEIRO","MRS")</f>
        <v>MRS</v>
      </c>
      <c r="Q71" s="8" t="str">
        <f>IFERROR(VLOOKUP(L71,#REF!,4,0),"0,00")</f>
        <v>0,00</v>
      </c>
      <c r="R71" s="9" t="s">
        <v>42</v>
      </c>
      <c r="S71" s="9">
        <f>COUNTIF(D71,"*_SEG_*")</f>
        <v>0</v>
      </c>
      <c r="T71" s="9">
        <f>COUNTIF(D71,"*_MAN_*")</f>
        <v>1</v>
      </c>
      <c r="U71" s="9">
        <f>(RIGHT(D71,4))*1</f>
        <v>360</v>
      </c>
      <c r="V71" s="9" t="str">
        <f>IFERROR(VLOOKUP(I71,#REF!,2,0),"Sinalização")</f>
        <v>Sinalização</v>
      </c>
    </row>
    <row r="72" spans="1:22" x14ac:dyDescent="0.25">
      <c r="A72" s="3" t="s">
        <v>22</v>
      </c>
      <c r="B72" s="4">
        <v>22645311</v>
      </c>
      <c r="C72" s="5" t="s">
        <v>23</v>
      </c>
      <c r="D72" s="6" t="s">
        <v>135</v>
      </c>
      <c r="E72" s="6" t="s">
        <v>25</v>
      </c>
      <c r="F72" s="11">
        <v>46171</v>
      </c>
      <c r="G72" s="6" t="s">
        <v>1079</v>
      </c>
      <c r="H72" s="7"/>
      <c r="I72" s="7" t="s">
        <v>143</v>
      </c>
      <c r="J72" s="7" t="s">
        <v>137</v>
      </c>
      <c r="K72" s="7" t="s">
        <v>29</v>
      </c>
      <c r="L72" s="3" t="str">
        <f>E72&amp;D72</f>
        <v>E.SP.IPAEE_MAN_CONF_S_I_MALHA ATERRAMENTO_0360</v>
      </c>
      <c r="M72" s="3" t="str">
        <f>IFERROR(MID(D72,SEARCH("S_I_",D72,1),3),"")</f>
        <v>S_I</v>
      </c>
      <c r="N72" s="3" t="str">
        <f>IFERROR(MID(D72,SEARCH("C_I_",D72,1),3),"")</f>
        <v/>
      </c>
      <c r="O72" s="3" t="str">
        <f>IF(AND(M72="",N72=""),"Extra","")</f>
        <v/>
      </c>
      <c r="P72" s="3" t="str">
        <f>IF(Q72=0,"TERCEIRO","MRS")</f>
        <v>MRS</v>
      </c>
      <c r="Q72" s="8" t="str">
        <f>IFERROR(VLOOKUP(L72,#REF!,4,0),"0,00")</f>
        <v>0,00</v>
      </c>
      <c r="R72" s="9" t="s">
        <v>42</v>
      </c>
      <c r="S72" s="9">
        <f>COUNTIF(D72,"*_SEG_*")</f>
        <v>0</v>
      </c>
      <c r="T72" s="9">
        <f>COUNTIF(D72,"*_MAN_*")</f>
        <v>1</v>
      </c>
      <c r="U72" s="9">
        <f>(RIGHT(D72,4))*1</f>
        <v>360</v>
      </c>
      <c r="V72" s="9" t="str">
        <f>IFERROR(VLOOKUP(I72,#REF!,2,0),"Sinalização")</f>
        <v>Sinalização</v>
      </c>
    </row>
    <row r="73" spans="1:22" x14ac:dyDescent="0.25">
      <c r="A73" s="3" t="s">
        <v>22</v>
      </c>
      <c r="B73" s="4">
        <v>22645680</v>
      </c>
      <c r="C73" s="5" t="s">
        <v>23</v>
      </c>
      <c r="D73" s="6" t="s">
        <v>144</v>
      </c>
      <c r="E73" s="6" t="s">
        <v>25</v>
      </c>
      <c r="F73" s="11">
        <v>46171</v>
      </c>
      <c r="G73" s="6" t="s">
        <v>1079</v>
      </c>
      <c r="H73" s="7"/>
      <c r="I73" s="7" t="s">
        <v>145</v>
      </c>
      <c r="J73" s="7" t="s">
        <v>146</v>
      </c>
      <c r="K73" s="7" t="s">
        <v>29</v>
      </c>
      <c r="L73" s="3" t="str">
        <f>E73&amp;D73</f>
        <v>E.SP.IPAEE_INS_CONF_C_I_BARRAMENTO 3KV_0360</v>
      </c>
      <c r="M73" s="3" t="str">
        <f>IFERROR(MID(D73,SEARCH("S_I_",D73,1),3),"")</f>
        <v/>
      </c>
      <c r="N73" s="3" t="str">
        <f>IFERROR(MID(D73,SEARCH("C_I_",D73,1),3),"")</f>
        <v>C_I</v>
      </c>
      <c r="O73" s="3" t="str">
        <f>IF(AND(M73="",N73=""),"Extra","")</f>
        <v/>
      </c>
      <c r="P73" s="3" t="str">
        <f>IF(Q73=0,"TERCEIRO","MRS")</f>
        <v>MRS</v>
      </c>
      <c r="Q73" s="8" t="str">
        <f>IFERROR(VLOOKUP(L73,#REF!,4,0),"0,00")</f>
        <v>0,00</v>
      </c>
      <c r="R73" s="9" t="s">
        <v>42</v>
      </c>
      <c r="S73" s="9">
        <f>COUNTIF(D73,"*_SEG_*")</f>
        <v>0</v>
      </c>
      <c r="T73" s="9">
        <f>COUNTIF(D73,"*_MAN_*")</f>
        <v>0</v>
      </c>
      <c r="U73" s="9">
        <f>(RIGHT(D73,4))*1</f>
        <v>360</v>
      </c>
      <c r="V73" s="9" t="str">
        <f>IFERROR(VLOOKUP(I73,#REF!,2,0),"Sinalização")</f>
        <v>Sinalização</v>
      </c>
    </row>
    <row r="74" spans="1:22" x14ac:dyDescent="0.25">
      <c r="A74" s="3" t="s">
        <v>22</v>
      </c>
      <c r="B74" s="4">
        <v>22645759</v>
      </c>
      <c r="C74" s="5" t="s">
        <v>23</v>
      </c>
      <c r="D74" s="6" t="s">
        <v>124</v>
      </c>
      <c r="E74" s="6" t="s">
        <v>25</v>
      </c>
      <c r="F74" s="11">
        <v>46171</v>
      </c>
      <c r="G74" s="6" t="s">
        <v>1079</v>
      </c>
      <c r="H74" s="7"/>
      <c r="I74" s="7" t="s">
        <v>147</v>
      </c>
      <c r="J74" s="7" t="s">
        <v>126</v>
      </c>
      <c r="K74" s="7" t="s">
        <v>29</v>
      </c>
      <c r="L74" s="3" t="str">
        <f>E74&amp;D74</f>
        <v>E.SP.IPAEE_INS_CONF_S_I_BL INT RELÉ S/ BAT_0360</v>
      </c>
      <c r="M74" s="3" t="str">
        <f>IFERROR(MID(D74,SEARCH("S_I_",D74,1),3),"")</f>
        <v>S_I</v>
      </c>
      <c r="N74" s="3" t="str">
        <f>IFERROR(MID(D74,SEARCH("C_I_",D74,1),3),"")</f>
        <v/>
      </c>
      <c r="O74" s="3" t="str">
        <f>IF(AND(M74="",N74=""),"Extra","")</f>
        <v/>
      </c>
      <c r="P74" s="3" t="str">
        <f>IF(Q74=0,"TERCEIRO","MRS")</f>
        <v>MRS</v>
      </c>
      <c r="Q74" s="8" t="str">
        <f>IFERROR(VLOOKUP(L74,#REF!,4,0),"0,00")</f>
        <v>0,00</v>
      </c>
      <c r="R74" s="9" t="s">
        <v>57</v>
      </c>
      <c r="S74" s="9">
        <f>COUNTIF(D74,"*_SEG_*")</f>
        <v>0</v>
      </c>
      <c r="T74" s="9">
        <f>COUNTIF(D74,"*_MAN_*")</f>
        <v>0</v>
      </c>
      <c r="U74" s="9">
        <f>(RIGHT(D74,4))*1</f>
        <v>360</v>
      </c>
      <c r="V74" s="9" t="str">
        <f>IFERROR(VLOOKUP(I74,#REF!,2,0),"Sinalização")</f>
        <v>Sinalização</v>
      </c>
    </row>
    <row r="75" spans="1:22" x14ac:dyDescent="0.25">
      <c r="A75" s="3" t="s">
        <v>22</v>
      </c>
      <c r="B75" s="4">
        <v>22645760</v>
      </c>
      <c r="C75" s="5" t="s">
        <v>23</v>
      </c>
      <c r="D75" s="6" t="s">
        <v>124</v>
      </c>
      <c r="E75" s="6" t="s">
        <v>25</v>
      </c>
      <c r="F75" s="11">
        <v>46171</v>
      </c>
      <c r="G75" s="6" t="s">
        <v>1079</v>
      </c>
      <c r="H75" s="7"/>
      <c r="I75" s="7" t="s">
        <v>148</v>
      </c>
      <c r="J75" s="7" t="s">
        <v>126</v>
      </c>
      <c r="K75" s="7" t="s">
        <v>29</v>
      </c>
      <c r="L75" s="3" t="str">
        <f>E75&amp;D75</f>
        <v>E.SP.IPAEE_INS_CONF_S_I_BL INT RELÉ S/ BAT_0360</v>
      </c>
      <c r="M75" s="3" t="str">
        <f>IFERROR(MID(D75,SEARCH("S_I_",D75,1),3),"")</f>
        <v>S_I</v>
      </c>
      <c r="N75" s="3" t="str">
        <f>IFERROR(MID(D75,SEARCH("C_I_",D75,1),3),"")</f>
        <v/>
      </c>
      <c r="O75" s="3" t="str">
        <f>IF(AND(M75="",N75=""),"Extra","")</f>
        <v/>
      </c>
      <c r="P75" s="3" t="str">
        <f>IF(Q75=0,"TERCEIRO","MRS")</f>
        <v>MRS</v>
      </c>
      <c r="Q75" s="8" t="str">
        <f>IFERROR(VLOOKUP(L75,#REF!,4,0),"0,00")</f>
        <v>0,00</v>
      </c>
      <c r="R75" s="9" t="s">
        <v>57</v>
      </c>
      <c r="S75" s="9">
        <f>COUNTIF(D75,"*_SEG_*")</f>
        <v>0</v>
      </c>
      <c r="T75" s="9">
        <f>COUNTIF(D75,"*_MAN_*")</f>
        <v>0</v>
      </c>
      <c r="U75" s="9">
        <f>(RIGHT(D75,4))*1</f>
        <v>360</v>
      </c>
      <c r="V75" s="9" t="str">
        <f>IFERROR(VLOOKUP(I75,#REF!,2,0),"Sinalização")</f>
        <v>Sinalização</v>
      </c>
    </row>
    <row r="76" spans="1:22" x14ac:dyDescent="0.25">
      <c r="A76" s="3" t="s">
        <v>22</v>
      </c>
      <c r="B76" s="4">
        <v>22645877</v>
      </c>
      <c r="C76" s="5" t="s">
        <v>23</v>
      </c>
      <c r="D76" s="6" t="s">
        <v>149</v>
      </c>
      <c r="E76" s="6" t="s">
        <v>25</v>
      </c>
      <c r="F76" s="11">
        <v>46171</v>
      </c>
      <c r="G76" s="6" t="s">
        <v>1079</v>
      </c>
      <c r="H76" s="7"/>
      <c r="I76" s="7" t="s">
        <v>150</v>
      </c>
      <c r="J76" s="7" t="s">
        <v>146</v>
      </c>
      <c r="K76" s="7" t="s">
        <v>29</v>
      </c>
      <c r="L76" s="3" t="str">
        <f>E76&amp;D76</f>
        <v>E.SP.IPAEE_MAN_CONF_C_I_CUBÍC FILTRO HARM_0360</v>
      </c>
      <c r="M76" s="3" t="str">
        <f>IFERROR(MID(D76,SEARCH("S_I_",D76,1),3),"")</f>
        <v/>
      </c>
      <c r="N76" s="3" t="str">
        <f>IFERROR(MID(D76,SEARCH("C_I_",D76,1),3),"")</f>
        <v>C_I</v>
      </c>
      <c r="O76" s="3" t="str">
        <f>IF(AND(M76="",N76=""),"Extra","")</f>
        <v/>
      </c>
      <c r="P76" s="3" t="str">
        <f>IF(Q76=0,"TERCEIRO","MRS")</f>
        <v>MRS</v>
      </c>
      <c r="Q76" s="8" t="str">
        <f>IFERROR(VLOOKUP(L76,#REF!,4,0),"0,00")</f>
        <v>0,00</v>
      </c>
      <c r="R76" s="9" t="s">
        <v>42</v>
      </c>
      <c r="S76" s="9">
        <f>COUNTIF(D76,"*_SEG_*")</f>
        <v>0</v>
      </c>
      <c r="T76" s="9">
        <f>COUNTIF(D76,"*_MAN_*")</f>
        <v>1</v>
      </c>
      <c r="U76" s="9">
        <f>(RIGHT(D76,4))*1</f>
        <v>360</v>
      </c>
      <c r="V76" s="9" t="str">
        <f>IFERROR(VLOOKUP(I76,#REF!,2,0),"Sinalização")</f>
        <v>Sinalização</v>
      </c>
    </row>
    <row r="77" spans="1:22" x14ac:dyDescent="0.25">
      <c r="A77" s="3" t="s">
        <v>22</v>
      </c>
      <c r="B77" s="4">
        <v>22645958</v>
      </c>
      <c r="C77" s="5" t="s">
        <v>23</v>
      </c>
      <c r="D77" s="6" t="s">
        <v>82</v>
      </c>
      <c r="E77" s="6" t="s">
        <v>25</v>
      </c>
      <c r="F77" s="11">
        <v>46171</v>
      </c>
      <c r="G77" s="6" t="s">
        <v>1079</v>
      </c>
      <c r="H77" s="7"/>
      <c r="I77" s="7" t="s">
        <v>151</v>
      </c>
      <c r="J77" s="7" t="s">
        <v>84</v>
      </c>
      <c r="K77" s="7" t="s">
        <v>29</v>
      </c>
      <c r="L77" s="3" t="str">
        <f>E77&amp;D77</f>
        <v>E.SP.IPAEE_MAN_CONF_C_I_INTERLOCK SUBEST_0360</v>
      </c>
      <c r="M77" s="3" t="str">
        <f>IFERROR(MID(D77,SEARCH("S_I_",D77,1),3),"")</f>
        <v/>
      </c>
      <c r="N77" s="3" t="str">
        <f>IFERROR(MID(D77,SEARCH("C_I_",D77,1),3),"")</f>
        <v>C_I</v>
      </c>
      <c r="O77" s="3" t="str">
        <f>IF(AND(M77="",N77=""),"Extra","")</f>
        <v/>
      </c>
      <c r="P77" s="3" t="str">
        <f>IF(Q77=0,"TERCEIRO","MRS")</f>
        <v>MRS</v>
      </c>
      <c r="Q77" s="8" t="str">
        <f>IFERROR(VLOOKUP(L77,#REF!,4,0),"0,00")</f>
        <v>0,00</v>
      </c>
      <c r="R77" s="9" t="s">
        <v>42</v>
      </c>
      <c r="S77" s="9">
        <f>COUNTIF(D77,"*_SEG_*")</f>
        <v>0</v>
      </c>
      <c r="T77" s="9">
        <f>COUNTIF(D77,"*_MAN_*")</f>
        <v>1</v>
      </c>
      <c r="U77" s="9">
        <f>(RIGHT(D77,4))*1</f>
        <v>360</v>
      </c>
      <c r="V77" s="9" t="str">
        <f>IFERROR(VLOOKUP(I77,#REF!,2,0),"Sinalização")</f>
        <v>Sinalização</v>
      </c>
    </row>
    <row r="78" spans="1:22" x14ac:dyDescent="0.25">
      <c r="A78" s="3" t="s">
        <v>22</v>
      </c>
      <c r="B78" s="4">
        <v>22646064</v>
      </c>
      <c r="C78" s="5" t="s">
        <v>23</v>
      </c>
      <c r="D78" s="6" t="s">
        <v>105</v>
      </c>
      <c r="E78" s="6" t="s">
        <v>25</v>
      </c>
      <c r="F78" s="11">
        <v>46171</v>
      </c>
      <c r="G78" s="6" t="s">
        <v>1079</v>
      </c>
      <c r="H78" s="7"/>
      <c r="I78" s="7" t="s">
        <v>152</v>
      </c>
      <c r="J78" s="7" t="s">
        <v>107</v>
      </c>
      <c r="K78" s="7" t="s">
        <v>29</v>
      </c>
      <c r="L78" s="3" t="str">
        <f>E78&amp;D78</f>
        <v>E.SP.IPAEE_INS_CONF_S_I_LOG PR C.PROGR REM_0360</v>
      </c>
      <c r="M78" s="3" t="str">
        <f>IFERROR(MID(D78,SEARCH("S_I_",D78,1),3),"")</f>
        <v>S_I</v>
      </c>
      <c r="N78" s="3" t="str">
        <f>IFERROR(MID(D78,SEARCH("C_I_",D78,1),3),"")</f>
        <v/>
      </c>
      <c r="O78" s="3" t="str">
        <f>IF(AND(M78="",N78=""),"Extra","")</f>
        <v/>
      </c>
      <c r="P78" s="3" t="str">
        <f>IF(Q78=0,"TERCEIRO","MRS")</f>
        <v>MRS</v>
      </c>
      <c r="Q78" s="8" t="str">
        <f>IFERROR(VLOOKUP(L78,#REF!,4,0),"0,00")</f>
        <v>0,00</v>
      </c>
      <c r="R78" s="9" t="s">
        <v>42</v>
      </c>
      <c r="S78" s="9">
        <f>COUNTIF(D78,"*_SEG_*")</f>
        <v>0</v>
      </c>
      <c r="T78" s="9">
        <f>COUNTIF(D78,"*_MAN_*")</f>
        <v>0</v>
      </c>
      <c r="U78" s="9">
        <f>(RIGHT(D78,4))*1</f>
        <v>360</v>
      </c>
      <c r="V78" s="9" t="str">
        <f>IFERROR(VLOOKUP(I78,#REF!,2,0),"Sinalização")</f>
        <v>Sinalização</v>
      </c>
    </row>
    <row r="79" spans="1:22" x14ac:dyDescent="0.25">
      <c r="A79" s="3" t="s">
        <v>22</v>
      </c>
      <c r="B79" s="4">
        <v>22646191</v>
      </c>
      <c r="C79" s="5" t="s">
        <v>23</v>
      </c>
      <c r="D79" s="6" t="s">
        <v>85</v>
      </c>
      <c r="E79" s="6" t="s">
        <v>25</v>
      </c>
      <c r="F79" s="11">
        <v>46171</v>
      </c>
      <c r="G79" s="6" t="s">
        <v>1079</v>
      </c>
      <c r="H79" s="7"/>
      <c r="I79" s="7" t="s">
        <v>153</v>
      </c>
      <c r="J79" s="7" t="s">
        <v>87</v>
      </c>
      <c r="K79" s="7" t="s">
        <v>29</v>
      </c>
      <c r="L79" s="3" t="str">
        <f>E79&amp;D79</f>
        <v>E.SP.IPAEE_INS_CONF_S_I_BATERIAS_0360</v>
      </c>
      <c r="M79" s="3" t="str">
        <f>IFERROR(MID(D79,SEARCH("S_I_",D79,1),3),"")</f>
        <v>S_I</v>
      </c>
      <c r="N79" s="3" t="str">
        <f>IFERROR(MID(D79,SEARCH("C_I_",D79,1),3),"")</f>
        <v/>
      </c>
      <c r="O79" s="3" t="str">
        <f>IF(AND(M79="",N79=""),"Extra","")</f>
        <v/>
      </c>
      <c r="P79" s="3" t="str">
        <f>IF(Q79=0,"TERCEIRO","MRS")</f>
        <v>MRS</v>
      </c>
      <c r="Q79" s="8" t="str">
        <f>IFERROR(VLOOKUP(L79,#REF!,4,0),"0,00")</f>
        <v>0,00</v>
      </c>
      <c r="R79" s="9" t="s">
        <v>42</v>
      </c>
      <c r="S79" s="9">
        <f>COUNTIF(D79,"*_SEG_*")</f>
        <v>0</v>
      </c>
      <c r="T79" s="9">
        <f>COUNTIF(D79,"*_MAN_*")</f>
        <v>0</v>
      </c>
      <c r="U79" s="9">
        <f>(RIGHT(D79,4))*1</f>
        <v>360</v>
      </c>
      <c r="V79" s="9" t="str">
        <f>IFERROR(VLOOKUP(I79,#REF!,2,0),"Sinalização")</f>
        <v>Sinalização</v>
      </c>
    </row>
    <row r="80" spans="1:22" x14ac:dyDescent="0.25">
      <c r="A80" s="3" t="s">
        <v>22</v>
      </c>
      <c r="B80" s="4">
        <v>22646193</v>
      </c>
      <c r="C80" s="5" t="s">
        <v>23</v>
      </c>
      <c r="D80" s="6" t="s">
        <v>85</v>
      </c>
      <c r="E80" s="6" t="s">
        <v>25</v>
      </c>
      <c r="F80" s="11">
        <v>46171</v>
      </c>
      <c r="G80" s="6" t="s">
        <v>1079</v>
      </c>
      <c r="H80" s="7"/>
      <c r="I80" s="7" t="s">
        <v>154</v>
      </c>
      <c r="J80" s="7" t="s">
        <v>87</v>
      </c>
      <c r="K80" s="7" t="s">
        <v>29</v>
      </c>
      <c r="L80" s="3" t="str">
        <f>E80&amp;D80</f>
        <v>E.SP.IPAEE_INS_CONF_S_I_BATERIAS_0360</v>
      </c>
      <c r="M80" s="3" t="str">
        <f>IFERROR(MID(D80,SEARCH("S_I_",D80,1),3),"")</f>
        <v>S_I</v>
      </c>
      <c r="N80" s="3" t="str">
        <f>IFERROR(MID(D80,SEARCH("C_I_",D80,1),3),"")</f>
        <v/>
      </c>
      <c r="O80" s="3" t="str">
        <f>IF(AND(M80="",N80=""),"Extra","")</f>
        <v/>
      </c>
      <c r="P80" s="3" t="str">
        <f>IF(Q80=0,"TERCEIRO","MRS")</f>
        <v>MRS</v>
      </c>
      <c r="Q80" s="8" t="str">
        <f>IFERROR(VLOOKUP(L80,#REF!,4,0),"0,00")</f>
        <v>0,00</v>
      </c>
      <c r="R80" s="9" t="s">
        <v>42</v>
      </c>
      <c r="S80" s="9">
        <f>COUNTIF(D80,"*_SEG_*")</f>
        <v>0</v>
      </c>
      <c r="T80" s="9">
        <f>COUNTIF(D80,"*_MAN_*")</f>
        <v>0</v>
      </c>
      <c r="U80" s="9">
        <f>(RIGHT(D80,4))*1</f>
        <v>360</v>
      </c>
      <c r="V80" s="9" t="str">
        <f>IFERROR(VLOOKUP(I80,#REF!,2,0),"Sinalização")</f>
        <v>Sinalização</v>
      </c>
    </row>
    <row r="81" spans="1:22" x14ac:dyDescent="0.25">
      <c r="A81" s="3" t="s">
        <v>22</v>
      </c>
      <c r="B81" s="4">
        <v>22646405</v>
      </c>
      <c r="C81" s="5" t="s">
        <v>23</v>
      </c>
      <c r="D81" s="6" t="s">
        <v>61</v>
      </c>
      <c r="E81" s="6" t="s">
        <v>25</v>
      </c>
      <c r="F81" s="11">
        <v>46171</v>
      </c>
      <c r="G81" s="6" t="s">
        <v>1079</v>
      </c>
      <c r="H81" s="7"/>
      <c r="I81" s="7" t="s">
        <v>155</v>
      </c>
      <c r="J81" s="7" t="s">
        <v>63</v>
      </c>
      <c r="K81" s="7" t="s">
        <v>29</v>
      </c>
      <c r="L81" s="3" t="str">
        <f>E81&amp;D81</f>
        <v>E.SP.IPAEE_INS_CONF_S_I_BAT ESTAC BDD_0360</v>
      </c>
      <c r="M81" s="3" t="str">
        <f>IFERROR(MID(D81,SEARCH("S_I_",D81,1),3),"")</f>
        <v>S_I</v>
      </c>
      <c r="N81" s="3" t="str">
        <f>IFERROR(MID(D81,SEARCH("C_I_",D81,1),3),"")</f>
        <v/>
      </c>
      <c r="O81" s="3" t="str">
        <f>IF(AND(M81="",N81=""),"Extra","")</f>
        <v/>
      </c>
      <c r="P81" s="3" t="str">
        <f>IF(Q81=0,"TERCEIRO","MRS")</f>
        <v>MRS</v>
      </c>
      <c r="Q81" s="8" t="str">
        <f>IFERROR(VLOOKUP(L81,#REF!,4,0),"0,00")</f>
        <v>0,00</v>
      </c>
      <c r="R81" s="9" t="s">
        <v>42</v>
      </c>
      <c r="S81" s="9">
        <f>COUNTIF(D81,"*_SEG_*")</f>
        <v>0</v>
      </c>
      <c r="T81" s="9">
        <f>COUNTIF(D81,"*_MAN_*")</f>
        <v>0</v>
      </c>
      <c r="U81" s="9">
        <f>(RIGHT(D81,4))*1</f>
        <v>360</v>
      </c>
      <c r="V81" s="9" t="str">
        <f>IFERROR(VLOOKUP(I81,#REF!,2,0),"Sinalização")</f>
        <v>Sinalização</v>
      </c>
    </row>
    <row r="82" spans="1:22" x14ac:dyDescent="0.25">
      <c r="A82" s="3" t="s">
        <v>22</v>
      </c>
      <c r="B82" s="4">
        <v>22646408</v>
      </c>
      <c r="C82" s="5" t="s">
        <v>23</v>
      </c>
      <c r="D82" s="6" t="s">
        <v>61</v>
      </c>
      <c r="E82" s="6" t="s">
        <v>25</v>
      </c>
      <c r="F82" s="11">
        <v>46171</v>
      </c>
      <c r="G82" s="6" t="s">
        <v>1079</v>
      </c>
      <c r="H82" s="7"/>
      <c r="I82" s="7" t="s">
        <v>156</v>
      </c>
      <c r="J82" s="7" t="s">
        <v>63</v>
      </c>
      <c r="K82" s="7" t="s">
        <v>29</v>
      </c>
      <c r="L82" s="3" t="str">
        <f>E82&amp;D82</f>
        <v>E.SP.IPAEE_INS_CONF_S_I_BAT ESTAC BDD_0360</v>
      </c>
      <c r="M82" s="3" t="str">
        <f>IFERROR(MID(D82,SEARCH("S_I_",D82,1),3),"")</f>
        <v>S_I</v>
      </c>
      <c r="N82" s="3" t="str">
        <f>IFERROR(MID(D82,SEARCH("C_I_",D82,1),3),"")</f>
        <v/>
      </c>
      <c r="O82" s="3" t="str">
        <f>IF(AND(M82="",N82=""),"Extra","")</f>
        <v/>
      </c>
      <c r="P82" s="3" t="str">
        <f>IF(Q82=0,"TERCEIRO","MRS")</f>
        <v>MRS</v>
      </c>
      <c r="Q82" s="8" t="str">
        <f>IFERROR(VLOOKUP(L82,#REF!,4,0),"0,00")</f>
        <v>0,00</v>
      </c>
      <c r="R82" s="9" t="s">
        <v>42</v>
      </c>
      <c r="S82" s="9">
        <f>COUNTIF(D82,"*_SEG_*")</f>
        <v>0</v>
      </c>
      <c r="T82" s="9">
        <f>COUNTIF(D82,"*_MAN_*")</f>
        <v>0</v>
      </c>
      <c r="U82" s="9">
        <f>(RIGHT(D82,4))*1</f>
        <v>360</v>
      </c>
      <c r="V82" s="9" t="str">
        <f>IFERROR(VLOOKUP(I82,#REF!,2,0),"Sinalização")</f>
        <v>Sinalização</v>
      </c>
    </row>
    <row r="83" spans="1:22" x14ac:dyDescent="0.25">
      <c r="A83" s="3" t="s">
        <v>22</v>
      </c>
      <c r="B83" s="4">
        <v>22646409</v>
      </c>
      <c r="C83" s="5" t="s">
        <v>23</v>
      </c>
      <c r="D83" s="6" t="s">
        <v>61</v>
      </c>
      <c r="E83" s="6" t="s">
        <v>25</v>
      </c>
      <c r="F83" s="11">
        <v>46171</v>
      </c>
      <c r="G83" s="6" t="s">
        <v>1079</v>
      </c>
      <c r="H83" s="7"/>
      <c r="I83" s="7" t="s">
        <v>157</v>
      </c>
      <c r="J83" s="7" t="s">
        <v>63</v>
      </c>
      <c r="K83" s="7" t="s">
        <v>29</v>
      </c>
      <c r="L83" s="3" t="str">
        <f>E83&amp;D83</f>
        <v>E.SP.IPAEE_INS_CONF_S_I_BAT ESTAC BDD_0360</v>
      </c>
      <c r="M83" s="3" t="str">
        <f>IFERROR(MID(D83,SEARCH("S_I_",D83,1),3),"")</f>
        <v>S_I</v>
      </c>
      <c r="N83" s="3" t="str">
        <f>IFERROR(MID(D83,SEARCH("C_I_",D83,1),3),"")</f>
        <v/>
      </c>
      <c r="O83" s="3" t="str">
        <f>IF(AND(M83="",N83=""),"Extra","")</f>
        <v/>
      </c>
      <c r="P83" s="3" t="str">
        <f>IF(Q83=0,"TERCEIRO","MRS")</f>
        <v>MRS</v>
      </c>
      <c r="Q83" s="8" t="str">
        <f>IFERROR(VLOOKUP(L83,#REF!,4,0),"0,00")</f>
        <v>0,00</v>
      </c>
      <c r="R83" s="9" t="s">
        <v>42</v>
      </c>
      <c r="S83" s="9">
        <f>COUNTIF(D83,"*_SEG_*")</f>
        <v>0</v>
      </c>
      <c r="T83" s="9">
        <f>COUNTIF(D83,"*_MAN_*")</f>
        <v>0</v>
      </c>
      <c r="U83" s="9">
        <f>(RIGHT(D83,4))*1</f>
        <v>360</v>
      </c>
      <c r="V83" s="9" t="str">
        <f>IFERROR(VLOOKUP(I83,#REF!,2,0),"Sinalização")</f>
        <v>Sinalização</v>
      </c>
    </row>
    <row r="84" spans="1:22" x14ac:dyDescent="0.25">
      <c r="A84" s="3" t="s">
        <v>22</v>
      </c>
      <c r="B84" s="4">
        <v>22646410</v>
      </c>
      <c r="C84" s="5" t="s">
        <v>23</v>
      </c>
      <c r="D84" s="6" t="s">
        <v>61</v>
      </c>
      <c r="E84" s="6" t="s">
        <v>25</v>
      </c>
      <c r="F84" s="11">
        <v>46171</v>
      </c>
      <c r="G84" s="6" t="s">
        <v>1079</v>
      </c>
      <c r="H84" s="7"/>
      <c r="I84" s="7" t="s">
        <v>158</v>
      </c>
      <c r="J84" s="7" t="s">
        <v>63</v>
      </c>
      <c r="K84" s="7" t="s">
        <v>29</v>
      </c>
      <c r="L84" s="3" t="str">
        <f>E84&amp;D84</f>
        <v>E.SP.IPAEE_INS_CONF_S_I_BAT ESTAC BDD_0360</v>
      </c>
      <c r="M84" s="3" t="str">
        <f>IFERROR(MID(D84,SEARCH("S_I_",D84,1),3),"")</f>
        <v>S_I</v>
      </c>
      <c r="N84" s="3" t="str">
        <f>IFERROR(MID(D84,SEARCH("C_I_",D84,1),3),"")</f>
        <v/>
      </c>
      <c r="O84" s="3" t="str">
        <f>IF(AND(M84="",N84=""),"Extra","")</f>
        <v/>
      </c>
      <c r="P84" s="3" t="str">
        <f>IF(Q84=0,"TERCEIRO","MRS")</f>
        <v>MRS</v>
      </c>
      <c r="Q84" s="8" t="str">
        <f>IFERROR(VLOOKUP(L84,#REF!,4,0),"0,00")</f>
        <v>0,00</v>
      </c>
      <c r="R84" s="9" t="s">
        <v>42</v>
      </c>
      <c r="S84" s="9">
        <f>COUNTIF(D84,"*_SEG_*")</f>
        <v>0</v>
      </c>
      <c r="T84" s="9">
        <f>COUNTIF(D84,"*_MAN_*")</f>
        <v>0</v>
      </c>
      <c r="U84" s="9">
        <f>(RIGHT(D84,4))*1</f>
        <v>360</v>
      </c>
      <c r="V84" s="9" t="str">
        <f>IFERROR(VLOOKUP(I84,#REF!,2,0),"Sinalização")</f>
        <v>Sinalização</v>
      </c>
    </row>
    <row r="85" spans="1:22" x14ac:dyDescent="0.25">
      <c r="A85" s="3" t="s">
        <v>22</v>
      </c>
      <c r="B85" s="4">
        <v>22646411</v>
      </c>
      <c r="C85" s="5" t="s">
        <v>23</v>
      </c>
      <c r="D85" s="6" t="s">
        <v>61</v>
      </c>
      <c r="E85" s="6" t="s">
        <v>25</v>
      </c>
      <c r="F85" s="11">
        <v>46171</v>
      </c>
      <c r="G85" s="6" t="s">
        <v>1079</v>
      </c>
      <c r="H85" s="7"/>
      <c r="I85" s="7" t="s">
        <v>159</v>
      </c>
      <c r="J85" s="7" t="s">
        <v>63</v>
      </c>
      <c r="K85" s="7" t="s">
        <v>29</v>
      </c>
      <c r="L85" s="3" t="str">
        <f>E85&amp;D85</f>
        <v>E.SP.IPAEE_INS_CONF_S_I_BAT ESTAC BDD_0360</v>
      </c>
      <c r="M85" s="3" t="str">
        <f>IFERROR(MID(D85,SEARCH("S_I_",D85,1),3),"")</f>
        <v>S_I</v>
      </c>
      <c r="N85" s="3" t="str">
        <f>IFERROR(MID(D85,SEARCH("C_I_",D85,1),3),"")</f>
        <v/>
      </c>
      <c r="O85" s="3" t="str">
        <f>IF(AND(M85="",N85=""),"Extra","")</f>
        <v/>
      </c>
      <c r="P85" s="3" t="str">
        <f>IF(Q85=0,"TERCEIRO","MRS")</f>
        <v>MRS</v>
      </c>
      <c r="Q85" s="8" t="str">
        <f>IFERROR(VLOOKUP(L85,#REF!,4,0),"0,00")</f>
        <v>0,00</v>
      </c>
      <c r="R85" s="9" t="s">
        <v>42</v>
      </c>
      <c r="S85" s="9">
        <f>COUNTIF(D85,"*_SEG_*")</f>
        <v>0</v>
      </c>
      <c r="T85" s="9">
        <f>COUNTIF(D85,"*_MAN_*")</f>
        <v>0</v>
      </c>
      <c r="U85" s="9">
        <f>(RIGHT(D85,4))*1</f>
        <v>360</v>
      </c>
      <c r="V85" s="9" t="str">
        <f>IFERROR(VLOOKUP(I85,#REF!,2,0),"Sinalização")</f>
        <v>Sinalização</v>
      </c>
    </row>
    <row r="86" spans="1:22" x14ac:dyDescent="0.25">
      <c r="A86" s="3" t="s">
        <v>22</v>
      </c>
      <c r="B86" s="4">
        <v>22646412</v>
      </c>
      <c r="C86" s="5" t="s">
        <v>23</v>
      </c>
      <c r="D86" s="6" t="s">
        <v>61</v>
      </c>
      <c r="E86" s="6" t="s">
        <v>25</v>
      </c>
      <c r="F86" s="11">
        <v>46171</v>
      </c>
      <c r="G86" s="6" t="s">
        <v>1079</v>
      </c>
      <c r="H86" s="7"/>
      <c r="I86" s="7" t="s">
        <v>160</v>
      </c>
      <c r="J86" s="7" t="s">
        <v>63</v>
      </c>
      <c r="K86" s="7" t="s">
        <v>29</v>
      </c>
      <c r="L86" s="3" t="str">
        <f>E86&amp;D86</f>
        <v>E.SP.IPAEE_INS_CONF_S_I_BAT ESTAC BDD_0360</v>
      </c>
      <c r="M86" s="3" t="str">
        <f>IFERROR(MID(D86,SEARCH("S_I_",D86,1),3),"")</f>
        <v>S_I</v>
      </c>
      <c r="N86" s="3" t="str">
        <f>IFERROR(MID(D86,SEARCH("C_I_",D86,1),3),"")</f>
        <v/>
      </c>
      <c r="O86" s="3" t="str">
        <f>IF(AND(M86="",N86=""),"Extra","")</f>
        <v/>
      </c>
      <c r="P86" s="3" t="str">
        <f>IF(Q86=0,"TERCEIRO","MRS")</f>
        <v>MRS</v>
      </c>
      <c r="Q86" s="8" t="str">
        <f>IFERROR(VLOOKUP(L86,#REF!,4,0),"0,00")</f>
        <v>0,00</v>
      </c>
      <c r="R86" s="9" t="s">
        <v>42</v>
      </c>
      <c r="S86" s="9">
        <f>COUNTIF(D86,"*_SEG_*")</f>
        <v>0</v>
      </c>
      <c r="T86" s="9">
        <f>COUNTIF(D86,"*_MAN_*")</f>
        <v>0</v>
      </c>
      <c r="U86" s="9">
        <f>(RIGHT(D86,4))*1</f>
        <v>360</v>
      </c>
      <c r="V86" s="9" t="str">
        <f>IFERROR(VLOOKUP(I86,#REF!,2,0),"Sinalização")</f>
        <v>Sinalização</v>
      </c>
    </row>
    <row r="87" spans="1:22" x14ac:dyDescent="0.25">
      <c r="A87" s="3" t="s">
        <v>22</v>
      </c>
      <c r="B87" s="4">
        <v>22646417</v>
      </c>
      <c r="C87" s="5" t="s">
        <v>23</v>
      </c>
      <c r="D87" s="6" t="s">
        <v>61</v>
      </c>
      <c r="E87" s="6" t="s">
        <v>25</v>
      </c>
      <c r="F87" s="11">
        <v>46171</v>
      </c>
      <c r="G87" s="6" t="s">
        <v>1079</v>
      </c>
      <c r="H87" s="7"/>
      <c r="I87" s="7" t="s">
        <v>161</v>
      </c>
      <c r="J87" s="7" t="s">
        <v>63</v>
      </c>
      <c r="K87" s="7" t="s">
        <v>29</v>
      </c>
      <c r="L87" s="3" t="str">
        <f>E87&amp;D87</f>
        <v>E.SP.IPAEE_INS_CONF_S_I_BAT ESTAC BDD_0360</v>
      </c>
      <c r="M87" s="3" t="str">
        <f>IFERROR(MID(D87,SEARCH("S_I_",D87,1),3),"")</f>
        <v>S_I</v>
      </c>
      <c r="N87" s="3" t="str">
        <f>IFERROR(MID(D87,SEARCH("C_I_",D87,1),3),"")</f>
        <v/>
      </c>
      <c r="O87" s="3" t="str">
        <f>IF(AND(M87="",N87=""),"Extra","")</f>
        <v/>
      </c>
      <c r="P87" s="3" t="str">
        <f>IF(Q87=0,"TERCEIRO","MRS")</f>
        <v>MRS</v>
      </c>
      <c r="Q87" s="8" t="str">
        <f>IFERROR(VLOOKUP(L87,#REF!,4,0),"0,00")</f>
        <v>0,00</v>
      </c>
      <c r="R87" s="9" t="s">
        <v>42</v>
      </c>
      <c r="S87" s="9">
        <f>COUNTIF(D87,"*_SEG_*")</f>
        <v>0</v>
      </c>
      <c r="T87" s="9">
        <f>COUNTIF(D87,"*_MAN_*")</f>
        <v>0</v>
      </c>
      <c r="U87" s="9">
        <f>(RIGHT(D87,4))*1</f>
        <v>360</v>
      </c>
      <c r="V87" s="9" t="str">
        <f>IFERROR(VLOOKUP(I87,#REF!,2,0),"Sinalização")</f>
        <v>Sinalização</v>
      </c>
    </row>
    <row r="88" spans="1:22" x14ac:dyDescent="0.25">
      <c r="A88" s="3" t="s">
        <v>22</v>
      </c>
      <c r="B88" s="4">
        <v>22646434</v>
      </c>
      <c r="C88" s="5" t="s">
        <v>23</v>
      </c>
      <c r="D88" s="6" t="s">
        <v>66</v>
      </c>
      <c r="E88" s="6" t="s">
        <v>25</v>
      </c>
      <c r="F88" s="11">
        <v>46171</v>
      </c>
      <c r="G88" s="6" t="s">
        <v>1079</v>
      </c>
      <c r="H88" s="7"/>
      <c r="I88" s="7" t="s">
        <v>162</v>
      </c>
      <c r="J88" s="7" t="s">
        <v>68</v>
      </c>
      <c r="K88" s="7" t="s">
        <v>29</v>
      </c>
      <c r="L88" s="3" t="str">
        <f>E88&amp;D88</f>
        <v>E.SP.IPAEE_INS_CONF_S_I_SINAL L UNIFO CONT_0360</v>
      </c>
      <c r="M88" s="3" t="str">
        <f>IFERROR(MID(D88,SEARCH("S_I_",D88,1),3),"")</f>
        <v>S_I</v>
      </c>
      <c r="N88" s="3" t="str">
        <f>IFERROR(MID(D88,SEARCH("C_I_",D88,1),3),"")</f>
        <v/>
      </c>
      <c r="O88" s="3" t="str">
        <f>IF(AND(M88="",N88=""),"Extra","")</f>
        <v/>
      </c>
      <c r="P88" s="3" t="str">
        <f>IF(Q88=0,"TERCEIRO","MRS")</f>
        <v>MRS</v>
      </c>
      <c r="Q88" s="8" t="str">
        <f>IFERROR(VLOOKUP(L88,#REF!,4,0),"0,00")</f>
        <v>0,00</v>
      </c>
      <c r="R88" s="9" t="s">
        <v>57</v>
      </c>
      <c r="S88" s="9">
        <f>COUNTIF(D88,"*_SEG_*")</f>
        <v>0</v>
      </c>
      <c r="T88" s="9">
        <f>COUNTIF(D88,"*_MAN_*")</f>
        <v>0</v>
      </c>
      <c r="U88" s="9">
        <f>(RIGHT(D88,4))*1</f>
        <v>360</v>
      </c>
      <c r="V88" s="9" t="str">
        <f>IFERROR(VLOOKUP(I88,#REF!,2,0),"Sinalização")</f>
        <v>Sinalização</v>
      </c>
    </row>
    <row r="89" spans="1:22" x14ac:dyDescent="0.25">
      <c r="A89" s="3" t="s">
        <v>22</v>
      </c>
      <c r="B89" s="4">
        <v>22646435</v>
      </c>
      <c r="C89" s="5" t="s">
        <v>23</v>
      </c>
      <c r="D89" s="6" t="s">
        <v>66</v>
      </c>
      <c r="E89" s="6" t="s">
        <v>25</v>
      </c>
      <c r="F89" s="11">
        <v>46171</v>
      </c>
      <c r="G89" s="6" t="s">
        <v>1079</v>
      </c>
      <c r="H89" s="7"/>
      <c r="I89" s="7" t="s">
        <v>163</v>
      </c>
      <c r="J89" s="7" t="s">
        <v>68</v>
      </c>
      <c r="K89" s="7" t="s">
        <v>29</v>
      </c>
      <c r="L89" s="3" t="str">
        <f>E89&amp;D89</f>
        <v>E.SP.IPAEE_INS_CONF_S_I_SINAL L UNIFO CONT_0360</v>
      </c>
      <c r="M89" s="3" t="str">
        <f>IFERROR(MID(D89,SEARCH("S_I_",D89,1),3),"")</f>
        <v>S_I</v>
      </c>
      <c r="N89" s="3" t="str">
        <f>IFERROR(MID(D89,SEARCH("C_I_",D89,1),3),"")</f>
        <v/>
      </c>
      <c r="O89" s="3" t="str">
        <f>IF(AND(M89="",N89=""),"Extra","")</f>
        <v/>
      </c>
      <c r="P89" s="3" t="str">
        <f>IF(Q89=0,"TERCEIRO","MRS")</f>
        <v>MRS</v>
      </c>
      <c r="Q89" s="8" t="str">
        <f>IFERROR(VLOOKUP(L89,#REF!,4,0),"0,00")</f>
        <v>0,00</v>
      </c>
      <c r="R89" s="9" t="s">
        <v>57</v>
      </c>
      <c r="S89" s="9">
        <f>COUNTIF(D89,"*_SEG_*")</f>
        <v>0</v>
      </c>
      <c r="T89" s="9">
        <f>COUNTIF(D89,"*_MAN_*")</f>
        <v>0</v>
      </c>
      <c r="U89" s="9">
        <f>(RIGHT(D89,4))*1</f>
        <v>360</v>
      </c>
      <c r="V89" s="9" t="str">
        <f>IFERROR(VLOOKUP(I89,#REF!,2,0),"Sinalização")</f>
        <v>Sinalização</v>
      </c>
    </row>
    <row r="90" spans="1:22" x14ac:dyDescent="0.25">
      <c r="A90" s="3" t="s">
        <v>22</v>
      </c>
      <c r="B90" s="4">
        <v>22646438</v>
      </c>
      <c r="C90" s="5" t="s">
        <v>23</v>
      </c>
      <c r="D90" s="6" t="s">
        <v>164</v>
      </c>
      <c r="E90" s="6" t="s">
        <v>25</v>
      </c>
      <c r="F90" s="11">
        <v>46171</v>
      </c>
      <c r="G90" s="6" t="s">
        <v>1079</v>
      </c>
      <c r="H90" s="7"/>
      <c r="I90" s="7" t="s">
        <v>165</v>
      </c>
      <c r="J90" s="7" t="s">
        <v>166</v>
      </c>
      <c r="K90" s="7" t="s">
        <v>29</v>
      </c>
      <c r="L90" s="3" t="str">
        <f>E90&amp;D90</f>
        <v>E.SP.IPAEE_INS_CONF_C_I_DISJ AT SUBESTACAO_0360</v>
      </c>
      <c r="M90" s="3" t="str">
        <f>IFERROR(MID(D90,SEARCH("S_I_",D90,1),3),"")</f>
        <v/>
      </c>
      <c r="N90" s="3" t="str">
        <f>IFERROR(MID(D90,SEARCH("C_I_",D90,1),3),"")</f>
        <v>C_I</v>
      </c>
      <c r="O90" s="3" t="str">
        <f>IF(AND(M90="",N90=""),"Extra","")</f>
        <v/>
      </c>
      <c r="P90" s="3" t="str">
        <f>IF(Q90=0,"TERCEIRO","MRS")</f>
        <v>MRS</v>
      </c>
      <c r="Q90" s="8" t="str">
        <f>IFERROR(VLOOKUP(L90,#REF!,4,0),"0,00")</f>
        <v>0,00</v>
      </c>
      <c r="R90" s="9" t="s">
        <v>42</v>
      </c>
      <c r="S90" s="9">
        <f>COUNTIF(D90,"*_SEG_*")</f>
        <v>0</v>
      </c>
      <c r="T90" s="9">
        <f>COUNTIF(D90,"*_MAN_*")</f>
        <v>0</v>
      </c>
      <c r="U90" s="9">
        <f>(RIGHT(D90,4))*1</f>
        <v>360</v>
      </c>
      <c r="V90" s="9" t="str">
        <f>IFERROR(VLOOKUP(I90,#REF!,2,0),"Sinalização")</f>
        <v>Sinalização</v>
      </c>
    </row>
    <row r="91" spans="1:22" x14ac:dyDescent="0.25">
      <c r="A91" s="3" t="s">
        <v>22</v>
      </c>
      <c r="B91" s="4">
        <v>22646488</v>
      </c>
      <c r="C91" s="5" t="s">
        <v>23</v>
      </c>
      <c r="D91" s="6" t="s">
        <v>167</v>
      </c>
      <c r="E91" s="6" t="s">
        <v>25</v>
      </c>
      <c r="F91" s="11">
        <v>46171</v>
      </c>
      <c r="G91" s="6" t="s">
        <v>1079</v>
      </c>
      <c r="H91" s="7"/>
      <c r="I91" s="7" t="s">
        <v>168</v>
      </c>
      <c r="J91" s="7" t="s">
        <v>117</v>
      </c>
      <c r="K91" s="7" t="s">
        <v>29</v>
      </c>
      <c r="L91" s="3" t="str">
        <f>E91&amp;D91</f>
        <v>E.SP.IPAEE_INS_CONF_S_I_BAT ESTAC SGM_0360</v>
      </c>
      <c r="M91" s="3" t="str">
        <f>IFERROR(MID(D91,SEARCH("S_I_",D91,1),3),"")</f>
        <v>S_I</v>
      </c>
      <c r="N91" s="3" t="str">
        <f>IFERROR(MID(D91,SEARCH("C_I_",D91,1),3),"")</f>
        <v/>
      </c>
      <c r="O91" s="3" t="str">
        <f>IF(AND(M91="",N91=""),"Extra","")</f>
        <v/>
      </c>
      <c r="P91" s="3" t="str">
        <f>IF(Q91=0,"TERCEIRO","MRS")</f>
        <v>MRS</v>
      </c>
      <c r="Q91" s="8" t="str">
        <f>IFERROR(VLOOKUP(L91,#REF!,4,0),"0,00")</f>
        <v>0,00</v>
      </c>
      <c r="R91" s="9" t="s">
        <v>42</v>
      </c>
      <c r="S91" s="9">
        <f>COUNTIF(D91,"*_SEG_*")</f>
        <v>0</v>
      </c>
      <c r="T91" s="9">
        <f>COUNTIF(D91,"*_MAN_*")</f>
        <v>0</v>
      </c>
      <c r="U91" s="9">
        <f>(RIGHT(D91,4))*1</f>
        <v>360</v>
      </c>
      <c r="V91" s="9" t="str">
        <f>IFERROR(VLOOKUP(I91,#REF!,2,0),"Sinalização")</f>
        <v>Sinalização</v>
      </c>
    </row>
    <row r="92" spans="1:22" x14ac:dyDescent="0.25">
      <c r="A92" s="3" t="s">
        <v>22</v>
      </c>
      <c r="B92" s="4">
        <v>22646492</v>
      </c>
      <c r="C92" s="5" t="s">
        <v>23</v>
      </c>
      <c r="D92" s="6" t="s">
        <v>114</v>
      </c>
      <c r="E92" s="6" t="s">
        <v>25</v>
      </c>
      <c r="F92" s="11">
        <v>46171</v>
      </c>
      <c r="G92" s="6" t="s">
        <v>1079</v>
      </c>
      <c r="H92" s="7"/>
      <c r="I92" s="7" t="s">
        <v>169</v>
      </c>
      <c r="J92" s="7" t="s">
        <v>77</v>
      </c>
      <c r="K92" s="7" t="s">
        <v>29</v>
      </c>
      <c r="L92" s="3" t="str">
        <f>E92&amp;D92</f>
        <v>E.SP.IPAEE_MAN_CONF_S_I_BAT ESTAC RTU_0090</v>
      </c>
      <c r="M92" s="3" t="str">
        <f>IFERROR(MID(D92,SEARCH("S_I_",D92,1),3),"")</f>
        <v>S_I</v>
      </c>
      <c r="N92" s="3" t="str">
        <f>IFERROR(MID(D92,SEARCH("C_I_",D92,1),3),"")</f>
        <v/>
      </c>
      <c r="O92" s="3" t="str">
        <f>IF(AND(M92="",N92=""),"Extra","")</f>
        <v/>
      </c>
      <c r="P92" s="3" t="str">
        <f>IF(Q92=0,"TERCEIRO","MRS")</f>
        <v>MRS</v>
      </c>
      <c r="Q92" s="8" t="str">
        <f>IFERROR(VLOOKUP(L92,#REF!,4,0),"0,00")</f>
        <v>0,00</v>
      </c>
      <c r="R92" s="9" t="s">
        <v>42</v>
      </c>
      <c r="S92" s="9">
        <f>COUNTIF(D92,"*_SEG_*")</f>
        <v>0</v>
      </c>
      <c r="T92" s="9">
        <f>COUNTIF(D92,"*_MAN_*")</f>
        <v>1</v>
      </c>
      <c r="U92" s="9">
        <f>(RIGHT(D92,4))*1</f>
        <v>90</v>
      </c>
      <c r="V92" s="9" t="str">
        <f>IFERROR(VLOOKUP(I92,#REF!,2,0),"Sinalização")</f>
        <v>Sinalização</v>
      </c>
    </row>
    <row r="93" spans="1:22" x14ac:dyDescent="0.25">
      <c r="A93" s="3" t="s">
        <v>22</v>
      </c>
      <c r="B93" s="4">
        <v>22646496</v>
      </c>
      <c r="C93" s="5" t="s">
        <v>23</v>
      </c>
      <c r="D93" s="6" t="s">
        <v>170</v>
      </c>
      <c r="E93" s="6" t="s">
        <v>25</v>
      </c>
      <c r="F93" s="11">
        <v>46171</v>
      </c>
      <c r="G93" s="6" t="s">
        <v>1079</v>
      </c>
      <c r="H93" s="7"/>
      <c r="I93" s="7" t="s">
        <v>171</v>
      </c>
      <c r="J93" s="7" t="s">
        <v>113</v>
      </c>
      <c r="K93" s="7" t="s">
        <v>29</v>
      </c>
      <c r="L93" s="3" t="str">
        <f>E93&amp;D93</f>
        <v>E.SP.IPAEE_MAN_CONF_S_I_BAT ESTAC SGM_0360</v>
      </c>
      <c r="M93" s="3" t="str">
        <f>IFERROR(MID(D93,SEARCH("S_I_",D93,1),3),"")</f>
        <v>S_I</v>
      </c>
      <c r="N93" s="3" t="str">
        <f>IFERROR(MID(D93,SEARCH("C_I_",D93,1),3),"")</f>
        <v/>
      </c>
      <c r="O93" s="3" t="str">
        <f>IF(AND(M93="",N93=""),"Extra","")</f>
        <v/>
      </c>
      <c r="P93" s="3" t="str">
        <f>IF(Q93=0,"TERCEIRO","MRS")</f>
        <v>MRS</v>
      </c>
      <c r="Q93" s="8" t="str">
        <f>IFERROR(VLOOKUP(L93,#REF!,4,0),"0,00")</f>
        <v>0,00</v>
      </c>
      <c r="R93" s="9" t="s">
        <v>42</v>
      </c>
      <c r="S93" s="9">
        <f>COUNTIF(D93,"*_SEG_*")</f>
        <v>0</v>
      </c>
      <c r="T93" s="9">
        <f>COUNTIF(D93,"*_MAN_*")</f>
        <v>1</v>
      </c>
      <c r="U93" s="9">
        <f>(RIGHT(D93,4))*1</f>
        <v>360</v>
      </c>
      <c r="V93" s="9" t="str">
        <f>IFERROR(VLOOKUP(I93,#REF!,2,0),"Sinalização")</f>
        <v>Sinalização</v>
      </c>
    </row>
    <row r="94" spans="1:22" x14ac:dyDescent="0.25">
      <c r="A94" s="3" t="s">
        <v>22</v>
      </c>
      <c r="B94" s="4">
        <v>22646497</v>
      </c>
      <c r="C94" s="5" t="s">
        <v>23</v>
      </c>
      <c r="D94" s="6" t="s">
        <v>76</v>
      </c>
      <c r="E94" s="6" t="s">
        <v>25</v>
      </c>
      <c r="F94" s="11">
        <v>46171</v>
      </c>
      <c r="G94" s="6" t="s">
        <v>1079</v>
      </c>
      <c r="H94" s="7"/>
      <c r="I94" s="7" t="s">
        <v>131</v>
      </c>
      <c r="J94" s="7" t="s">
        <v>77</v>
      </c>
      <c r="K94" s="7" t="s">
        <v>29</v>
      </c>
      <c r="L94" s="3" t="str">
        <f>E94&amp;D94</f>
        <v>E.SP.IPAEE_MAN_CONF_S_I_BAT ESTAC SINAL_0090</v>
      </c>
      <c r="M94" s="3" t="str">
        <f>IFERROR(MID(D94,SEARCH("S_I_",D94,1),3),"")</f>
        <v>S_I</v>
      </c>
      <c r="N94" s="3" t="str">
        <f>IFERROR(MID(D94,SEARCH("C_I_",D94,1),3),"")</f>
        <v/>
      </c>
      <c r="O94" s="3" t="str">
        <f>IF(AND(M94="",N94=""),"Extra","")</f>
        <v/>
      </c>
      <c r="P94" s="3" t="str">
        <f>IF(Q94=0,"TERCEIRO","MRS")</f>
        <v>MRS</v>
      </c>
      <c r="Q94" s="8" t="str">
        <f>IFERROR(VLOOKUP(L94,#REF!,4,0),"0,00")</f>
        <v>0,00</v>
      </c>
      <c r="R94" s="9" t="s">
        <v>42</v>
      </c>
      <c r="S94" s="9">
        <f>COUNTIF(D94,"*_SEG_*")</f>
        <v>0</v>
      </c>
      <c r="T94" s="9">
        <f>COUNTIF(D94,"*_MAN_*")</f>
        <v>1</v>
      </c>
      <c r="U94" s="9">
        <f>(RIGHT(D94,4))*1</f>
        <v>90</v>
      </c>
      <c r="V94" s="9" t="str">
        <f>IFERROR(VLOOKUP(I94,#REF!,2,0),"Sinalização")</f>
        <v>Sinalização</v>
      </c>
    </row>
    <row r="95" spans="1:22" x14ac:dyDescent="0.25">
      <c r="A95" s="3" t="s">
        <v>22</v>
      </c>
      <c r="B95" s="4">
        <v>22646498</v>
      </c>
      <c r="C95" s="5" t="s">
        <v>23</v>
      </c>
      <c r="D95" s="6" t="s">
        <v>76</v>
      </c>
      <c r="E95" s="6" t="s">
        <v>25</v>
      </c>
      <c r="F95" s="11">
        <v>46171</v>
      </c>
      <c r="G95" s="6" t="s">
        <v>1079</v>
      </c>
      <c r="H95" s="7"/>
      <c r="I95" s="7" t="s">
        <v>132</v>
      </c>
      <c r="J95" s="7" t="s">
        <v>77</v>
      </c>
      <c r="K95" s="7" t="s">
        <v>29</v>
      </c>
      <c r="L95" s="3" t="str">
        <f>E95&amp;D95</f>
        <v>E.SP.IPAEE_MAN_CONF_S_I_BAT ESTAC SINAL_0090</v>
      </c>
      <c r="M95" s="3" t="str">
        <f>IFERROR(MID(D95,SEARCH("S_I_",D95,1),3),"")</f>
        <v>S_I</v>
      </c>
      <c r="N95" s="3" t="str">
        <f>IFERROR(MID(D95,SEARCH("C_I_",D95,1),3),"")</f>
        <v/>
      </c>
      <c r="O95" s="3" t="str">
        <f>IF(AND(M95="",N95=""),"Extra","")</f>
        <v/>
      </c>
      <c r="P95" s="3" t="str">
        <f>IF(Q95=0,"TERCEIRO","MRS")</f>
        <v>MRS</v>
      </c>
      <c r="Q95" s="8" t="str">
        <f>IFERROR(VLOOKUP(L95,#REF!,4,0),"0,00")</f>
        <v>0,00</v>
      </c>
      <c r="R95" s="9" t="s">
        <v>42</v>
      </c>
      <c r="S95" s="9">
        <f>COUNTIF(D95,"*_SEG_*")</f>
        <v>0</v>
      </c>
      <c r="T95" s="9">
        <f>COUNTIF(D95,"*_MAN_*")</f>
        <v>1</v>
      </c>
      <c r="U95" s="9">
        <f>(RIGHT(D95,4))*1</f>
        <v>90</v>
      </c>
      <c r="V95" s="9" t="str">
        <f>IFERROR(VLOOKUP(I95,#REF!,2,0),"Sinalização")</f>
        <v>Sinalização</v>
      </c>
    </row>
    <row r="96" spans="1:22" x14ac:dyDescent="0.25">
      <c r="A96" s="3" t="s">
        <v>22</v>
      </c>
      <c r="B96" s="4">
        <v>22646808</v>
      </c>
      <c r="C96" s="5" t="s">
        <v>23</v>
      </c>
      <c r="D96" s="6" t="s">
        <v>164</v>
      </c>
      <c r="E96" s="6" t="s">
        <v>25</v>
      </c>
      <c r="F96" s="11">
        <v>46171</v>
      </c>
      <c r="G96" s="6" t="s">
        <v>1079</v>
      </c>
      <c r="H96" s="7"/>
      <c r="I96" s="7" t="s">
        <v>172</v>
      </c>
      <c r="J96" s="7" t="s">
        <v>166</v>
      </c>
      <c r="K96" s="7" t="s">
        <v>29</v>
      </c>
      <c r="L96" s="3" t="str">
        <f>E96&amp;D96</f>
        <v>E.SP.IPAEE_INS_CONF_C_I_DISJ AT SUBESTACAO_0360</v>
      </c>
      <c r="M96" s="3" t="str">
        <f>IFERROR(MID(D96,SEARCH("S_I_",D96,1),3),"")</f>
        <v/>
      </c>
      <c r="N96" s="3" t="str">
        <f>IFERROR(MID(D96,SEARCH("C_I_",D96,1),3),"")</f>
        <v>C_I</v>
      </c>
      <c r="O96" s="3" t="str">
        <f>IF(AND(M96="",N96=""),"Extra","")</f>
        <v/>
      </c>
      <c r="P96" s="3" t="str">
        <f>IF(Q96=0,"TERCEIRO","MRS")</f>
        <v>MRS</v>
      </c>
      <c r="Q96" s="8" t="str">
        <f>IFERROR(VLOOKUP(L96,#REF!,4,0),"0,00")</f>
        <v>0,00</v>
      </c>
      <c r="R96" s="9" t="s">
        <v>42</v>
      </c>
      <c r="S96" s="9">
        <f>COUNTIF(D96,"*_SEG_*")</f>
        <v>0</v>
      </c>
      <c r="T96" s="9">
        <f>COUNTIF(D96,"*_MAN_*")</f>
        <v>0</v>
      </c>
      <c r="U96" s="9">
        <f>(RIGHT(D96,4))*1</f>
        <v>360</v>
      </c>
      <c r="V96" s="9" t="str">
        <f>IFERROR(VLOOKUP(I96,#REF!,2,0),"Sinalização")</f>
        <v>Sinalização</v>
      </c>
    </row>
    <row r="97" spans="1:22" x14ac:dyDescent="0.25">
      <c r="A97" s="3" t="s">
        <v>22</v>
      </c>
      <c r="B97" s="4">
        <v>23366789</v>
      </c>
      <c r="C97" s="5" t="s">
        <v>23</v>
      </c>
      <c r="D97" s="6" t="s">
        <v>576</v>
      </c>
      <c r="E97" s="6" t="s">
        <v>25</v>
      </c>
      <c r="F97" s="11">
        <v>46171</v>
      </c>
      <c r="G97" s="6" t="s">
        <v>1079</v>
      </c>
      <c r="H97" s="7"/>
      <c r="I97" s="7" t="s">
        <v>388</v>
      </c>
      <c r="J97" s="7" t="s">
        <v>578</v>
      </c>
      <c r="K97" s="7" t="s">
        <v>29</v>
      </c>
      <c r="L97" s="3" t="str">
        <f>E97&amp;D97</f>
        <v>E.SP.IPAEE_MAN_CONF_S_I_BL INT RELÉ S/ BAT_0090</v>
      </c>
      <c r="M97" s="3" t="str">
        <f>IFERROR(MID(D97,SEARCH("S_I_",D97,1),3),"")</f>
        <v>S_I</v>
      </c>
      <c r="N97" s="3" t="str">
        <f>IFERROR(MID(D97,SEARCH("C_I_",D97,1),3),"")</f>
        <v/>
      </c>
      <c r="O97" s="3" t="str">
        <f>IF(AND(M97="",N97=""),"Extra","")</f>
        <v/>
      </c>
      <c r="P97" s="3" t="str">
        <f>IF(Q97=0,"TERCEIRO","MRS")</f>
        <v>MRS</v>
      </c>
      <c r="Q97" s="8" t="str">
        <f>IFERROR(VLOOKUP(L97,#REF!,4,0),"0,00")</f>
        <v>0,00</v>
      </c>
      <c r="R97" s="9" t="s">
        <v>57</v>
      </c>
      <c r="S97" s="9">
        <f>COUNTIF(D97,"*_SEG_*")</f>
        <v>0</v>
      </c>
      <c r="T97" s="9">
        <f>COUNTIF(D97,"*_MAN_*")</f>
        <v>1</v>
      </c>
      <c r="U97" s="9">
        <f>(RIGHT(D97,4))*1</f>
        <v>90</v>
      </c>
      <c r="V97" s="9" t="str">
        <f>IFERROR(VLOOKUP(I97,#REF!,2,0),"Sinalização")</f>
        <v>Sinalização</v>
      </c>
    </row>
    <row r="98" spans="1:22" x14ac:dyDescent="0.25">
      <c r="A98" s="3" t="s">
        <v>22</v>
      </c>
      <c r="B98" s="4">
        <v>23366900</v>
      </c>
      <c r="C98" s="5" t="s">
        <v>23</v>
      </c>
      <c r="D98" s="6" t="s">
        <v>602</v>
      </c>
      <c r="E98" s="6" t="s">
        <v>25</v>
      </c>
      <c r="F98" s="11">
        <v>46171</v>
      </c>
      <c r="G98" s="6" t="s">
        <v>1079</v>
      </c>
      <c r="H98" s="7"/>
      <c r="I98" s="7" t="s">
        <v>772</v>
      </c>
      <c r="J98" s="7" t="s">
        <v>604</v>
      </c>
      <c r="K98" s="7" t="s">
        <v>29</v>
      </c>
      <c r="L98" s="3" t="str">
        <f>E98&amp;D98</f>
        <v>E.SP.IPAEE_MAN_CONF_S_I_COM ENER CHAN OVER_0090</v>
      </c>
      <c r="M98" s="3" t="str">
        <f>IFERROR(MID(D98,SEARCH("S_I_",D98,1),3),"")</f>
        <v>S_I</v>
      </c>
      <c r="N98" s="3" t="str">
        <f>IFERROR(MID(D98,SEARCH("C_I_",D98,1),3),"")</f>
        <v/>
      </c>
      <c r="O98" s="3" t="str">
        <f>IF(AND(M98="",N98=""),"Extra","")</f>
        <v/>
      </c>
      <c r="P98" s="3" t="str">
        <f>IF(Q98=0,"TERCEIRO","MRS")</f>
        <v>MRS</v>
      </c>
      <c r="Q98" s="8" t="str">
        <f>IFERROR(VLOOKUP(L98,#REF!,4,0),"0,00")</f>
        <v>0,00</v>
      </c>
      <c r="R98" s="9" t="s">
        <v>98</v>
      </c>
      <c r="S98" s="9">
        <f>COUNTIF(D98,"*_SEG_*")</f>
        <v>0</v>
      </c>
      <c r="T98" s="9">
        <f>COUNTIF(D98,"*_MAN_*")</f>
        <v>1</v>
      </c>
      <c r="U98" s="9">
        <f>(RIGHT(D98,4))*1</f>
        <v>90</v>
      </c>
      <c r="V98" s="9" t="str">
        <f>IFERROR(VLOOKUP(I98,#REF!,2,0),"Sinalização")</f>
        <v>Sinalização</v>
      </c>
    </row>
    <row r="99" spans="1:22" x14ac:dyDescent="0.25">
      <c r="A99" s="3" t="s">
        <v>22</v>
      </c>
      <c r="B99" s="4">
        <v>23366901</v>
      </c>
      <c r="C99" s="5" t="s">
        <v>23</v>
      </c>
      <c r="D99" s="6" t="s">
        <v>602</v>
      </c>
      <c r="E99" s="6" t="s">
        <v>25</v>
      </c>
      <c r="F99" s="11">
        <v>46171</v>
      </c>
      <c r="G99" s="6" t="s">
        <v>1079</v>
      </c>
      <c r="H99" s="7"/>
      <c r="I99" s="7" t="s">
        <v>773</v>
      </c>
      <c r="J99" s="7" t="s">
        <v>604</v>
      </c>
      <c r="K99" s="7" t="s">
        <v>29</v>
      </c>
      <c r="L99" s="3" t="str">
        <f>E99&amp;D99</f>
        <v>E.SP.IPAEE_MAN_CONF_S_I_COM ENER CHAN OVER_0090</v>
      </c>
      <c r="M99" s="3" t="str">
        <f>IFERROR(MID(D99,SEARCH("S_I_",D99,1),3),"")</f>
        <v>S_I</v>
      </c>
      <c r="N99" s="3" t="str">
        <f>IFERROR(MID(D99,SEARCH("C_I_",D99,1),3),"")</f>
        <v/>
      </c>
      <c r="O99" s="3" t="str">
        <f>IF(AND(M99="",N99=""),"Extra","")</f>
        <v/>
      </c>
      <c r="P99" s="3" t="str">
        <f>IF(Q99=0,"TERCEIRO","MRS")</f>
        <v>MRS</v>
      </c>
      <c r="Q99" s="8" t="str">
        <f>IFERROR(VLOOKUP(L99,#REF!,4,0),"0,00")</f>
        <v>0,00</v>
      </c>
      <c r="R99" s="9" t="s">
        <v>98</v>
      </c>
      <c r="S99" s="9">
        <f>COUNTIF(D99,"*_SEG_*")</f>
        <v>0</v>
      </c>
      <c r="T99" s="9">
        <f>COUNTIF(D99,"*_MAN_*")</f>
        <v>1</v>
      </c>
      <c r="U99" s="9">
        <f>(RIGHT(D99,4))*1</f>
        <v>90</v>
      </c>
      <c r="V99" s="9" t="str">
        <f>IFERROR(VLOOKUP(I99,#REF!,2,0),"Sinalização")</f>
        <v>Sinalização</v>
      </c>
    </row>
    <row r="100" spans="1:22" x14ac:dyDescent="0.25">
      <c r="A100" s="3" t="s">
        <v>22</v>
      </c>
      <c r="B100" s="4">
        <v>23366958</v>
      </c>
      <c r="C100" s="5" t="s">
        <v>23</v>
      </c>
      <c r="D100" s="6" t="s">
        <v>606</v>
      </c>
      <c r="E100" s="6" t="s">
        <v>25</v>
      </c>
      <c r="F100" s="11">
        <v>46171</v>
      </c>
      <c r="G100" s="6" t="s">
        <v>1079</v>
      </c>
      <c r="H100" s="7"/>
      <c r="I100" s="7" t="s">
        <v>40</v>
      </c>
      <c r="J100" s="7" t="s">
        <v>567</v>
      </c>
      <c r="K100" s="7" t="s">
        <v>29</v>
      </c>
      <c r="L100" s="3" t="str">
        <f>E100&amp;D100</f>
        <v>E.SP.IPAEE_INS_CONF_C_I_MCH 110V GRS 55BR R_0090</v>
      </c>
      <c r="M100" s="3" t="str">
        <f>IFERROR(MID(D100,SEARCH("S_I_",D100,1),3),"")</f>
        <v/>
      </c>
      <c r="N100" s="3" t="str">
        <f>IFERROR(MID(D100,SEARCH("C_I_",D100,1),3),"")</f>
        <v>C_I</v>
      </c>
      <c r="O100" s="3" t="str">
        <f>IF(AND(M100="",N100=""),"Extra","")</f>
        <v/>
      </c>
      <c r="P100" s="3" t="str">
        <f>IF(Q100=0,"TERCEIRO","MRS")</f>
        <v>MRS</v>
      </c>
      <c r="Q100" s="8" t="str">
        <f>IFERROR(VLOOKUP(L100,#REF!,4,0),"0,00")</f>
        <v>0,00</v>
      </c>
      <c r="R100" s="9" t="s">
        <v>42</v>
      </c>
      <c r="S100" s="9">
        <f>COUNTIF(D100,"*_SEG_*")</f>
        <v>0</v>
      </c>
      <c r="T100" s="9">
        <f>COUNTIF(D100,"*_MAN_*")</f>
        <v>0</v>
      </c>
      <c r="U100" s="9">
        <f>(RIGHT(D100,4))*1</f>
        <v>90</v>
      </c>
      <c r="V100" s="9" t="str">
        <f>IFERROR(VLOOKUP(I100,#REF!,2,0),"Sinalização")</f>
        <v>Sinalização</v>
      </c>
    </row>
    <row r="101" spans="1:22" x14ac:dyDescent="0.25">
      <c r="A101" s="3" t="s">
        <v>22</v>
      </c>
      <c r="B101" s="4">
        <v>23367213</v>
      </c>
      <c r="C101" s="5" t="s">
        <v>23</v>
      </c>
      <c r="D101" s="6" t="s">
        <v>709</v>
      </c>
      <c r="E101" s="6" t="s">
        <v>25</v>
      </c>
      <c r="F101" s="11">
        <v>46171</v>
      </c>
      <c r="G101" s="6" t="s">
        <v>1079</v>
      </c>
      <c r="H101" s="7"/>
      <c r="I101" s="7" t="s">
        <v>772</v>
      </c>
      <c r="J101" s="7" t="s">
        <v>711</v>
      </c>
      <c r="K101" s="7" t="s">
        <v>29</v>
      </c>
      <c r="L101" s="3" t="str">
        <f>E101&amp;D101</f>
        <v>E.SP.IPAEE_INS_CONF_C_I_COM ENER CHAN OVER_0090</v>
      </c>
      <c r="M101" s="3" t="str">
        <f>IFERROR(MID(D101,SEARCH("S_I_",D101,1),3),"")</f>
        <v/>
      </c>
      <c r="N101" s="3" t="str">
        <f>IFERROR(MID(D101,SEARCH("C_I_",D101,1),3),"")</f>
        <v>C_I</v>
      </c>
      <c r="O101" s="3" t="str">
        <f>IF(AND(M101="",N101=""),"Extra","")</f>
        <v/>
      </c>
      <c r="P101" s="3" t="str">
        <f>IF(Q101=0,"TERCEIRO","MRS")</f>
        <v>MRS</v>
      </c>
      <c r="Q101" s="8" t="str">
        <f>IFERROR(VLOOKUP(L101,#REF!,4,0),"0,00")</f>
        <v>0,00</v>
      </c>
      <c r="R101" s="9" t="s">
        <v>98</v>
      </c>
      <c r="S101" s="9">
        <f>COUNTIF(D101,"*_SEG_*")</f>
        <v>0</v>
      </c>
      <c r="T101" s="9">
        <f>COUNTIF(D101,"*_MAN_*")</f>
        <v>0</v>
      </c>
      <c r="U101" s="9">
        <f>(RIGHT(D101,4))*1</f>
        <v>90</v>
      </c>
      <c r="V101" s="9" t="str">
        <f>IFERROR(VLOOKUP(I101,#REF!,2,0),"Sinalização")</f>
        <v>Sinalização</v>
      </c>
    </row>
    <row r="102" spans="1:22" x14ac:dyDescent="0.25">
      <c r="A102" s="3" t="s">
        <v>22</v>
      </c>
      <c r="B102" s="4">
        <v>23367214</v>
      </c>
      <c r="C102" s="5" t="s">
        <v>23</v>
      </c>
      <c r="D102" s="6" t="s">
        <v>709</v>
      </c>
      <c r="E102" s="6" t="s">
        <v>25</v>
      </c>
      <c r="F102" s="11">
        <v>46171</v>
      </c>
      <c r="G102" s="6" t="s">
        <v>1079</v>
      </c>
      <c r="H102" s="7"/>
      <c r="I102" s="7" t="s">
        <v>773</v>
      </c>
      <c r="J102" s="7" t="s">
        <v>711</v>
      </c>
      <c r="K102" s="7" t="s">
        <v>29</v>
      </c>
      <c r="L102" s="3" t="str">
        <f>E102&amp;D102</f>
        <v>E.SP.IPAEE_INS_CONF_C_I_COM ENER CHAN OVER_0090</v>
      </c>
      <c r="M102" s="3" t="str">
        <f>IFERROR(MID(D102,SEARCH("S_I_",D102,1),3),"")</f>
        <v/>
      </c>
      <c r="N102" s="3" t="str">
        <f>IFERROR(MID(D102,SEARCH("C_I_",D102,1),3),"")</f>
        <v>C_I</v>
      </c>
      <c r="O102" s="3" t="str">
        <f>IF(AND(M102="",N102=""),"Extra","")</f>
        <v/>
      </c>
      <c r="P102" s="3" t="str">
        <f>IF(Q102=0,"TERCEIRO","MRS")</f>
        <v>MRS</v>
      </c>
      <c r="Q102" s="8" t="str">
        <f>IFERROR(VLOOKUP(L102,#REF!,4,0),"0,00")</f>
        <v>0,00</v>
      </c>
      <c r="R102" s="9" t="s">
        <v>98</v>
      </c>
      <c r="S102" s="9">
        <f>COUNTIF(D102,"*_SEG_*")</f>
        <v>0</v>
      </c>
      <c r="T102" s="9">
        <f>COUNTIF(D102,"*_MAN_*")</f>
        <v>0</v>
      </c>
      <c r="U102" s="9">
        <f>(RIGHT(D102,4))*1</f>
        <v>90</v>
      </c>
      <c r="V102" s="9" t="str">
        <f>IFERROR(VLOOKUP(I102,#REF!,2,0),"Sinalização")</f>
        <v>Sinalização</v>
      </c>
    </row>
    <row r="103" spans="1:22" x14ac:dyDescent="0.25">
      <c r="A103" s="3" t="s">
        <v>22</v>
      </c>
      <c r="B103" s="4">
        <v>23367574</v>
      </c>
      <c r="C103" s="5" t="s">
        <v>23</v>
      </c>
      <c r="D103" s="6" t="s">
        <v>656</v>
      </c>
      <c r="E103" s="6" t="s">
        <v>25</v>
      </c>
      <c r="F103" s="11">
        <v>46171</v>
      </c>
      <c r="G103" s="6" t="s">
        <v>1079</v>
      </c>
      <c r="H103" s="7"/>
      <c r="I103" s="7" t="s">
        <v>394</v>
      </c>
      <c r="J103" s="7" t="s">
        <v>525</v>
      </c>
      <c r="K103" s="7" t="s">
        <v>29</v>
      </c>
      <c r="L103" s="3" t="str">
        <f>E103&amp;D103</f>
        <v>E.SP.IPAEE_MAN_CONF_S_I_SINAL L UNIFO CONT_0090</v>
      </c>
      <c r="M103" s="3" t="str">
        <f>IFERROR(MID(D103,SEARCH("S_I_",D103,1),3),"")</f>
        <v>S_I</v>
      </c>
      <c r="N103" s="3" t="str">
        <f>IFERROR(MID(D103,SEARCH("C_I_",D103,1),3),"")</f>
        <v/>
      </c>
      <c r="O103" s="3" t="str">
        <f>IF(AND(M103="",N103=""),"Extra","")</f>
        <v/>
      </c>
      <c r="P103" s="3" t="str">
        <f>IF(Q103=0,"TERCEIRO","MRS")</f>
        <v>MRS</v>
      </c>
      <c r="Q103" s="8" t="str">
        <f>IFERROR(VLOOKUP(L103,#REF!,4,0),"0,00")</f>
        <v>0,00</v>
      </c>
      <c r="R103" s="9" t="s">
        <v>57</v>
      </c>
      <c r="S103" s="9">
        <f>COUNTIF(D103,"*_SEG_*")</f>
        <v>0</v>
      </c>
      <c r="T103" s="9">
        <f>COUNTIF(D103,"*_MAN_*")</f>
        <v>1</v>
      </c>
      <c r="U103" s="9">
        <f>(RIGHT(D103,4))*1</f>
        <v>90</v>
      </c>
      <c r="V103" s="9" t="str">
        <f>IFERROR(VLOOKUP(I103,#REF!,2,0),"Sinalização")</f>
        <v>Sinalização</v>
      </c>
    </row>
    <row r="104" spans="1:22" x14ac:dyDescent="0.25">
      <c r="A104" s="3" t="s">
        <v>22</v>
      </c>
      <c r="B104" s="4">
        <v>23367575</v>
      </c>
      <c r="C104" s="5" t="s">
        <v>23</v>
      </c>
      <c r="D104" s="6" t="s">
        <v>656</v>
      </c>
      <c r="E104" s="6" t="s">
        <v>25</v>
      </c>
      <c r="F104" s="11">
        <v>46171</v>
      </c>
      <c r="G104" s="6" t="s">
        <v>1079</v>
      </c>
      <c r="H104" s="7"/>
      <c r="I104" s="7" t="s">
        <v>395</v>
      </c>
      <c r="J104" s="7" t="s">
        <v>525</v>
      </c>
      <c r="K104" s="7" t="s">
        <v>29</v>
      </c>
      <c r="L104" s="3" t="str">
        <f>E104&amp;D104</f>
        <v>E.SP.IPAEE_MAN_CONF_S_I_SINAL L UNIFO CONT_0090</v>
      </c>
      <c r="M104" s="3" t="str">
        <f>IFERROR(MID(D104,SEARCH("S_I_",D104,1),3),"")</f>
        <v>S_I</v>
      </c>
      <c r="N104" s="3" t="str">
        <f>IFERROR(MID(D104,SEARCH("C_I_",D104,1),3),"")</f>
        <v/>
      </c>
      <c r="O104" s="3" t="str">
        <f>IF(AND(M104="",N104=""),"Extra","")</f>
        <v/>
      </c>
      <c r="P104" s="3" t="str">
        <f>IF(Q104=0,"TERCEIRO","MRS")</f>
        <v>MRS</v>
      </c>
      <c r="Q104" s="8" t="str">
        <f>IFERROR(VLOOKUP(L104,#REF!,4,0),"0,00")</f>
        <v>0,00</v>
      </c>
      <c r="R104" s="9" t="s">
        <v>57</v>
      </c>
      <c r="S104" s="9">
        <f>COUNTIF(D104,"*_SEG_*")</f>
        <v>0</v>
      </c>
      <c r="T104" s="9">
        <f>COUNTIF(D104,"*_MAN_*")</f>
        <v>1</v>
      </c>
      <c r="U104" s="9">
        <f>(RIGHT(D104,4))*1</f>
        <v>90</v>
      </c>
      <c r="V104" s="9" t="str">
        <f>IFERROR(VLOOKUP(I104,#REF!,2,0),"Sinalização")</f>
        <v>Sinalização</v>
      </c>
    </row>
    <row r="105" spans="1:22" x14ac:dyDescent="0.25">
      <c r="A105" s="3" t="s">
        <v>22</v>
      </c>
      <c r="B105" s="4">
        <v>23367588</v>
      </c>
      <c r="C105" s="5" t="s">
        <v>23</v>
      </c>
      <c r="D105" s="6" t="s">
        <v>661</v>
      </c>
      <c r="E105" s="6" t="s">
        <v>25</v>
      </c>
      <c r="F105" s="11">
        <v>46171</v>
      </c>
      <c r="G105" s="6" t="s">
        <v>1079</v>
      </c>
      <c r="H105" s="7"/>
      <c r="I105" s="7" t="s">
        <v>395</v>
      </c>
      <c r="J105" s="7" t="s">
        <v>662</v>
      </c>
      <c r="K105" s="7" t="s">
        <v>29</v>
      </c>
      <c r="L105" s="3" t="str">
        <f>E105&amp;D105</f>
        <v>E.SP.IPAEE_INS_CONF_S_I_SINAL L UNIFO CONT_0090</v>
      </c>
      <c r="M105" s="3" t="str">
        <f>IFERROR(MID(D105,SEARCH("S_I_",D105,1),3),"")</f>
        <v>S_I</v>
      </c>
      <c r="N105" s="3" t="str">
        <f>IFERROR(MID(D105,SEARCH("C_I_",D105,1),3),"")</f>
        <v/>
      </c>
      <c r="O105" s="3" t="str">
        <f>IF(AND(M105="",N105=""),"Extra","")</f>
        <v/>
      </c>
      <c r="P105" s="3" t="str">
        <f>IF(Q105=0,"TERCEIRO","MRS")</f>
        <v>MRS</v>
      </c>
      <c r="Q105" s="8" t="str">
        <f>IFERROR(VLOOKUP(L105,#REF!,4,0),"0,00")</f>
        <v>0,00</v>
      </c>
      <c r="R105" s="9" t="s">
        <v>42</v>
      </c>
      <c r="S105" s="9">
        <f>COUNTIF(D105,"*_SEG_*")</f>
        <v>0</v>
      </c>
      <c r="T105" s="9">
        <f>COUNTIF(D105,"*_MAN_*")</f>
        <v>0</v>
      </c>
      <c r="U105" s="9">
        <f>(RIGHT(D105,4))*1</f>
        <v>90</v>
      </c>
      <c r="V105" s="9" t="str">
        <f>IFERROR(VLOOKUP(I105,#REF!,2,0),"Sinalização")</f>
        <v>Sinalização</v>
      </c>
    </row>
    <row r="106" spans="1:22" x14ac:dyDescent="0.25">
      <c r="A106" s="3" t="s">
        <v>22</v>
      </c>
      <c r="B106" s="4">
        <v>23132175</v>
      </c>
      <c r="C106" s="5" t="s">
        <v>23</v>
      </c>
      <c r="D106" s="6" t="s">
        <v>467</v>
      </c>
      <c r="E106" s="6" t="s">
        <v>25</v>
      </c>
      <c r="F106" s="11">
        <v>46171</v>
      </c>
      <c r="G106" s="6" t="s">
        <v>1079</v>
      </c>
      <c r="H106" s="7"/>
      <c r="I106" s="7" t="s">
        <v>468</v>
      </c>
      <c r="J106" s="7" t="s">
        <v>197</v>
      </c>
      <c r="K106" s="7" t="s">
        <v>29</v>
      </c>
      <c r="L106" s="3" t="str">
        <f>E106&amp;D106</f>
        <v>E.SP.IPAEE_INS_CONF_S_I_BAT ESTAC SGM_0180</v>
      </c>
      <c r="M106" s="3" t="str">
        <f>IFERROR(MID(D106,SEARCH("S_I_",D106,1),3),"")</f>
        <v>S_I</v>
      </c>
      <c r="N106" s="3" t="str">
        <f>IFERROR(MID(D106,SEARCH("C_I_",D106,1),3),"")</f>
        <v/>
      </c>
      <c r="O106" s="3" t="str">
        <f>IF(AND(M106="",N106=""),"Extra","")</f>
        <v/>
      </c>
      <c r="P106" s="3" t="str">
        <f>IF(Q106=0,"TERCEIRO","MRS")</f>
        <v>MRS</v>
      </c>
      <c r="Q106" s="8" t="str">
        <f>IFERROR(VLOOKUP(L106,#REF!,4,0),"0,00")</f>
        <v>0,00</v>
      </c>
      <c r="R106" s="9" t="s">
        <v>42</v>
      </c>
      <c r="S106" s="9">
        <f>COUNTIF(D106,"*_SEG_*")</f>
        <v>0</v>
      </c>
      <c r="T106" s="9">
        <f>COUNTIF(D106,"*_MAN_*")</f>
        <v>0</v>
      </c>
      <c r="U106" s="9">
        <f>(RIGHT(D106,4))*1</f>
        <v>180</v>
      </c>
      <c r="V106" s="9" t="str">
        <f>IFERROR(VLOOKUP(I106,#REF!,2,0),"Sinalização")</f>
        <v>Sinalização</v>
      </c>
    </row>
    <row r="107" spans="1:22" x14ac:dyDescent="0.25">
      <c r="A107" s="3" t="s">
        <v>22</v>
      </c>
      <c r="B107" s="4">
        <v>23132276</v>
      </c>
      <c r="C107" s="5" t="s">
        <v>23</v>
      </c>
      <c r="D107" s="6" t="s">
        <v>196</v>
      </c>
      <c r="E107" s="6" t="s">
        <v>25</v>
      </c>
      <c r="F107" s="11">
        <v>46171</v>
      </c>
      <c r="G107" s="6" t="s">
        <v>1079</v>
      </c>
      <c r="H107" s="7"/>
      <c r="I107" s="7" t="s">
        <v>469</v>
      </c>
      <c r="J107" s="7" t="s">
        <v>197</v>
      </c>
      <c r="K107" s="7" t="s">
        <v>29</v>
      </c>
      <c r="L107" s="3" t="str">
        <f>E107&amp;D107</f>
        <v>E.SP.IPAEE_INS_CONF_S_I_BAT ESTAC AES-FO_0180</v>
      </c>
      <c r="M107" s="3" t="str">
        <f>IFERROR(MID(D107,SEARCH("S_I_",D107,1),3),"")</f>
        <v>S_I</v>
      </c>
      <c r="N107" s="3" t="str">
        <f>IFERROR(MID(D107,SEARCH("C_I_",D107,1),3),"")</f>
        <v/>
      </c>
      <c r="O107" s="3" t="str">
        <f>IF(AND(M107="",N107=""),"Extra","")</f>
        <v/>
      </c>
      <c r="P107" s="3" t="str">
        <f>IF(Q107=0,"TERCEIRO","MRS")</f>
        <v>MRS</v>
      </c>
      <c r="Q107" s="8" t="str">
        <f>IFERROR(VLOOKUP(L107,#REF!,4,0),"0,00")</f>
        <v>0,00</v>
      </c>
      <c r="R107" s="9" t="s">
        <v>42</v>
      </c>
      <c r="S107" s="9">
        <f>COUNTIF(D107,"*_SEG_*")</f>
        <v>0</v>
      </c>
      <c r="T107" s="9">
        <f>COUNTIF(D107,"*_MAN_*")</f>
        <v>0</v>
      </c>
      <c r="U107" s="9">
        <f>(RIGHT(D107,4))*1</f>
        <v>180</v>
      </c>
      <c r="V107" s="9" t="str">
        <f>IFERROR(VLOOKUP(I107,#REF!,2,0),"Sinalização")</f>
        <v>Sinalização</v>
      </c>
    </row>
    <row r="108" spans="1:22" x14ac:dyDescent="0.25">
      <c r="A108" s="3" t="s">
        <v>22</v>
      </c>
      <c r="B108" s="4">
        <v>23132277</v>
      </c>
      <c r="C108" s="5" t="s">
        <v>23</v>
      </c>
      <c r="D108" s="6" t="s">
        <v>198</v>
      </c>
      <c r="E108" s="6" t="s">
        <v>25</v>
      </c>
      <c r="F108" s="11">
        <v>46171</v>
      </c>
      <c r="G108" s="6" t="s">
        <v>1079</v>
      </c>
      <c r="H108" s="7"/>
      <c r="I108" s="7" t="s">
        <v>470</v>
      </c>
      <c r="J108" s="7" t="s">
        <v>200</v>
      </c>
      <c r="K108" s="7" t="s">
        <v>29</v>
      </c>
      <c r="L108" s="3" t="str">
        <f>E108&amp;D108</f>
        <v>E.SP.IPAEE_INS_CONF_S_I_CAIXA DE LOCAÇÃO_0180</v>
      </c>
      <c r="M108" s="3" t="str">
        <f>IFERROR(MID(D108,SEARCH("S_I_",D108,1),3),"")</f>
        <v>S_I</v>
      </c>
      <c r="N108" s="3" t="str">
        <f>IFERROR(MID(D108,SEARCH("C_I_",D108,1),3),"")</f>
        <v/>
      </c>
      <c r="O108" s="3" t="str">
        <f>IF(AND(M108="",N108=""),"Extra","")</f>
        <v/>
      </c>
      <c r="P108" s="3" t="str">
        <f>IF(Q108=0,"TERCEIRO","MRS")</f>
        <v>MRS</v>
      </c>
      <c r="Q108" s="8" t="str">
        <f>IFERROR(VLOOKUP(L108,#REF!,4,0),"0,00")</f>
        <v>0,00</v>
      </c>
      <c r="R108" s="9" t="s">
        <v>98</v>
      </c>
      <c r="S108" s="9">
        <f>COUNTIF(D108,"*_SEG_*")</f>
        <v>0</v>
      </c>
      <c r="T108" s="9">
        <f>COUNTIF(D108,"*_MAN_*")</f>
        <v>0</v>
      </c>
      <c r="U108" s="9">
        <f>(RIGHT(D108,4))*1</f>
        <v>180</v>
      </c>
      <c r="V108" s="9" t="str">
        <f>IFERROR(VLOOKUP(I108,#REF!,2,0),"Sinalização")</f>
        <v>Sinalização</v>
      </c>
    </row>
    <row r="109" spans="1:22" x14ac:dyDescent="0.25">
      <c r="A109" s="3" t="s">
        <v>22</v>
      </c>
      <c r="B109" s="4">
        <v>23132278</v>
      </c>
      <c r="C109" s="5" t="s">
        <v>23</v>
      </c>
      <c r="D109" s="6" t="s">
        <v>198</v>
      </c>
      <c r="E109" s="6" t="s">
        <v>25</v>
      </c>
      <c r="F109" s="11">
        <v>46171</v>
      </c>
      <c r="G109" s="6" t="s">
        <v>1079</v>
      </c>
      <c r="H109" s="7"/>
      <c r="I109" s="7" t="s">
        <v>471</v>
      </c>
      <c r="J109" s="7" t="s">
        <v>200</v>
      </c>
      <c r="K109" s="7" t="s">
        <v>29</v>
      </c>
      <c r="L109" s="3" t="str">
        <f>E109&amp;D109</f>
        <v>E.SP.IPAEE_INS_CONF_S_I_CAIXA DE LOCAÇÃO_0180</v>
      </c>
      <c r="M109" s="3" t="str">
        <f>IFERROR(MID(D109,SEARCH("S_I_",D109,1),3),"")</f>
        <v>S_I</v>
      </c>
      <c r="N109" s="3" t="str">
        <f>IFERROR(MID(D109,SEARCH("C_I_",D109,1),3),"")</f>
        <v/>
      </c>
      <c r="O109" s="3" t="str">
        <f>IF(AND(M109="",N109=""),"Extra","")</f>
        <v/>
      </c>
      <c r="P109" s="3" t="str">
        <f>IF(Q109=0,"TERCEIRO","MRS")</f>
        <v>MRS</v>
      </c>
      <c r="Q109" s="8" t="str">
        <f>IFERROR(VLOOKUP(L109,#REF!,4,0),"0,00")</f>
        <v>0,00</v>
      </c>
      <c r="R109" s="9" t="s">
        <v>98</v>
      </c>
      <c r="S109" s="9">
        <f>COUNTIF(D109,"*_SEG_*")</f>
        <v>0</v>
      </c>
      <c r="T109" s="9">
        <f>COUNTIF(D109,"*_MAN_*")</f>
        <v>0</v>
      </c>
      <c r="U109" s="9">
        <f>(RIGHT(D109,4))*1</f>
        <v>180</v>
      </c>
      <c r="V109" s="9" t="str">
        <f>IFERROR(VLOOKUP(I109,#REF!,2,0),"Sinalização")</f>
        <v>Sinalização</v>
      </c>
    </row>
    <row r="110" spans="1:22" x14ac:dyDescent="0.25">
      <c r="A110" s="3" t="s">
        <v>22</v>
      </c>
      <c r="B110" s="4">
        <v>23132284</v>
      </c>
      <c r="C110" s="5" t="s">
        <v>23</v>
      </c>
      <c r="D110" s="6" t="s">
        <v>472</v>
      </c>
      <c r="E110" s="6" t="s">
        <v>25</v>
      </c>
      <c r="F110" s="11">
        <v>46171</v>
      </c>
      <c r="G110" s="6" t="s">
        <v>1079</v>
      </c>
      <c r="H110" s="7"/>
      <c r="I110" s="7" t="s">
        <v>103</v>
      </c>
      <c r="J110" s="7" t="s">
        <v>473</v>
      </c>
      <c r="K110" s="7" t="s">
        <v>29</v>
      </c>
      <c r="L110" s="3" t="str">
        <f>E110&amp;D110</f>
        <v>E.SP.IPAEE_MAN_CONF_S_I_EST DE VOZ E DADOS_0180</v>
      </c>
      <c r="M110" s="3" t="str">
        <f>IFERROR(MID(D110,SEARCH("S_I_",D110,1),3),"")</f>
        <v>S_I</v>
      </c>
      <c r="N110" s="3" t="str">
        <f>IFERROR(MID(D110,SEARCH("C_I_",D110,1),3),"")</f>
        <v/>
      </c>
      <c r="O110" s="3" t="str">
        <f>IF(AND(M110="",N110=""),"Extra","")</f>
        <v/>
      </c>
      <c r="P110" s="3" t="str">
        <f>IF(Q110=0,"TERCEIRO","MRS")</f>
        <v>MRS</v>
      </c>
      <c r="Q110" s="8" t="str">
        <f>IFERROR(VLOOKUP(L110,#REF!,4,0),"0,00")</f>
        <v>0,00</v>
      </c>
      <c r="R110" s="9" t="s">
        <v>98</v>
      </c>
      <c r="S110" s="9">
        <f>COUNTIF(D110,"*_SEG_*")</f>
        <v>0</v>
      </c>
      <c r="T110" s="9">
        <f>COUNTIF(D110,"*_MAN_*")</f>
        <v>1</v>
      </c>
      <c r="U110" s="9">
        <f>(RIGHT(D110,4))*1</f>
        <v>180</v>
      </c>
      <c r="V110" s="9" t="str">
        <f>IFERROR(VLOOKUP(I110,#REF!,2,0),"Sinalização")</f>
        <v>Sinalização</v>
      </c>
    </row>
    <row r="111" spans="1:22" x14ac:dyDescent="0.25">
      <c r="A111" s="3" t="s">
        <v>22</v>
      </c>
      <c r="B111" s="4">
        <v>23132285</v>
      </c>
      <c r="C111" s="5" t="s">
        <v>23</v>
      </c>
      <c r="D111" s="6" t="s">
        <v>474</v>
      </c>
      <c r="E111" s="6" t="s">
        <v>25</v>
      </c>
      <c r="F111" s="11">
        <v>46171</v>
      </c>
      <c r="G111" s="6" t="s">
        <v>1079</v>
      </c>
      <c r="H111" s="7"/>
      <c r="I111" s="7" t="s">
        <v>475</v>
      </c>
      <c r="J111" s="7" t="s">
        <v>197</v>
      </c>
      <c r="K111" s="7" t="s">
        <v>29</v>
      </c>
      <c r="L111" s="3" t="str">
        <f>E111&amp;D111</f>
        <v>E.SP.IPAEE_INS_CONF_S_I_BAT ESTAC B-EQUI_0180</v>
      </c>
      <c r="M111" s="3" t="str">
        <f>IFERROR(MID(D111,SEARCH("S_I_",D111,1),3),"")</f>
        <v>S_I</v>
      </c>
      <c r="N111" s="3" t="str">
        <f>IFERROR(MID(D111,SEARCH("C_I_",D111,1),3),"")</f>
        <v/>
      </c>
      <c r="O111" s="3" t="str">
        <f>IF(AND(M111="",N111=""),"Extra","")</f>
        <v/>
      </c>
      <c r="P111" s="3" t="str">
        <f>IF(Q111=0,"TERCEIRO","MRS")</f>
        <v>MRS</v>
      </c>
      <c r="Q111" s="8" t="str">
        <f>IFERROR(VLOOKUP(L111,#REF!,4,0),"0,00")</f>
        <v>0,00</v>
      </c>
      <c r="R111" s="9" t="s">
        <v>42</v>
      </c>
      <c r="S111" s="9">
        <f>COUNTIF(D111,"*_SEG_*")</f>
        <v>0</v>
      </c>
      <c r="T111" s="9">
        <f>COUNTIF(D111,"*_MAN_*")</f>
        <v>0</v>
      </c>
      <c r="U111" s="9">
        <f>(RIGHT(D111,4))*1</f>
        <v>180</v>
      </c>
      <c r="V111" s="9" t="str">
        <f>IFERROR(VLOOKUP(I111,#REF!,2,0),"Sinalização")</f>
        <v>Sinalização</v>
      </c>
    </row>
    <row r="112" spans="1:22" x14ac:dyDescent="0.25">
      <c r="A112" s="3" t="s">
        <v>22</v>
      </c>
      <c r="B112" s="4">
        <v>23132286</v>
      </c>
      <c r="C112" s="5" t="s">
        <v>23</v>
      </c>
      <c r="D112" s="6" t="s">
        <v>205</v>
      </c>
      <c r="E112" s="6" t="s">
        <v>25</v>
      </c>
      <c r="F112" s="11">
        <v>46171</v>
      </c>
      <c r="G112" s="6" t="s">
        <v>1079</v>
      </c>
      <c r="H112" s="7"/>
      <c r="I112" s="7" t="s">
        <v>476</v>
      </c>
      <c r="J112" s="7" t="s">
        <v>181</v>
      </c>
      <c r="K112" s="7" t="s">
        <v>29</v>
      </c>
      <c r="L112" s="3" t="str">
        <f>E112&amp;D112</f>
        <v>E.SP.IPAEE_INS_CONF_S_I_BAT ESTAC B-LFR_0180</v>
      </c>
      <c r="M112" s="3" t="str">
        <f>IFERROR(MID(D112,SEARCH("S_I_",D112,1),3),"")</f>
        <v>S_I</v>
      </c>
      <c r="N112" s="3" t="str">
        <f>IFERROR(MID(D112,SEARCH("C_I_",D112,1),3),"")</f>
        <v/>
      </c>
      <c r="O112" s="3" t="str">
        <f>IF(AND(M112="",N112=""),"Extra","")</f>
        <v/>
      </c>
      <c r="P112" s="3" t="str">
        <f>IF(Q112=0,"TERCEIRO","MRS")</f>
        <v>MRS</v>
      </c>
      <c r="Q112" s="8" t="str">
        <f>IFERROR(VLOOKUP(L112,#REF!,4,0),"0,00")</f>
        <v>0,00</v>
      </c>
      <c r="R112" s="9" t="s">
        <v>42</v>
      </c>
      <c r="S112" s="9">
        <f>COUNTIF(D112,"*_SEG_*")</f>
        <v>0</v>
      </c>
      <c r="T112" s="9">
        <f>COUNTIF(D112,"*_MAN_*")</f>
        <v>0</v>
      </c>
      <c r="U112" s="9">
        <f>(RIGHT(D112,4))*1</f>
        <v>180</v>
      </c>
      <c r="V112" s="9" t="str">
        <f>IFERROR(VLOOKUP(I112,#REF!,2,0),"Sinalização")</f>
        <v>Sinalização</v>
      </c>
    </row>
    <row r="113" spans="1:22" x14ac:dyDescent="0.25">
      <c r="A113" s="3" t="s">
        <v>22</v>
      </c>
      <c r="B113" s="4">
        <v>23132287</v>
      </c>
      <c r="C113" s="5" t="s">
        <v>23</v>
      </c>
      <c r="D113" s="6" t="s">
        <v>205</v>
      </c>
      <c r="E113" s="6" t="s">
        <v>25</v>
      </c>
      <c r="F113" s="11">
        <v>46171</v>
      </c>
      <c r="G113" s="6" t="s">
        <v>1079</v>
      </c>
      <c r="H113" s="7"/>
      <c r="I113" s="7" t="s">
        <v>173</v>
      </c>
      <c r="J113" s="7" t="s">
        <v>181</v>
      </c>
      <c r="K113" s="7" t="s">
        <v>29</v>
      </c>
      <c r="L113" s="3" t="str">
        <f>E113&amp;D113</f>
        <v>E.SP.IPAEE_INS_CONF_S_I_BAT ESTAC B-LFR_0180</v>
      </c>
      <c r="M113" s="3" t="str">
        <f>IFERROR(MID(D113,SEARCH("S_I_",D113,1),3),"")</f>
        <v>S_I</v>
      </c>
      <c r="N113" s="3" t="str">
        <f>IFERROR(MID(D113,SEARCH("C_I_",D113,1),3),"")</f>
        <v/>
      </c>
      <c r="O113" s="3" t="str">
        <f>IF(AND(M113="",N113=""),"Extra","")</f>
        <v/>
      </c>
      <c r="P113" s="3" t="str">
        <f>IF(Q113=0,"TERCEIRO","MRS")</f>
        <v>MRS</v>
      </c>
      <c r="Q113" s="8" t="str">
        <f>IFERROR(VLOOKUP(L113,#REF!,4,0),"0,00")</f>
        <v>0,00</v>
      </c>
      <c r="R113" s="9" t="s">
        <v>42</v>
      </c>
      <c r="S113" s="9">
        <f>COUNTIF(D113,"*_SEG_*")</f>
        <v>0</v>
      </c>
      <c r="T113" s="9">
        <f>COUNTIF(D113,"*_MAN_*")</f>
        <v>0</v>
      </c>
      <c r="U113" s="9">
        <f>(RIGHT(D113,4))*1</f>
        <v>180</v>
      </c>
      <c r="V113" s="9" t="str">
        <f>IFERROR(VLOOKUP(I113,#REF!,2,0),"Sinalização")</f>
        <v>Sinalização</v>
      </c>
    </row>
    <row r="114" spans="1:22" x14ac:dyDescent="0.25">
      <c r="A114" s="3" t="s">
        <v>22</v>
      </c>
      <c r="B114" s="4">
        <v>23132300</v>
      </c>
      <c r="C114" s="5" t="s">
        <v>23</v>
      </c>
      <c r="D114" s="6" t="s">
        <v>477</v>
      </c>
      <c r="E114" s="6" t="s">
        <v>25</v>
      </c>
      <c r="F114" s="11">
        <v>46171</v>
      </c>
      <c r="G114" s="6" t="s">
        <v>1079</v>
      </c>
      <c r="H114" s="7"/>
      <c r="I114" s="7" t="s">
        <v>478</v>
      </c>
      <c r="J114" s="7" t="s">
        <v>197</v>
      </c>
      <c r="K114" s="7" t="s">
        <v>29</v>
      </c>
      <c r="L114" s="3" t="str">
        <f>E114&amp;D114</f>
        <v>E.SP.IPAEE_INS_CONF_S_I_BAT ESTAC BKB_0180</v>
      </c>
      <c r="M114" s="3" t="str">
        <f>IFERROR(MID(D114,SEARCH("S_I_",D114,1),3),"")</f>
        <v>S_I</v>
      </c>
      <c r="N114" s="3" t="str">
        <f>IFERROR(MID(D114,SEARCH("C_I_",D114,1),3),"")</f>
        <v/>
      </c>
      <c r="O114" s="3" t="str">
        <f>IF(AND(M114="",N114=""),"Extra","")</f>
        <v/>
      </c>
      <c r="P114" s="3" t="str">
        <f>IF(Q114=0,"TERCEIRO","MRS")</f>
        <v>MRS</v>
      </c>
      <c r="Q114" s="8" t="str">
        <f>IFERROR(VLOOKUP(L114,#REF!,4,0),"0,00")</f>
        <v>0,00</v>
      </c>
      <c r="R114" s="9" t="s">
        <v>42</v>
      </c>
      <c r="S114" s="9">
        <f>COUNTIF(D114,"*_SEG_*")</f>
        <v>0</v>
      </c>
      <c r="T114" s="9">
        <f>COUNTIF(D114,"*_MAN_*")</f>
        <v>0</v>
      </c>
      <c r="U114" s="9">
        <f>(RIGHT(D114,4))*1</f>
        <v>180</v>
      </c>
      <c r="V114" s="9" t="str">
        <f>IFERROR(VLOOKUP(I114,#REF!,2,0),"Sinalização")</f>
        <v>Sinalização</v>
      </c>
    </row>
    <row r="115" spans="1:22" x14ac:dyDescent="0.25">
      <c r="A115" s="3" t="s">
        <v>22</v>
      </c>
      <c r="B115" s="4">
        <v>23132507</v>
      </c>
      <c r="C115" s="5" t="s">
        <v>23</v>
      </c>
      <c r="D115" s="6" t="s">
        <v>212</v>
      </c>
      <c r="E115" s="6" t="s">
        <v>25</v>
      </c>
      <c r="F115" s="11">
        <v>46171</v>
      </c>
      <c r="G115" s="6" t="s">
        <v>1079</v>
      </c>
      <c r="H115" s="7"/>
      <c r="I115" s="7" t="s">
        <v>479</v>
      </c>
      <c r="J115" s="7" t="s">
        <v>189</v>
      </c>
      <c r="K115" s="7" t="s">
        <v>29</v>
      </c>
      <c r="L115" s="3" t="str">
        <f>E115&amp;D115</f>
        <v>E.SP.IPAEE_INS_SEG_C_I_MCH 110V GRS 55BR R_0180</v>
      </c>
      <c r="M115" s="3" t="str">
        <f>IFERROR(MID(D115,SEARCH("S_I_",D115,1),3),"")</f>
        <v/>
      </c>
      <c r="N115" s="3" t="str">
        <f>IFERROR(MID(D115,SEARCH("C_I_",D115,1),3),"")</f>
        <v>C_I</v>
      </c>
      <c r="O115" s="3" t="str">
        <f>IF(AND(M115="",N115=""),"Extra","")</f>
        <v/>
      </c>
      <c r="P115" s="3" t="str">
        <f>IF(Q115=0,"TERCEIRO","MRS")</f>
        <v>MRS</v>
      </c>
      <c r="Q115" s="8" t="str">
        <f>IFERROR(VLOOKUP(L115,#REF!,4,0),"0,00")</f>
        <v>0,00</v>
      </c>
      <c r="R115" s="9" t="s">
        <v>30</v>
      </c>
      <c r="S115" s="9">
        <f>COUNTIF(D115,"*_SEG_*")</f>
        <v>1</v>
      </c>
      <c r="T115" s="9">
        <f>COUNTIF(D115,"*_MAN_*")</f>
        <v>0</v>
      </c>
      <c r="U115" s="9">
        <f>(RIGHT(D115,4))*1</f>
        <v>180</v>
      </c>
      <c r="V115" s="9" t="str">
        <f>IFERROR(VLOOKUP(I115,#REF!,2,0),"Sinalização")</f>
        <v>Sinalização</v>
      </c>
    </row>
    <row r="116" spans="1:22" x14ac:dyDescent="0.25">
      <c r="A116" s="3" t="s">
        <v>22</v>
      </c>
      <c r="B116" s="4">
        <v>23132508</v>
      </c>
      <c r="C116" s="5" t="s">
        <v>23</v>
      </c>
      <c r="D116" s="6" t="s">
        <v>212</v>
      </c>
      <c r="E116" s="6" t="s">
        <v>25</v>
      </c>
      <c r="F116" s="11">
        <v>46171</v>
      </c>
      <c r="G116" s="6" t="s">
        <v>1079</v>
      </c>
      <c r="H116" s="7"/>
      <c r="I116" s="7" t="s">
        <v>480</v>
      </c>
      <c r="J116" s="7" t="s">
        <v>189</v>
      </c>
      <c r="K116" s="7" t="s">
        <v>29</v>
      </c>
      <c r="L116" s="3" t="str">
        <f>E116&amp;D116</f>
        <v>E.SP.IPAEE_INS_SEG_C_I_MCH 110V GRS 55BR R_0180</v>
      </c>
      <c r="M116" s="3" t="str">
        <f>IFERROR(MID(D116,SEARCH("S_I_",D116,1),3),"")</f>
        <v/>
      </c>
      <c r="N116" s="3" t="str">
        <f>IFERROR(MID(D116,SEARCH("C_I_",D116,1),3),"")</f>
        <v>C_I</v>
      </c>
      <c r="O116" s="3" t="str">
        <f>IF(AND(M116="",N116=""),"Extra","")</f>
        <v/>
      </c>
      <c r="P116" s="3" t="str">
        <f>IF(Q116=0,"TERCEIRO","MRS")</f>
        <v>MRS</v>
      </c>
      <c r="Q116" s="8" t="str">
        <f>IFERROR(VLOOKUP(L116,#REF!,4,0),"0,00")</f>
        <v>0,00</v>
      </c>
      <c r="R116" s="9" t="s">
        <v>30</v>
      </c>
      <c r="S116" s="9">
        <f>COUNTIF(D116,"*_SEG_*")</f>
        <v>1</v>
      </c>
      <c r="T116" s="9">
        <f>COUNTIF(D116,"*_MAN_*")</f>
        <v>0</v>
      </c>
      <c r="U116" s="9">
        <f>(RIGHT(D116,4))*1</f>
        <v>180</v>
      </c>
      <c r="V116" s="9" t="str">
        <f>IFERROR(VLOOKUP(I116,#REF!,2,0),"Sinalização")</f>
        <v>Sinalização</v>
      </c>
    </row>
    <row r="117" spans="1:22" x14ac:dyDescent="0.25">
      <c r="A117" s="3" t="s">
        <v>22</v>
      </c>
      <c r="B117" s="4">
        <v>23132509</v>
      </c>
      <c r="C117" s="5" t="s">
        <v>23</v>
      </c>
      <c r="D117" s="6" t="s">
        <v>212</v>
      </c>
      <c r="E117" s="6" t="s">
        <v>25</v>
      </c>
      <c r="F117" s="11">
        <v>46169</v>
      </c>
      <c r="G117" s="6" t="s">
        <v>1079</v>
      </c>
      <c r="H117" s="7"/>
      <c r="I117" s="7" t="s">
        <v>481</v>
      </c>
      <c r="J117" s="7" t="s">
        <v>189</v>
      </c>
      <c r="K117" s="7" t="s">
        <v>29</v>
      </c>
      <c r="L117" s="3" t="str">
        <f>E117&amp;D117</f>
        <v>E.SP.IPAEE_INS_SEG_C_I_MCH 110V GRS 55BR R_0180</v>
      </c>
      <c r="M117" s="3" t="str">
        <f>IFERROR(MID(D117,SEARCH("S_I_",D117,1),3),"")</f>
        <v/>
      </c>
      <c r="N117" s="3" t="str">
        <f>IFERROR(MID(D117,SEARCH("C_I_",D117,1),3),"")</f>
        <v>C_I</v>
      </c>
      <c r="O117" s="3" t="str">
        <f>IF(AND(M117="",N117=""),"Extra","")</f>
        <v/>
      </c>
      <c r="P117" s="3" t="str">
        <f>IF(Q117=0,"TERCEIRO","MRS")</f>
        <v>MRS</v>
      </c>
      <c r="Q117" s="8" t="str">
        <f>IFERROR(VLOOKUP(L117,#REF!,4,0),"0,00")</f>
        <v>0,00</v>
      </c>
      <c r="R117" s="9" t="s">
        <v>30</v>
      </c>
      <c r="S117" s="9">
        <f>COUNTIF(D117,"*_SEG_*")</f>
        <v>1</v>
      </c>
      <c r="T117" s="9">
        <f>COUNTIF(D117,"*_MAN_*")</f>
        <v>0</v>
      </c>
      <c r="U117" s="9">
        <f>(RIGHT(D117,4))*1</f>
        <v>180</v>
      </c>
      <c r="V117" s="9" t="str">
        <f>IFERROR(VLOOKUP(I117,#REF!,2,0),"Sinalização")</f>
        <v>Sinalização</v>
      </c>
    </row>
    <row r="118" spans="1:22" x14ac:dyDescent="0.25">
      <c r="A118" s="3" t="s">
        <v>22</v>
      </c>
      <c r="B118" s="4">
        <v>23132510</v>
      </c>
      <c r="C118" s="5" t="s">
        <v>23</v>
      </c>
      <c r="D118" s="6" t="s">
        <v>212</v>
      </c>
      <c r="E118" s="6" t="s">
        <v>25</v>
      </c>
      <c r="F118" s="11">
        <v>46169</v>
      </c>
      <c r="G118" s="6" t="s">
        <v>1079</v>
      </c>
      <c r="H118" s="7"/>
      <c r="I118" s="7" t="s">
        <v>482</v>
      </c>
      <c r="J118" s="7" t="s">
        <v>189</v>
      </c>
      <c r="K118" s="7" t="s">
        <v>29</v>
      </c>
      <c r="L118" s="3" t="str">
        <f>E118&amp;D118</f>
        <v>E.SP.IPAEE_INS_SEG_C_I_MCH 110V GRS 55BR R_0180</v>
      </c>
      <c r="M118" s="3" t="str">
        <f>IFERROR(MID(D118,SEARCH("S_I_",D118,1),3),"")</f>
        <v/>
      </c>
      <c r="N118" s="3" t="str">
        <f>IFERROR(MID(D118,SEARCH("C_I_",D118,1),3),"")</f>
        <v>C_I</v>
      </c>
      <c r="O118" s="3" t="str">
        <f>IF(AND(M118="",N118=""),"Extra","")</f>
        <v/>
      </c>
      <c r="P118" s="3" t="str">
        <f>IF(Q118=0,"TERCEIRO","MRS")</f>
        <v>MRS</v>
      </c>
      <c r="Q118" s="8" t="str">
        <f>IFERROR(VLOOKUP(L118,#REF!,4,0),"0,00")</f>
        <v>0,00</v>
      </c>
      <c r="R118" s="9" t="s">
        <v>30</v>
      </c>
      <c r="S118" s="9">
        <f>COUNTIF(D118,"*_SEG_*")</f>
        <v>1</v>
      </c>
      <c r="T118" s="9">
        <f>COUNTIF(D118,"*_MAN_*")</f>
        <v>0</v>
      </c>
      <c r="U118" s="9">
        <f>(RIGHT(D118,4))*1</f>
        <v>180</v>
      </c>
      <c r="V118" s="9" t="str">
        <f>IFERROR(VLOOKUP(I118,#REF!,2,0),"Sinalização")</f>
        <v>Sinalização</v>
      </c>
    </row>
    <row r="119" spans="1:22" x14ac:dyDescent="0.25">
      <c r="A119" s="3" t="s">
        <v>22</v>
      </c>
      <c r="B119" s="4">
        <v>23132511</v>
      </c>
      <c r="C119" s="5" t="s">
        <v>23</v>
      </c>
      <c r="D119" s="6" t="s">
        <v>212</v>
      </c>
      <c r="E119" s="6" t="s">
        <v>25</v>
      </c>
      <c r="F119" s="11">
        <v>46169</v>
      </c>
      <c r="G119" s="6" t="s">
        <v>1079</v>
      </c>
      <c r="H119" s="7"/>
      <c r="I119" s="7" t="s">
        <v>483</v>
      </c>
      <c r="J119" s="7" t="s">
        <v>189</v>
      </c>
      <c r="K119" s="7" t="s">
        <v>29</v>
      </c>
      <c r="L119" s="3" t="str">
        <f>E119&amp;D119</f>
        <v>E.SP.IPAEE_INS_SEG_C_I_MCH 110V GRS 55BR R_0180</v>
      </c>
      <c r="M119" s="3" t="str">
        <f>IFERROR(MID(D119,SEARCH("S_I_",D119,1),3),"")</f>
        <v/>
      </c>
      <c r="N119" s="3" t="str">
        <f>IFERROR(MID(D119,SEARCH("C_I_",D119,1),3),"")</f>
        <v>C_I</v>
      </c>
      <c r="O119" s="3" t="str">
        <f>IF(AND(M119="",N119=""),"Extra","")</f>
        <v/>
      </c>
      <c r="P119" s="3" t="str">
        <f>IF(Q119=0,"TERCEIRO","MRS")</f>
        <v>MRS</v>
      </c>
      <c r="Q119" s="8" t="str">
        <f>IFERROR(VLOOKUP(L119,#REF!,4,0),"0,00")</f>
        <v>0,00</v>
      </c>
      <c r="R119" s="9" t="s">
        <v>30</v>
      </c>
      <c r="S119" s="9">
        <f>COUNTIF(D119,"*_SEG_*")</f>
        <v>1</v>
      </c>
      <c r="T119" s="9">
        <f>COUNTIF(D119,"*_MAN_*")</f>
        <v>0</v>
      </c>
      <c r="U119" s="9">
        <f>(RIGHT(D119,4))*1</f>
        <v>180</v>
      </c>
      <c r="V119" s="9" t="str">
        <f>IFERROR(VLOOKUP(I119,#REF!,2,0),"Sinalização")</f>
        <v>Sinalização</v>
      </c>
    </row>
    <row r="120" spans="1:22" x14ac:dyDescent="0.25">
      <c r="A120" s="3" t="s">
        <v>22</v>
      </c>
      <c r="B120" s="4">
        <v>23132668</v>
      </c>
      <c r="C120" s="5" t="s">
        <v>23</v>
      </c>
      <c r="D120" s="6" t="s">
        <v>484</v>
      </c>
      <c r="E120" s="6" t="s">
        <v>25</v>
      </c>
      <c r="F120" s="11">
        <v>46169</v>
      </c>
      <c r="G120" s="6" t="s">
        <v>1079</v>
      </c>
      <c r="H120" s="7"/>
      <c r="I120" s="7" t="s">
        <v>485</v>
      </c>
      <c r="J120" s="7" t="s">
        <v>486</v>
      </c>
      <c r="K120" s="7" t="s">
        <v>29</v>
      </c>
      <c r="L120" s="3" t="str">
        <f>E120&amp;D120</f>
        <v>E.SP.IPAEE_INS_CONF_S_I_LINK DE RADIO A_0180</v>
      </c>
      <c r="M120" s="3" t="str">
        <f>IFERROR(MID(D120,SEARCH("S_I_",D120,1),3),"")</f>
        <v>S_I</v>
      </c>
      <c r="N120" s="3" t="str">
        <f>IFERROR(MID(D120,SEARCH("C_I_",D120,1),3),"")</f>
        <v/>
      </c>
      <c r="O120" s="3" t="str">
        <f>IF(AND(M120="",N120=""),"Extra","")</f>
        <v/>
      </c>
      <c r="P120" s="3" t="str">
        <f>IF(Q120=0,"TERCEIRO","MRS")</f>
        <v>MRS</v>
      </c>
      <c r="Q120" s="8" t="str">
        <f>IFERROR(VLOOKUP(L120,#REF!,4,0),"0,00")</f>
        <v>0,00</v>
      </c>
      <c r="R120" s="9" t="s">
        <v>42</v>
      </c>
      <c r="S120" s="9">
        <f>COUNTIF(D120,"*_SEG_*")</f>
        <v>0</v>
      </c>
      <c r="T120" s="9">
        <f>COUNTIF(D120,"*_MAN_*")</f>
        <v>0</v>
      </c>
      <c r="U120" s="9">
        <f>(RIGHT(D120,4))*1</f>
        <v>180</v>
      </c>
      <c r="V120" s="9" t="str">
        <f>IFERROR(VLOOKUP(I120,#REF!,2,0),"Sinalização")</f>
        <v>Sinalização</v>
      </c>
    </row>
    <row r="121" spans="1:22" x14ac:dyDescent="0.25">
      <c r="A121" s="3" t="s">
        <v>22</v>
      </c>
      <c r="B121" s="4">
        <v>23132719</v>
      </c>
      <c r="C121" s="5" t="s">
        <v>23</v>
      </c>
      <c r="D121" s="6" t="s">
        <v>246</v>
      </c>
      <c r="E121" s="6" t="s">
        <v>25</v>
      </c>
      <c r="F121" s="11">
        <v>46169</v>
      </c>
      <c r="G121" s="6" t="s">
        <v>1079</v>
      </c>
      <c r="H121" s="7"/>
      <c r="I121" s="7" t="s">
        <v>456</v>
      </c>
      <c r="J121" s="7" t="s">
        <v>248</v>
      </c>
      <c r="K121" s="7" t="s">
        <v>29</v>
      </c>
      <c r="L121" s="3" t="str">
        <f>E121&amp;D121</f>
        <v>E.SP.IPAEE_INS_CONF_C_I_MCH 110V GRS 55BR R_0180</v>
      </c>
      <c r="M121" s="3" t="str">
        <f>IFERROR(MID(D121,SEARCH("S_I_",D121,1),3),"")</f>
        <v/>
      </c>
      <c r="N121" s="3" t="str">
        <f>IFERROR(MID(D121,SEARCH("C_I_",D121,1),3),"")</f>
        <v>C_I</v>
      </c>
      <c r="O121" s="3" t="str">
        <f>IF(AND(M121="",N121=""),"Extra","")</f>
        <v/>
      </c>
      <c r="P121" s="3" t="str">
        <f>IF(Q121=0,"TERCEIRO","MRS")</f>
        <v>MRS</v>
      </c>
      <c r="Q121" s="8" t="str">
        <f>IFERROR(VLOOKUP(L121,#REF!,4,0),"0,00")</f>
        <v>0,00</v>
      </c>
      <c r="R121" s="9" t="s">
        <v>42</v>
      </c>
      <c r="S121" s="9">
        <f>COUNTIF(D121,"*_SEG_*")</f>
        <v>0</v>
      </c>
      <c r="T121" s="9">
        <f>COUNTIF(D121,"*_MAN_*")</f>
        <v>0</v>
      </c>
      <c r="U121" s="9">
        <f>(RIGHT(D121,4))*1</f>
        <v>180</v>
      </c>
      <c r="V121" s="9" t="str">
        <f>IFERROR(VLOOKUP(I121,#REF!,2,0),"Sinalização")</f>
        <v>Sinalização</v>
      </c>
    </row>
    <row r="122" spans="1:22" x14ac:dyDescent="0.25">
      <c r="A122" s="3" t="s">
        <v>22</v>
      </c>
      <c r="B122" s="4">
        <v>23132720</v>
      </c>
      <c r="C122" s="5" t="s">
        <v>23</v>
      </c>
      <c r="D122" s="6" t="s">
        <v>246</v>
      </c>
      <c r="E122" s="6" t="s">
        <v>25</v>
      </c>
      <c r="F122" s="11">
        <v>46169</v>
      </c>
      <c r="G122" s="6" t="s">
        <v>1079</v>
      </c>
      <c r="H122" s="7"/>
      <c r="I122" s="7" t="s">
        <v>481</v>
      </c>
      <c r="J122" s="7" t="s">
        <v>248</v>
      </c>
      <c r="K122" s="7" t="s">
        <v>29</v>
      </c>
      <c r="L122" s="3" t="str">
        <f>E122&amp;D122</f>
        <v>E.SP.IPAEE_INS_CONF_C_I_MCH 110V GRS 55BR R_0180</v>
      </c>
      <c r="M122" s="3" t="str">
        <f>IFERROR(MID(D122,SEARCH("S_I_",D122,1),3),"")</f>
        <v/>
      </c>
      <c r="N122" s="3" t="str">
        <f>IFERROR(MID(D122,SEARCH("C_I_",D122,1),3),"")</f>
        <v>C_I</v>
      </c>
      <c r="O122" s="3" t="str">
        <f>IF(AND(M122="",N122=""),"Extra","")</f>
        <v/>
      </c>
      <c r="P122" s="3" t="str">
        <f>IF(Q122=0,"TERCEIRO","MRS")</f>
        <v>MRS</v>
      </c>
      <c r="Q122" s="8" t="str">
        <f>IFERROR(VLOOKUP(L122,#REF!,4,0),"0,00")</f>
        <v>0,00</v>
      </c>
      <c r="R122" s="9" t="s">
        <v>42</v>
      </c>
      <c r="S122" s="9">
        <f>COUNTIF(D122,"*_SEG_*")</f>
        <v>0</v>
      </c>
      <c r="T122" s="9">
        <f>COUNTIF(D122,"*_MAN_*")</f>
        <v>0</v>
      </c>
      <c r="U122" s="9">
        <f>(RIGHT(D122,4))*1</f>
        <v>180</v>
      </c>
      <c r="V122" s="9" t="str">
        <f>IFERROR(VLOOKUP(I122,#REF!,2,0),"Sinalização")</f>
        <v>Sinalização</v>
      </c>
    </row>
    <row r="123" spans="1:22" x14ac:dyDescent="0.25">
      <c r="A123" s="3" t="s">
        <v>22</v>
      </c>
      <c r="B123" s="4">
        <v>23132721</v>
      </c>
      <c r="C123" s="5" t="s">
        <v>23</v>
      </c>
      <c r="D123" s="6" t="s">
        <v>246</v>
      </c>
      <c r="E123" s="6" t="s">
        <v>25</v>
      </c>
      <c r="F123" s="11">
        <v>46169</v>
      </c>
      <c r="G123" s="6" t="s">
        <v>1079</v>
      </c>
      <c r="H123" s="7"/>
      <c r="I123" s="7" t="s">
        <v>482</v>
      </c>
      <c r="J123" s="7" t="s">
        <v>248</v>
      </c>
      <c r="K123" s="7" t="s">
        <v>29</v>
      </c>
      <c r="L123" s="3" t="str">
        <f>E123&amp;D123</f>
        <v>E.SP.IPAEE_INS_CONF_C_I_MCH 110V GRS 55BR R_0180</v>
      </c>
      <c r="M123" s="3" t="str">
        <f>IFERROR(MID(D123,SEARCH("S_I_",D123,1),3),"")</f>
        <v/>
      </c>
      <c r="N123" s="3" t="str">
        <f>IFERROR(MID(D123,SEARCH("C_I_",D123,1),3),"")</f>
        <v>C_I</v>
      </c>
      <c r="O123" s="3" t="str">
        <f>IF(AND(M123="",N123=""),"Extra","")</f>
        <v/>
      </c>
      <c r="P123" s="3" t="str">
        <f>IF(Q123=0,"TERCEIRO","MRS")</f>
        <v>MRS</v>
      </c>
      <c r="Q123" s="8" t="str">
        <f>IFERROR(VLOOKUP(L123,#REF!,4,0),"0,00")</f>
        <v>0,00</v>
      </c>
      <c r="R123" s="9" t="s">
        <v>42</v>
      </c>
      <c r="S123" s="9">
        <f>COUNTIF(D123,"*_SEG_*")</f>
        <v>0</v>
      </c>
      <c r="T123" s="9">
        <f>COUNTIF(D123,"*_MAN_*")</f>
        <v>0</v>
      </c>
      <c r="U123" s="9">
        <f>(RIGHT(D123,4))*1</f>
        <v>180</v>
      </c>
      <c r="V123" s="9" t="str">
        <f>IFERROR(VLOOKUP(I123,#REF!,2,0),"Sinalização")</f>
        <v>Sinalização</v>
      </c>
    </row>
    <row r="124" spans="1:22" x14ac:dyDescent="0.25">
      <c r="A124" s="3" t="s">
        <v>22</v>
      </c>
      <c r="B124" s="4">
        <v>23132722</v>
      </c>
      <c r="C124" s="5" t="s">
        <v>23</v>
      </c>
      <c r="D124" s="6" t="s">
        <v>246</v>
      </c>
      <c r="E124" s="6" t="s">
        <v>25</v>
      </c>
      <c r="F124" s="11">
        <v>46169</v>
      </c>
      <c r="G124" s="6" t="s">
        <v>1079</v>
      </c>
      <c r="H124" s="7"/>
      <c r="I124" s="7" t="s">
        <v>479</v>
      </c>
      <c r="J124" s="7" t="s">
        <v>248</v>
      </c>
      <c r="K124" s="7" t="s">
        <v>29</v>
      </c>
      <c r="L124" s="3" t="str">
        <f>E124&amp;D124</f>
        <v>E.SP.IPAEE_INS_CONF_C_I_MCH 110V GRS 55BR R_0180</v>
      </c>
      <c r="M124" s="3" t="str">
        <f>IFERROR(MID(D124,SEARCH("S_I_",D124,1),3),"")</f>
        <v/>
      </c>
      <c r="N124" s="3" t="str">
        <f>IFERROR(MID(D124,SEARCH("C_I_",D124,1),3),"")</f>
        <v>C_I</v>
      </c>
      <c r="O124" s="3" t="str">
        <f>IF(AND(M124="",N124=""),"Extra","")</f>
        <v/>
      </c>
      <c r="P124" s="3" t="str">
        <f>IF(Q124=0,"TERCEIRO","MRS")</f>
        <v>MRS</v>
      </c>
      <c r="Q124" s="8" t="str">
        <f>IFERROR(VLOOKUP(L124,#REF!,4,0),"0,00")</f>
        <v>0,00</v>
      </c>
      <c r="R124" s="9" t="s">
        <v>42</v>
      </c>
      <c r="S124" s="9">
        <f>COUNTIF(D124,"*_SEG_*")</f>
        <v>0</v>
      </c>
      <c r="T124" s="9">
        <f>COUNTIF(D124,"*_MAN_*")</f>
        <v>0</v>
      </c>
      <c r="U124" s="9">
        <f>(RIGHT(D124,4))*1</f>
        <v>180</v>
      </c>
      <c r="V124" s="9" t="str">
        <f>IFERROR(VLOOKUP(I124,#REF!,2,0),"Sinalização")</f>
        <v>Sinalização</v>
      </c>
    </row>
    <row r="125" spans="1:22" x14ac:dyDescent="0.25">
      <c r="A125" s="3" t="s">
        <v>22</v>
      </c>
      <c r="B125" s="4">
        <v>23132723</v>
      </c>
      <c r="C125" s="5" t="s">
        <v>23</v>
      </c>
      <c r="D125" s="6" t="s">
        <v>246</v>
      </c>
      <c r="E125" s="6" t="s">
        <v>25</v>
      </c>
      <c r="F125" s="11">
        <v>46169</v>
      </c>
      <c r="G125" s="6" t="s">
        <v>1079</v>
      </c>
      <c r="H125" s="7"/>
      <c r="I125" s="7" t="s">
        <v>480</v>
      </c>
      <c r="J125" s="7" t="s">
        <v>248</v>
      </c>
      <c r="K125" s="7" t="s">
        <v>29</v>
      </c>
      <c r="L125" s="3" t="str">
        <f>E125&amp;D125</f>
        <v>E.SP.IPAEE_INS_CONF_C_I_MCH 110V GRS 55BR R_0180</v>
      </c>
      <c r="M125" s="3" t="str">
        <f>IFERROR(MID(D125,SEARCH("S_I_",D125,1),3),"")</f>
        <v/>
      </c>
      <c r="N125" s="3" t="str">
        <f>IFERROR(MID(D125,SEARCH("C_I_",D125,1),3),"")</f>
        <v>C_I</v>
      </c>
      <c r="O125" s="3" t="str">
        <f>IF(AND(M125="",N125=""),"Extra","")</f>
        <v/>
      </c>
      <c r="P125" s="3" t="str">
        <f>IF(Q125=0,"TERCEIRO","MRS")</f>
        <v>MRS</v>
      </c>
      <c r="Q125" s="8" t="str">
        <f>IFERROR(VLOOKUP(L125,#REF!,4,0),"0,00")</f>
        <v>0,00</v>
      </c>
      <c r="R125" s="9" t="s">
        <v>42</v>
      </c>
      <c r="S125" s="9">
        <f>COUNTIF(D125,"*_SEG_*")</f>
        <v>0</v>
      </c>
      <c r="T125" s="9">
        <f>COUNTIF(D125,"*_MAN_*")</f>
        <v>0</v>
      </c>
      <c r="U125" s="9">
        <f>(RIGHT(D125,4))*1</f>
        <v>180</v>
      </c>
      <c r="V125" s="9" t="str">
        <f>IFERROR(VLOOKUP(I125,#REF!,2,0),"Sinalização")</f>
        <v>Sinalização</v>
      </c>
    </row>
    <row r="126" spans="1:22" x14ac:dyDescent="0.25">
      <c r="A126" s="3" t="s">
        <v>22</v>
      </c>
      <c r="B126" s="4">
        <v>23132863</v>
      </c>
      <c r="C126" s="5" t="s">
        <v>23</v>
      </c>
      <c r="D126" s="6" t="s">
        <v>255</v>
      </c>
      <c r="E126" s="6" t="s">
        <v>25</v>
      </c>
      <c r="F126" s="11">
        <v>46169</v>
      </c>
      <c r="G126" s="6" t="s">
        <v>1079</v>
      </c>
      <c r="H126" s="7"/>
      <c r="I126" s="7" t="s">
        <v>483</v>
      </c>
      <c r="J126" s="7" t="s">
        <v>257</v>
      </c>
      <c r="K126" s="7" t="s">
        <v>29</v>
      </c>
      <c r="L126" s="3" t="str">
        <f>E126&amp;D126</f>
        <v>E.SP.IPAEE_INS_CONF_S_I_MCH 110V GRS 55BR R_0180</v>
      </c>
      <c r="M126" s="3" t="str">
        <f>IFERROR(MID(D126,SEARCH("S_I_",D126,1),3),"")</f>
        <v>S_I</v>
      </c>
      <c r="N126" s="3" t="str">
        <f>IFERROR(MID(D126,SEARCH("C_I_",D126,1),3),"")</f>
        <v/>
      </c>
      <c r="O126" s="3" t="str">
        <f>IF(AND(M126="",N126=""),"Extra","")</f>
        <v/>
      </c>
      <c r="P126" s="3" t="str">
        <f>IF(Q126=0,"TERCEIRO","MRS")</f>
        <v>MRS</v>
      </c>
      <c r="Q126" s="8" t="str">
        <f>IFERROR(VLOOKUP(L126,#REF!,4,0),"0,00")</f>
        <v>0,00</v>
      </c>
      <c r="R126" s="9" t="s">
        <v>42</v>
      </c>
      <c r="S126" s="9">
        <f>COUNTIF(D126,"*_SEG_*")</f>
        <v>0</v>
      </c>
      <c r="T126" s="9">
        <f>COUNTIF(D126,"*_MAN_*")</f>
        <v>0</v>
      </c>
      <c r="U126" s="9">
        <f>(RIGHT(D126,4))*1</f>
        <v>180</v>
      </c>
      <c r="V126" s="9" t="str">
        <f>IFERROR(VLOOKUP(I126,#REF!,2,0),"Sinalização")</f>
        <v>Sinalização</v>
      </c>
    </row>
    <row r="127" spans="1:22" x14ac:dyDescent="0.25">
      <c r="A127" s="3" t="s">
        <v>22</v>
      </c>
      <c r="B127" s="4">
        <v>23132864</v>
      </c>
      <c r="C127" s="5" t="s">
        <v>23</v>
      </c>
      <c r="D127" s="6" t="s">
        <v>255</v>
      </c>
      <c r="E127" s="6" t="s">
        <v>25</v>
      </c>
      <c r="F127" s="11">
        <v>46169</v>
      </c>
      <c r="G127" s="6" t="s">
        <v>1079</v>
      </c>
      <c r="H127" s="7"/>
      <c r="I127" s="7" t="s">
        <v>480</v>
      </c>
      <c r="J127" s="7" t="s">
        <v>257</v>
      </c>
      <c r="K127" s="7" t="s">
        <v>29</v>
      </c>
      <c r="L127" s="3" t="str">
        <f>E127&amp;D127</f>
        <v>E.SP.IPAEE_INS_CONF_S_I_MCH 110V GRS 55BR R_0180</v>
      </c>
      <c r="M127" s="3" t="str">
        <f>IFERROR(MID(D127,SEARCH("S_I_",D127,1),3),"")</f>
        <v>S_I</v>
      </c>
      <c r="N127" s="3" t="str">
        <f>IFERROR(MID(D127,SEARCH("C_I_",D127,1),3),"")</f>
        <v/>
      </c>
      <c r="O127" s="3" t="str">
        <f>IF(AND(M127="",N127=""),"Extra","")</f>
        <v/>
      </c>
      <c r="P127" s="3" t="str">
        <f>IF(Q127=0,"TERCEIRO","MRS")</f>
        <v>MRS</v>
      </c>
      <c r="Q127" s="8" t="str">
        <f>IFERROR(VLOOKUP(L127,#REF!,4,0),"0,00")</f>
        <v>0,00</v>
      </c>
      <c r="R127" s="9" t="s">
        <v>42</v>
      </c>
      <c r="S127" s="9">
        <f>COUNTIF(D127,"*_SEG_*")</f>
        <v>0</v>
      </c>
      <c r="T127" s="9">
        <f>COUNTIF(D127,"*_MAN_*")</f>
        <v>0</v>
      </c>
      <c r="U127" s="9">
        <f>(RIGHT(D127,4))*1</f>
        <v>180</v>
      </c>
      <c r="V127" s="9" t="str">
        <f>IFERROR(VLOOKUP(I127,#REF!,2,0),"Sinalização")</f>
        <v>Sinalização</v>
      </c>
    </row>
    <row r="128" spans="1:22" x14ac:dyDescent="0.25">
      <c r="A128" s="3" t="s">
        <v>22</v>
      </c>
      <c r="B128" s="4">
        <v>23132868</v>
      </c>
      <c r="C128" s="5" t="s">
        <v>23</v>
      </c>
      <c r="D128" s="6" t="s">
        <v>255</v>
      </c>
      <c r="E128" s="6" t="s">
        <v>25</v>
      </c>
      <c r="F128" s="11">
        <v>46169</v>
      </c>
      <c r="G128" s="6" t="s">
        <v>1079</v>
      </c>
      <c r="H128" s="7"/>
      <c r="I128" s="7" t="s">
        <v>479</v>
      </c>
      <c r="J128" s="7" t="s">
        <v>257</v>
      </c>
      <c r="K128" s="7" t="s">
        <v>29</v>
      </c>
      <c r="L128" s="3" t="str">
        <f>E128&amp;D128</f>
        <v>E.SP.IPAEE_INS_CONF_S_I_MCH 110V GRS 55BR R_0180</v>
      </c>
      <c r="M128" s="3" t="str">
        <f>IFERROR(MID(D128,SEARCH("S_I_",D128,1),3),"")</f>
        <v>S_I</v>
      </c>
      <c r="N128" s="3" t="str">
        <f>IFERROR(MID(D128,SEARCH("C_I_",D128,1),3),"")</f>
        <v/>
      </c>
      <c r="O128" s="3" t="str">
        <f>IF(AND(M128="",N128=""),"Extra","")</f>
        <v/>
      </c>
      <c r="P128" s="3" t="str">
        <f>IF(Q128=0,"TERCEIRO","MRS")</f>
        <v>MRS</v>
      </c>
      <c r="Q128" s="8" t="str">
        <f>IFERROR(VLOOKUP(L128,#REF!,4,0),"0,00")</f>
        <v>0,00</v>
      </c>
      <c r="R128" s="9" t="s">
        <v>42</v>
      </c>
      <c r="S128" s="9">
        <f>COUNTIF(D128,"*_SEG_*")</f>
        <v>0</v>
      </c>
      <c r="T128" s="9">
        <f>COUNTIF(D128,"*_MAN_*")</f>
        <v>0</v>
      </c>
      <c r="U128" s="9">
        <f>(RIGHT(D128,4))*1</f>
        <v>180</v>
      </c>
      <c r="V128" s="9" t="str">
        <f>IFERROR(VLOOKUP(I128,#REF!,2,0),"Sinalização")</f>
        <v>Sinalização</v>
      </c>
    </row>
    <row r="129" spans="1:22" x14ac:dyDescent="0.25">
      <c r="A129" s="3" t="s">
        <v>22</v>
      </c>
      <c r="B129" s="4">
        <v>23132869</v>
      </c>
      <c r="C129" s="5" t="s">
        <v>23</v>
      </c>
      <c r="D129" s="6" t="s">
        <v>255</v>
      </c>
      <c r="E129" s="6" t="s">
        <v>25</v>
      </c>
      <c r="F129" s="11">
        <v>46169</v>
      </c>
      <c r="G129" s="6" t="s">
        <v>1079</v>
      </c>
      <c r="H129" s="7"/>
      <c r="I129" s="7" t="s">
        <v>481</v>
      </c>
      <c r="J129" s="7" t="s">
        <v>257</v>
      </c>
      <c r="K129" s="7" t="s">
        <v>29</v>
      </c>
      <c r="L129" s="3" t="str">
        <f>E129&amp;D129</f>
        <v>E.SP.IPAEE_INS_CONF_S_I_MCH 110V GRS 55BR R_0180</v>
      </c>
      <c r="M129" s="3" t="str">
        <f>IFERROR(MID(D129,SEARCH("S_I_",D129,1),3),"")</f>
        <v>S_I</v>
      </c>
      <c r="N129" s="3" t="str">
        <f>IFERROR(MID(D129,SEARCH("C_I_",D129,1),3),"")</f>
        <v/>
      </c>
      <c r="O129" s="3" t="str">
        <f>IF(AND(M129="",N129=""),"Extra","")</f>
        <v/>
      </c>
      <c r="P129" s="3" t="str">
        <f>IF(Q129=0,"TERCEIRO","MRS")</f>
        <v>MRS</v>
      </c>
      <c r="Q129" s="8" t="str">
        <f>IFERROR(VLOOKUP(L129,#REF!,4,0),"0,00")</f>
        <v>0,00</v>
      </c>
      <c r="R129" s="9" t="s">
        <v>42</v>
      </c>
      <c r="S129" s="9">
        <f>COUNTIF(D129,"*_SEG_*")</f>
        <v>0</v>
      </c>
      <c r="T129" s="9">
        <f>COUNTIF(D129,"*_MAN_*")</f>
        <v>0</v>
      </c>
      <c r="U129" s="9">
        <f>(RIGHT(D129,4))*1</f>
        <v>180</v>
      </c>
      <c r="V129" s="9" t="str">
        <f>IFERROR(VLOOKUP(I129,#REF!,2,0),"Sinalização")</f>
        <v>Sinalização</v>
      </c>
    </row>
    <row r="130" spans="1:22" x14ac:dyDescent="0.25">
      <c r="A130" s="3" t="s">
        <v>22</v>
      </c>
      <c r="B130" s="4">
        <v>23132870</v>
      </c>
      <c r="C130" s="5" t="s">
        <v>23</v>
      </c>
      <c r="D130" s="6" t="s">
        <v>255</v>
      </c>
      <c r="E130" s="6" t="s">
        <v>25</v>
      </c>
      <c r="F130" s="11">
        <v>46169</v>
      </c>
      <c r="G130" s="6" t="s">
        <v>1079</v>
      </c>
      <c r="H130" s="7"/>
      <c r="I130" s="7" t="s">
        <v>482</v>
      </c>
      <c r="J130" s="7" t="s">
        <v>257</v>
      </c>
      <c r="K130" s="7" t="s">
        <v>29</v>
      </c>
      <c r="L130" s="3" t="str">
        <f>E130&amp;D130</f>
        <v>E.SP.IPAEE_INS_CONF_S_I_MCH 110V GRS 55BR R_0180</v>
      </c>
      <c r="M130" s="3" t="str">
        <f>IFERROR(MID(D130,SEARCH("S_I_",D130,1),3),"")</f>
        <v>S_I</v>
      </c>
      <c r="N130" s="3" t="str">
        <f>IFERROR(MID(D130,SEARCH("C_I_",D130,1),3),"")</f>
        <v/>
      </c>
      <c r="O130" s="3" t="str">
        <f>IF(AND(M130="",N130=""),"Extra","")</f>
        <v/>
      </c>
      <c r="P130" s="3" t="str">
        <f>IF(Q130=0,"TERCEIRO","MRS")</f>
        <v>MRS</v>
      </c>
      <c r="Q130" s="8" t="str">
        <f>IFERROR(VLOOKUP(L130,#REF!,4,0),"0,00")</f>
        <v>0,00</v>
      </c>
      <c r="R130" s="9" t="s">
        <v>42</v>
      </c>
      <c r="S130" s="9">
        <f>COUNTIF(D130,"*_SEG_*")</f>
        <v>0</v>
      </c>
      <c r="T130" s="9">
        <f>COUNTIF(D130,"*_MAN_*")</f>
        <v>0</v>
      </c>
      <c r="U130" s="9">
        <f>(RIGHT(D130,4))*1</f>
        <v>180</v>
      </c>
      <c r="V130" s="9" t="str">
        <f>IFERROR(VLOOKUP(I130,#REF!,2,0),"Sinalização")</f>
        <v>Sinalização</v>
      </c>
    </row>
    <row r="131" spans="1:22" x14ac:dyDescent="0.25">
      <c r="A131" s="3" t="s">
        <v>22</v>
      </c>
      <c r="B131" s="4">
        <v>23132954</v>
      </c>
      <c r="C131" s="5" t="s">
        <v>23</v>
      </c>
      <c r="D131" s="6" t="s">
        <v>259</v>
      </c>
      <c r="E131" s="6" t="s">
        <v>25</v>
      </c>
      <c r="F131" s="11">
        <v>46169</v>
      </c>
      <c r="G131" s="6" t="s">
        <v>1079</v>
      </c>
      <c r="H131" s="7"/>
      <c r="I131" s="7" t="s">
        <v>487</v>
      </c>
      <c r="J131" s="7" t="s">
        <v>261</v>
      </c>
      <c r="K131" s="7" t="s">
        <v>29</v>
      </c>
      <c r="L131" s="3" t="str">
        <f>E131&amp;D131</f>
        <v>E.SP.IPAEE_INS_SEG_S_I_BL INT RELÉ S/ BAT_0180</v>
      </c>
      <c r="M131" s="3" t="str">
        <f>IFERROR(MID(D131,SEARCH("S_I_",D131,1),3),"")</f>
        <v>S_I</v>
      </c>
      <c r="N131" s="3" t="str">
        <f>IFERROR(MID(D131,SEARCH("C_I_",D131,1),3),"")</f>
        <v/>
      </c>
      <c r="O131" s="3" t="str">
        <f>IF(AND(M131="",N131=""),"Extra","")</f>
        <v/>
      </c>
      <c r="P131" s="3" t="str">
        <f>IF(Q131=0,"TERCEIRO","MRS")</f>
        <v>MRS</v>
      </c>
      <c r="Q131" s="8" t="str">
        <f>IFERROR(VLOOKUP(L131,#REF!,4,0),"0,00")</f>
        <v>0,00</v>
      </c>
      <c r="R131" s="9" t="s">
        <v>30</v>
      </c>
      <c r="S131" s="9">
        <f>COUNTIF(D131,"*_SEG_*")</f>
        <v>1</v>
      </c>
      <c r="T131" s="9">
        <f>COUNTIF(D131,"*_MAN_*")</f>
        <v>0</v>
      </c>
      <c r="U131" s="9">
        <f>(RIGHT(D131,4))*1</f>
        <v>180</v>
      </c>
      <c r="V131" s="9" t="str">
        <f>IFERROR(VLOOKUP(I131,#REF!,2,0),"Sinalização")</f>
        <v>Sinalização</v>
      </c>
    </row>
    <row r="132" spans="1:22" x14ac:dyDescent="0.25">
      <c r="A132" s="3" t="s">
        <v>22</v>
      </c>
      <c r="B132" s="4">
        <v>23132955</v>
      </c>
      <c r="C132" s="5" t="s">
        <v>23</v>
      </c>
      <c r="D132" s="6" t="s">
        <v>259</v>
      </c>
      <c r="E132" s="6" t="s">
        <v>25</v>
      </c>
      <c r="F132" s="11">
        <v>46169</v>
      </c>
      <c r="G132" s="6" t="s">
        <v>1079</v>
      </c>
      <c r="H132" s="7"/>
      <c r="I132" s="7" t="s">
        <v>488</v>
      </c>
      <c r="J132" s="7" t="s">
        <v>261</v>
      </c>
      <c r="K132" s="7" t="s">
        <v>29</v>
      </c>
      <c r="L132" s="3" t="str">
        <f>E132&amp;D132</f>
        <v>E.SP.IPAEE_INS_SEG_S_I_BL INT RELÉ S/ BAT_0180</v>
      </c>
      <c r="M132" s="3" t="str">
        <f>IFERROR(MID(D132,SEARCH("S_I_",D132,1),3),"")</f>
        <v>S_I</v>
      </c>
      <c r="N132" s="3" t="str">
        <f>IFERROR(MID(D132,SEARCH("C_I_",D132,1),3),"")</f>
        <v/>
      </c>
      <c r="O132" s="3" t="str">
        <f>IF(AND(M132="",N132=""),"Extra","")</f>
        <v/>
      </c>
      <c r="P132" s="3" t="str">
        <f>IF(Q132=0,"TERCEIRO","MRS")</f>
        <v>MRS</v>
      </c>
      <c r="Q132" s="8" t="str">
        <f>IFERROR(VLOOKUP(L132,#REF!,4,0),"0,00")</f>
        <v>0,00</v>
      </c>
      <c r="R132" s="9" t="s">
        <v>30</v>
      </c>
      <c r="S132" s="9">
        <f>COUNTIF(D132,"*_SEG_*")</f>
        <v>1</v>
      </c>
      <c r="T132" s="9">
        <f>COUNTIF(D132,"*_MAN_*")</f>
        <v>0</v>
      </c>
      <c r="U132" s="9">
        <f>(RIGHT(D132,4))*1</f>
        <v>180</v>
      </c>
      <c r="V132" s="9" t="str">
        <f>IFERROR(VLOOKUP(I132,#REF!,2,0),"Sinalização")</f>
        <v>Sinalização</v>
      </c>
    </row>
    <row r="133" spans="1:22" x14ac:dyDescent="0.25">
      <c r="A133" s="3" t="s">
        <v>22</v>
      </c>
      <c r="B133" s="4">
        <v>23133742</v>
      </c>
      <c r="C133" s="5" t="s">
        <v>23</v>
      </c>
      <c r="D133" s="6" t="s">
        <v>460</v>
      </c>
      <c r="E133" s="6" t="s">
        <v>25</v>
      </c>
      <c r="F133" s="11">
        <v>46169</v>
      </c>
      <c r="G133" s="6" t="s">
        <v>1079</v>
      </c>
      <c r="H133" s="7"/>
      <c r="I133" s="7" t="s">
        <v>489</v>
      </c>
      <c r="J133" s="7" t="s">
        <v>462</v>
      </c>
      <c r="K133" s="7" t="s">
        <v>29</v>
      </c>
      <c r="L133" s="3" t="str">
        <f>E133&amp;D133</f>
        <v>E.SP.IPAEE_INS_CONF_S_I_33 KV CREMALHEIRA_0180</v>
      </c>
      <c r="M133" s="3" t="str">
        <f>IFERROR(MID(D133,SEARCH("S_I_",D133,1),3),"")</f>
        <v>S_I</v>
      </c>
      <c r="N133" s="3" t="str">
        <f>IFERROR(MID(D133,SEARCH("C_I_",D133,1),3),"")</f>
        <v/>
      </c>
      <c r="O133" s="3" t="str">
        <f>IF(AND(M133="",N133=""),"Extra","")</f>
        <v/>
      </c>
      <c r="P133" s="3" t="str">
        <f>IF(Q133=0,"TERCEIRO","MRS")</f>
        <v>MRS</v>
      </c>
      <c r="Q133" s="8" t="str">
        <f>IFERROR(VLOOKUP(L133,#REF!,4,0),"0,00")</f>
        <v>0,00</v>
      </c>
      <c r="R133" s="9" t="s">
        <v>42</v>
      </c>
      <c r="S133" s="9">
        <f>COUNTIF(D133,"*_SEG_*")</f>
        <v>0</v>
      </c>
      <c r="T133" s="9">
        <f>COUNTIF(D133,"*_MAN_*")</f>
        <v>0</v>
      </c>
      <c r="U133" s="9">
        <f>(RIGHT(D133,4))*1</f>
        <v>180</v>
      </c>
      <c r="V133" s="9" t="str">
        <f>IFERROR(VLOOKUP(I133,#REF!,2,0),"Sinalização")</f>
        <v>Sinalização</v>
      </c>
    </row>
    <row r="134" spans="1:22" x14ac:dyDescent="0.25">
      <c r="A134" s="3" t="s">
        <v>22</v>
      </c>
      <c r="B134" s="4">
        <v>23133743</v>
      </c>
      <c r="C134" s="5" t="s">
        <v>23</v>
      </c>
      <c r="D134" s="6" t="s">
        <v>460</v>
      </c>
      <c r="E134" s="6" t="s">
        <v>25</v>
      </c>
      <c r="F134" s="11">
        <v>46169</v>
      </c>
      <c r="G134" s="6" t="s">
        <v>1079</v>
      </c>
      <c r="H134" s="7"/>
      <c r="I134" s="7" t="s">
        <v>490</v>
      </c>
      <c r="J134" s="7" t="s">
        <v>462</v>
      </c>
      <c r="K134" s="7" t="s">
        <v>29</v>
      </c>
      <c r="L134" s="3" t="str">
        <f>E134&amp;D134</f>
        <v>E.SP.IPAEE_INS_CONF_S_I_33 KV CREMALHEIRA_0180</v>
      </c>
      <c r="M134" s="3" t="str">
        <f>IFERROR(MID(D134,SEARCH("S_I_",D134,1),3),"")</f>
        <v>S_I</v>
      </c>
      <c r="N134" s="3" t="str">
        <f>IFERROR(MID(D134,SEARCH("C_I_",D134,1),3),"")</f>
        <v/>
      </c>
      <c r="O134" s="3" t="str">
        <f>IF(AND(M134="",N134=""),"Extra","")</f>
        <v/>
      </c>
      <c r="P134" s="3" t="str">
        <f>IF(Q134=0,"TERCEIRO","MRS")</f>
        <v>MRS</v>
      </c>
      <c r="Q134" s="8" t="str">
        <f>IFERROR(VLOOKUP(L134,#REF!,4,0),"0,00")</f>
        <v>0,00</v>
      </c>
      <c r="R134" s="9" t="s">
        <v>42</v>
      </c>
      <c r="S134" s="9">
        <f>COUNTIF(D134,"*_SEG_*")</f>
        <v>0</v>
      </c>
      <c r="T134" s="9">
        <f>COUNTIF(D134,"*_MAN_*")</f>
        <v>0</v>
      </c>
      <c r="U134" s="9">
        <f>(RIGHT(D134,4))*1</f>
        <v>180</v>
      </c>
      <c r="V134" s="9" t="str">
        <f>IFERROR(VLOOKUP(I134,#REF!,2,0),"Sinalização")</f>
        <v>Sinalização</v>
      </c>
    </row>
    <row r="135" spans="1:22" x14ac:dyDescent="0.25">
      <c r="A135" s="3" t="s">
        <v>22</v>
      </c>
      <c r="B135" s="4">
        <v>23133745</v>
      </c>
      <c r="C135" s="5" t="s">
        <v>23</v>
      </c>
      <c r="D135" s="6" t="s">
        <v>460</v>
      </c>
      <c r="E135" s="6" t="s">
        <v>25</v>
      </c>
      <c r="F135" s="11">
        <v>46169</v>
      </c>
      <c r="G135" s="6" t="s">
        <v>1079</v>
      </c>
      <c r="H135" s="7"/>
      <c r="I135" s="7" t="s">
        <v>491</v>
      </c>
      <c r="J135" s="7" t="s">
        <v>462</v>
      </c>
      <c r="K135" s="7" t="s">
        <v>29</v>
      </c>
      <c r="L135" s="3" t="str">
        <f>E135&amp;D135</f>
        <v>E.SP.IPAEE_INS_CONF_S_I_33 KV CREMALHEIRA_0180</v>
      </c>
      <c r="M135" s="3" t="str">
        <f>IFERROR(MID(D135,SEARCH("S_I_",D135,1),3),"")</f>
        <v>S_I</v>
      </c>
      <c r="N135" s="3" t="str">
        <f>IFERROR(MID(D135,SEARCH("C_I_",D135,1),3),"")</f>
        <v/>
      </c>
      <c r="O135" s="3" t="str">
        <f>IF(AND(M135="",N135=""),"Extra","")</f>
        <v/>
      </c>
      <c r="P135" s="3" t="str">
        <f>IF(Q135=0,"TERCEIRO","MRS")</f>
        <v>MRS</v>
      </c>
      <c r="Q135" s="8" t="str">
        <f>IFERROR(VLOOKUP(L135,#REF!,4,0),"0,00")</f>
        <v>0,00</v>
      </c>
      <c r="R135" s="9" t="s">
        <v>42</v>
      </c>
      <c r="S135" s="9">
        <f>COUNTIF(D135,"*_SEG_*")</f>
        <v>0</v>
      </c>
      <c r="T135" s="9">
        <f>COUNTIF(D135,"*_MAN_*")</f>
        <v>0</v>
      </c>
      <c r="U135" s="9">
        <f>(RIGHT(D135,4))*1</f>
        <v>180</v>
      </c>
      <c r="V135" s="9" t="str">
        <f>IFERROR(VLOOKUP(I135,#REF!,2,0),"Sinalização")</f>
        <v>Sinalização</v>
      </c>
    </row>
    <row r="136" spans="1:22" x14ac:dyDescent="0.25">
      <c r="A136" s="3" t="s">
        <v>22</v>
      </c>
      <c r="B136" s="4">
        <v>23133747</v>
      </c>
      <c r="C136" s="5" t="s">
        <v>23</v>
      </c>
      <c r="D136" s="6" t="s">
        <v>460</v>
      </c>
      <c r="E136" s="6" t="s">
        <v>25</v>
      </c>
      <c r="F136" s="11">
        <v>46169</v>
      </c>
      <c r="G136" s="6" t="s">
        <v>1079</v>
      </c>
      <c r="H136" s="7"/>
      <c r="I136" s="7" t="s">
        <v>492</v>
      </c>
      <c r="J136" s="7" t="s">
        <v>462</v>
      </c>
      <c r="K136" s="7" t="s">
        <v>29</v>
      </c>
      <c r="L136" s="3" t="str">
        <f>E136&amp;D136</f>
        <v>E.SP.IPAEE_INS_CONF_S_I_33 KV CREMALHEIRA_0180</v>
      </c>
      <c r="M136" s="3" t="str">
        <f>IFERROR(MID(D136,SEARCH("S_I_",D136,1),3),"")</f>
        <v>S_I</v>
      </c>
      <c r="N136" s="3" t="str">
        <f>IFERROR(MID(D136,SEARCH("C_I_",D136,1),3),"")</f>
        <v/>
      </c>
      <c r="O136" s="3" t="str">
        <f>IF(AND(M136="",N136=""),"Extra","")</f>
        <v/>
      </c>
      <c r="P136" s="3" t="str">
        <f>IF(Q136=0,"TERCEIRO","MRS")</f>
        <v>MRS</v>
      </c>
      <c r="Q136" s="8" t="str">
        <f>IFERROR(VLOOKUP(L136,#REF!,4,0),"0,00")</f>
        <v>0,00</v>
      </c>
      <c r="R136" s="9" t="s">
        <v>42</v>
      </c>
      <c r="S136" s="9">
        <f>COUNTIF(D136,"*_SEG_*")</f>
        <v>0</v>
      </c>
      <c r="T136" s="9">
        <f>COUNTIF(D136,"*_MAN_*")</f>
        <v>0</v>
      </c>
      <c r="U136" s="9">
        <f>(RIGHT(D136,4))*1</f>
        <v>180</v>
      </c>
      <c r="V136" s="9" t="str">
        <f>IFERROR(VLOOKUP(I136,#REF!,2,0),"Sinalização")</f>
        <v>Sinalização</v>
      </c>
    </row>
    <row r="137" spans="1:22" x14ac:dyDescent="0.25">
      <c r="A137" s="3" t="s">
        <v>22</v>
      </c>
      <c r="B137" s="4">
        <v>23133749</v>
      </c>
      <c r="C137" s="5" t="s">
        <v>23</v>
      </c>
      <c r="D137" s="6" t="s">
        <v>460</v>
      </c>
      <c r="E137" s="6" t="s">
        <v>25</v>
      </c>
      <c r="F137" s="11">
        <v>46169</v>
      </c>
      <c r="G137" s="6" t="s">
        <v>1079</v>
      </c>
      <c r="H137" s="7"/>
      <c r="I137" s="7" t="s">
        <v>493</v>
      </c>
      <c r="J137" s="7" t="s">
        <v>462</v>
      </c>
      <c r="K137" s="7" t="s">
        <v>29</v>
      </c>
      <c r="L137" s="3" t="str">
        <f>E137&amp;D137</f>
        <v>E.SP.IPAEE_INS_CONF_S_I_33 KV CREMALHEIRA_0180</v>
      </c>
      <c r="M137" s="3" t="str">
        <f>IFERROR(MID(D137,SEARCH("S_I_",D137,1),3),"")</f>
        <v>S_I</v>
      </c>
      <c r="N137" s="3" t="str">
        <f>IFERROR(MID(D137,SEARCH("C_I_",D137,1),3),"")</f>
        <v/>
      </c>
      <c r="O137" s="3" t="str">
        <f>IF(AND(M137="",N137=""),"Extra","")</f>
        <v/>
      </c>
      <c r="P137" s="3" t="str">
        <f>IF(Q137=0,"TERCEIRO","MRS")</f>
        <v>MRS</v>
      </c>
      <c r="Q137" s="8" t="str">
        <f>IFERROR(VLOOKUP(L137,#REF!,4,0),"0,00")</f>
        <v>0,00</v>
      </c>
      <c r="R137" s="9" t="s">
        <v>42</v>
      </c>
      <c r="S137" s="9">
        <f>COUNTIF(D137,"*_SEG_*")</f>
        <v>0</v>
      </c>
      <c r="T137" s="9">
        <f>COUNTIF(D137,"*_MAN_*")</f>
        <v>0</v>
      </c>
      <c r="U137" s="9">
        <f>(RIGHT(D137,4))*1</f>
        <v>180</v>
      </c>
      <c r="V137" s="9" t="str">
        <f>IFERROR(VLOOKUP(I137,#REF!,2,0),"Sinalização")</f>
        <v>Sinalização</v>
      </c>
    </row>
    <row r="138" spans="1:22" x14ac:dyDescent="0.25">
      <c r="A138" s="3" t="s">
        <v>22</v>
      </c>
      <c r="B138" s="4">
        <v>23360922</v>
      </c>
      <c r="C138" s="5" t="s">
        <v>23</v>
      </c>
      <c r="D138" s="6" t="s">
        <v>539</v>
      </c>
      <c r="E138" s="6" t="s">
        <v>25</v>
      </c>
      <c r="F138" s="11">
        <v>46169</v>
      </c>
      <c r="G138" s="6" t="s">
        <v>1079</v>
      </c>
      <c r="H138" s="7"/>
      <c r="I138" s="7" t="s">
        <v>747</v>
      </c>
      <c r="J138" s="7" t="s">
        <v>541</v>
      </c>
      <c r="K138" s="7" t="s">
        <v>29</v>
      </c>
      <c r="L138" s="3" t="str">
        <f>E138&amp;D138</f>
        <v>E.SP.IPAEE_INS_CONF_C_I_TRAFO LOCAL_0090</v>
      </c>
      <c r="M138" s="3" t="str">
        <f>IFERROR(MID(D138,SEARCH("S_I_",D138,1),3),"")</f>
        <v/>
      </c>
      <c r="N138" s="3" t="str">
        <f>IFERROR(MID(D138,SEARCH("C_I_",D138,1),3),"")</f>
        <v>C_I</v>
      </c>
      <c r="O138" s="3" t="str">
        <f>IF(AND(M138="",N138=""),"Extra","")</f>
        <v/>
      </c>
      <c r="P138" s="3" t="str">
        <f>IF(Q138=0,"TERCEIRO","MRS")</f>
        <v>MRS</v>
      </c>
      <c r="Q138" s="8" t="str">
        <f>IFERROR(VLOOKUP(L138,#REF!,4,0),"0,00")</f>
        <v>0,00</v>
      </c>
      <c r="R138" s="9" t="s">
        <v>42</v>
      </c>
      <c r="S138" s="9">
        <f>COUNTIF(D138,"*_SEG_*")</f>
        <v>0</v>
      </c>
      <c r="T138" s="9">
        <f>COUNTIF(D138,"*_MAN_*")</f>
        <v>0</v>
      </c>
      <c r="U138" s="9">
        <f>(RIGHT(D138,4))*1</f>
        <v>90</v>
      </c>
      <c r="V138" s="9" t="str">
        <f>IFERROR(VLOOKUP(I138,#REF!,2,0),"Sinalização")</f>
        <v>Sinalização</v>
      </c>
    </row>
    <row r="139" spans="1:22" x14ac:dyDescent="0.25">
      <c r="A139" s="3" t="s">
        <v>22</v>
      </c>
      <c r="B139" s="4">
        <v>23360923</v>
      </c>
      <c r="C139" s="5" t="s">
        <v>23</v>
      </c>
      <c r="D139" s="6" t="s">
        <v>539</v>
      </c>
      <c r="E139" s="6" t="s">
        <v>25</v>
      </c>
      <c r="F139" s="11">
        <v>46169</v>
      </c>
      <c r="G139" s="6" t="s">
        <v>1079</v>
      </c>
      <c r="H139" s="7"/>
      <c r="I139" s="7" t="s">
        <v>748</v>
      </c>
      <c r="J139" s="7" t="s">
        <v>541</v>
      </c>
      <c r="K139" s="7" t="s">
        <v>29</v>
      </c>
      <c r="L139" s="3" t="str">
        <f>E139&amp;D139</f>
        <v>E.SP.IPAEE_INS_CONF_C_I_TRAFO LOCAL_0090</v>
      </c>
      <c r="M139" s="3" t="str">
        <f>IFERROR(MID(D139,SEARCH("S_I_",D139,1),3),"")</f>
        <v/>
      </c>
      <c r="N139" s="3" t="str">
        <f>IFERROR(MID(D139,SEARCH("C_I_",D139,1),3),"")</f>
        <v>C_I</v>
      </c>
      <c r="O139" s="3" t="str">
        <f>IF(AND(M139="",N139=""),"Extra","")</f>
        <v/>
      </c>
      <c r="P139" s="3" t="str">
        <f>IF(Q139=0,"TERCEIRO","MRS")</f>
        <v>MRS</v>
      </c>
      <c r="Q139" s="8" t="str">
        <f>IFERROR(VLOOKUP(L139,#REF!,4,0),"0,00")</f>
        <v>0,00</v>
      </c>
      <c r="R139" s="9" t="s">
        <v>42</v>
      </c>
      <c r="S139" s="9">
        <f>COUNTIF(D139,"*_SEG_*")</f>
        <v>0</v>
      </c>
      <c r="T139" s="9">
        <f>COUNTIF(D139,"*_MAN_*")</f>
        <v>0</v>
      </c>
      <c r="U139" s="9">
        <f>(RIGHT(D139,4))*1</f>
        <v>90</v>
      </c>
      <c r="V139" s="9" t="str">
        <f>IFERROR(VLOOKUP(I139,#REF!,2,0),"Sinalização")</f>
        <v>Sinalização</v>
      </c>
    </row>
    <row r="140" spans="1:22" x14ac:dyDescent="0.25">
      <c r="A140" s="3" t="s">
        <v>22</v>
      </c>
      <c r="B140" s="4">
        <v>23360924</v>
      </c>
      <c r="C140" s="5" t="s">
        <v>23</v>
      </c>
      <c r="D140" s="6" t="s">
        <v>539</v>
      </c>
      <c r="E140" s="6" t="s">
        <v>25</v>
      </c>
      <c r="F140" s="11">
        <v>46169</v>
      </c>
      <c r="G140" s="6" t="s">
        <v>1079</v>
      </c>
      <c r="H140" s="7"/>
      <c r="I140" s="7" t="s">
        <v>749</v>
      </c>
      <c r="J140" s="7" t="s">
        <v>541</v>
      </c>
      <c r="K140" s="7" t="s">
        <v>29</v>
      </c>
      <c r="L140" s="3" t="str">
        <f>E140&amp;D140</f>
        <v>E.SP.IPAEE_INS_CONF_C_I_TRAFO LOCAL_0090</v>
      </c>
      <c r="M140" s="3" t="str">
        <f>IFERROR(MID(D140,SEARCH("S_I_",D140,1),3),"")</f>
        <v/>
      </c>
      <c r="N140" s="3" t="str">
        <f>IFERROR(MID(D140,SEARCH("C_I_",D140,1),3),"")</f>
        <v>C_I</v>
      </c>
      <c r="O140" s="3" t="str">
        <f>IF(AND(M140="",N140=""),"Extra","")</f>
        <v/>
      </c>
      <c r="P140" s="3" t="str">
        <f>IF(Q140=0,"TERCEIRO","MRS")</f>
        <v>MRS</v>
      </c>
      <c r="Q140" s="8" t="str">
        <f>IFERROR(VLOOKUP(L140,#REF!,4,0),"0,00")</f>
        <v>0,00</v>
      </c>
      <c r="R140" s="9" t="s">
        <v>42</v>
      </c>
      <c r="S140" s="9">
        <f>COUNTIF(D140,"*_SEG_*")</f>
        <v>0</v>
      </c>
      <c r="T140" s="9">
        <f>COUNTIF(D140,"*_MAN_*")</f>
        <v>0</v>
      </c>
      <c r="U140" s="9">
        <f>(RIGHT(D140,4))*1</f>
        <v>90</v>
      </c>
      <c r="V140" s="9" t="str">
        <f>IFERROR(VLOOKUP(I140,#REF!,2,0),"Sinalização")</f>
        <v>Sinalização</v>
      </c>
    </row>
    <row r="141" spans="1:22" x14ac:dyDescent="0.25">
      <c r="A141" s="3" t="s">
        <v>22</v>
      </c>
      <c r="B141" s="4">
        <v>23360925</v>
      </c>
      <c r="C141" s="5" t="s">
        <v>23</v>
      </c>
      <c r="D141" s="6" t="s">
        <v>539</v>
      </c>
      <c r="E141" s="6" t="s">
        <v>25</v>
      </c>
      <c r="F141" s="11">
        <v>46169</v>
      </c>
      <c r="G141" s="6" t="s">
        <v>1079</v>
      </c>
      <c r="H141" s="7"/>
      <c r="I141" s="7" t="s">
        <v>750</v>
      </c>
      <c r="J141" s="7" t="s">
        <v>541</v>
      </c>
      <c r="K141" s="7" t="s">
        <v>29</v>
      </c>
      <c r="L141" s="3" t="str">
        <f>E141&amp;D141</f>
        <v>E.SP.IPAEE_INS_CONF_C_I_TRAFO LOCAL_0090</v>
      </c>
      <c r="M141" s="3" t="str">
        <f>IFERROR(MID(D141,SEARCH("S_I_",D141,1),3),"")</f>
        <v/>
      </c>
      <c r="N141" s="3" t="str">
        <f>IFERROR(MID(D141,SEARCH("C_I_",D141,1),3),"")</f>
        <v>C_I</v>
      </c>
      <c r="O141" s="3" t="str">
        <f>IF(AND(M141="",N141=""),"Extra","")</f>
        <v/>
      </c>
      <c r="P141" s="3" t="str">
        <f>IF(Q141=0,"TERCEIRO","MRS")</f>
        <v>MRS</v>
      </c>
      <c r="Q141" s="8" t="str">
        <f>IFERROR(VLOOKUP(L141,#REF!,4,0),"0,00")</f>
        <v>0,00</v>
      </c>
      <c r="R141" s="9" t="s">
        <v>42</v>
      </c>
      <c r="S141" s="9">
        <f>COUNTIF(D141,"*_SEG_*")</f>
        <v>0</v>
      </c>
      <c r="T141" s="9">
        <f>COUNTIF(D141,"*_MAN_*")</f>
        <v>0</v>
      </c>
      <c r="U141" s="9">
        <f>(RIGHT(D141,4))*1</f>
        <v>90</v>
      </c>
      <c r="V141" s="9" t="str">
        <f>IFERROR(VLOOKUP(I141,#REF!,2,0),"Sinalização")</f>
        <v>Sinalização</v>
      </c>
    </row>
    <row r="142" spans="1:22" x14ac:dyDescent="0.25">
      <c r="A142" s="3" t="s">
        <v>22</v>
      </c>
      <c r="B142" s="4">
        <v>23360926</v>
      </c>
      <c r="C142" s="5" t="s">
        <v>23</v>
      </c>
      <c r="D142" s="6" t="s">
        <v>539</v>
      </c>
      <c r="E142" s="6" t="s">
        <v>25</v>
      </c>
      <c r="F142" s="11">
        <v>46169</v>
      </c>
      <c r="G142" s="6" t="s">
        <v>1079</v>
      </c>
      <c r="H142" s="7"/>
      <c r="I142" s="7" t="s">
        <v>751</v>
      </c>
      <c r="J142" s="7" t="s">
        <v>541</v>
      </c>
      <c r="K142" s="7" t="s">
        <v>29</v>
      </c>
      <c r="L142" s="3" t="str">
        <f>E142&amp;D142</f>
        <v>E.SP.IPAEE_INS_CONF_C_I_TRAFO LOCAL_0090</v>
      </c>
      <c r="M142" s="3" t="str">
        <f>IFERROR(MID(D142,SEARCH("S_I_",D142,1),3),"")</f>
        <v/>
      </c>
      <c r="N142" s="3" t="str">
        <f>IFERROR(MID(D142,SEARCH("C_I_",D142,1),3),"")</f>
        <v>C_I</v>
      </c>
      <c r="O142" s="3" t="str">
        <f>IF(AND(M142="",N142=""),"Extra","")</f>
        <v/>
      </c>
      <c r="P142" s="3" t="str">
        <f>IF(Q142=0,"TERCEIRO","MRS")</f>
        <v>MRS</v>
      </c>
      <c r="Q142" s="8" t="str">
        <f>IFERROR(VLOOKUP(L142,#REF!,4,0),"0,00")</f>
        <v>0,00</v>
      </c>
      <c r="R142" s="9" t="s">
        <v>42</v>
      </c>
      <c r="S142" s="9">
        <f>COUNTIF(D142,"*_SEG_*")</f>
        <v>0</v>
      </c>
      <c r="T142" s="9">
        <f>COUNTIF(D142,"*_MAN_*")</f>
        <v>0</v>
      </c>
      <c r="U142" s="9">
        <f>(RIGHT(D142,4))*1</f>
        <v>90</v>
      </c>
      <c r="V142" s="9" t="str">
        <f>IFERROR(VLOOKUP(I142,#REF!,2,0),"Sinalização")</f>
        <v>Sinalização</v>
      </c>
    </row>
    <row r="143" spans="1:22" x14ac:dyDescent="0.25">
      <c r="A143" s="3" t="s">
        <v>22</v>
      </c>
      <c r="B143" s="4">
        <v>23360927</v>
      </c>
      <c r="C143" s="5" t="s">
        <v>23</v>
      </c>
      <c r="D143" s="6" t="s">
        <v>539</v>
      </c>
      <c r="E143" s="6" t="s">
        <v>25</v>
      </c>
      <c r="F143" s="11">
        <v>46169</v>
      </c>
      <c r="G143" s="6" t="s">
        <v>1079</v>
      </c>
      <c r="H143" s="7"/>
      <c r="I143" s="7" t="s">
        <v>752</v>
      </c>
      <c r="J143" s="7" t="s">
        <v>541</v>
      </c>
      <c r="K143" s="7" t="s">
        <v>29</v>
      </c>
      <c r="L143" s="3" t="str">
        <f>E143&amp;D143</f>
        <v>E.SP.IPAEE_INS_CONF_C_I_TRAFO LOCAL_0090</v>
      </c>
      <c r="M143" s="3" t="str">
        <f>IFERROR(MID(D143,SEARCH("S_I_",D143,1),3),"")</f>
        <v/>
      </c>
      <c r="N143" s="3" t="str">
        <f>IFERROR(MID(D143,SEARCH("C_I_",D143,1),3),"")</f>
        <v>C_I</v>
      </c>
      <c r="O143" s="3" t="str">
        <f>IF(AND(M143="",N143=""),"Extra","")</f>
        <v/>
      </c>
      <c r="P143" s="3" t="str">
        <f>IF(Q143=0,"TERCEIRO","MRS")</f>
        <v>MRS</v>
      </c>
      <c r="Q143" s="8" t="str">
        <f>IFERROR(VLOOKUP(L143,#REF!,4,0),"0,00")</f>
        <v>0,00</v>
      </c>
      <c r="R143" s="9" t="s">
        <v>42</v>
      </c>
      <c r="S143" s="9">
        <f>COUNTIF(D143,"*_SEG_*")</f>
        <v>0</v>
      </c>
      <c r="T143" s="9">
        <f>COUNTIF(D143,"*_MAN_*")</f>
        <v>0</v>
      </c>
      <c r="U143" s="9">
        <f>(RIGHT(D143,4))*1</f>
        <v>90</v>
      </c>
      <c r="V143" s="9" t="str">
        <f>IFERROR(VLOOKUP(I143,#REF!,2,0),"Sinalização")</f>
        <v>Sinalização</v>
      </c>
    </row>
    <row r="144" spans="1:22" x14ac:dyDescent="0.25">
      <c r="A144" s="3" t="s">
        <v>22</v>
      </c>
      <c r="B144" s="4">
        <v>23360949</v>
      </c>
      <c r="C144" s="5" t="s">
        <v>23</v>
      </c>
      <c r="D144" s="6" t="s">
        <v>556</v>
      </c>
      <c r="E144" s="6" t="s">
        <v>25</v>
      </c>
      <c r="F144" s="11">
        <v>46169</v>
      </c>
      <c r="G144" s="6" t="s">
        <v>1079</v>
      </c>
      <c r="H144" s="7"/>
      <c r="I144" s="7" t="s">
        <v>374</v>
      </c>
      <c r="J144" s="7" t="s">
        <v>558</v>
      </c>
      <c r="K144" s="7" t="s">
        <v>29</v>
      </c>
      <c r="L144" s="3" t="str">
        <f>E144&amp;D144</f>
        <v>E.SP.IPAEE_INS_CONF_S_I_CDV DETETORA CA_0090</v>
      </c>
      <c r="M144" s="3" t="str">
        <f>IFERROR(MID(D144,SEARCH("S_I_",D144,1),3),"")</f>
        <v>S_I</v>
      </c>
      <c r="N144" s="3" t="str">
        <f>IFERROR(MID(D144,SEARCH("C_I_",D144,1),3),"")</f>
        <v/>
      </c>
      <c r="O144" s="3" t="str">
        <f>IF(AND(M144="",N144=""),"Extra","")</f>
        <v/>
      </c>
      <c r="P144" s="3" t="str">
        <f>IF(Q144=0,"TERCEIRO","MRS")</f>
        <v>MRS</v>
      </c>
      <c r="Q144" s="8" t="str">
        <f>IFERROR(VLOOKUP(L144,#REF!,4,0),"0,00")</f>
        <v>0,00</v>
      </c>
      <c r="R144" s="9" t="s">
        <v>57</v>
      </c>
      <c r="S144" s="9">
        <f>COUNTIF(D144,"*_SEG_*")</f>
        <v>0</v>
      </c>
      <c r="T144" s="9">
        <f>COUNTIF(D144,"*_MAN_*")</f>
        <v>0</v>
      </c>
      <c r="U144" s="9">
        <f>(RIGHT(D144,4))*1</f>
        <v>90</v>
      </c>
      <c r="V144" s="9" t="str">
        <f>IFERROR(VLOOKUP(I144,#REF!,2,0),"Sinalização")</f>
        <v>Sinalização</v>
      </c>
    </row>
    <row r="145" spans="1:22" x14ac:dyDescent="0.25">
      <c r="A145" s="3" t="s">
        <v>22</v>
      </c>
      <c r="B145" s="4">
        <v>23360950</v>
      </c>
      <c r="C145" s="5" t="s">
        <v>23</v>
      </c>
      <c r="D145" s="6" t="s">
        <v>556</v>
      </c>
      <c r="E145" s="6" t="s">
        <v>25</v>
      </c>
      <c r="F145" s="11">
        <v>46169</v>
      </c>
      <c r="G145" s="6" t="s">
        <v>1079</v>
      </c>
      <c r="H145" s="7"/>
      <c r="I145" s="7" t="s">
        <v>375</v>
      </c>
      <c r="J145" s="7" t="s">
        <v>558</v>
      </c>
      <c r="K145" s="7" t="s">
        <v>29</v>
      </c>
      <c r="L145" s="3" t="str">
        <f>E145&amp;D145</f>
        <v>E.SP.IPAEE_INS_CONF_S_I_CDV DETETORA CA_0090</v>
      </c>
      <c r="M145" s="3" t="str">
        <f>IFERROR(MID(D145,SEARCH("S_I_",D145,1),3),"")</f>
        <v>S_I</v>
      </c>
      <c r="N145" s="3" t="str">
        <f>IFERROR(MID(D145,SEARCH("C_I_",D145,1),3),"")</f>
        <v/>
      </c>
      <c r="O145" s="3" t="str">
        <f>IF(AND(M145="",N145=""),"Extra","")</f>
        <v/>
      </c>
      <c r="P145" s="3" t="str">
        <f>IF(Q145=0,"TERCEIRO","MRS")</f>
        <v>MRS</v>
      </c>
      <c r="Q145" s="8" t="str">
        <f>IFERROR(VLOOKUP(L145,#REF!,4,0),"0,00")</f>
        <v>0,00</v>
      </c>
      <c r="R145" s="9" t="s">
        <v>57</v>
      </c>
      <c r="S145" s="9">
        <f>COUNTIF(D145,"*_SEG_*")</f>
        <v>0</v>
      </c>
      <c r="T145" s="9">
        <f>COUNTIF(D145,"*_MAN_*")</f>
        <v>0</v>
      </c>
      <c r="U145" s="9">
        <f>(RIGHT(D145,4))*1</f>
        <v>90</v>
      </c>
      <c r="V145" s="9" t="str">
        <f>IFERROR(VLOOKUP(I145,#REF!,2,0),"Sinalização")</f>
        <v>Sinalização</v>
      </c>
    </row>
    <row r="146" spans="1:22" x14ac:dyDescent="0.25">
      <c r="A146" s="3" t="s">
        <v>22</v>
      </c>
      <c r="B146" s="4">
        <v>23361027</v>
      </c>
      <c r="C146" s="5" t="s">
        <v>23</v>
      </c>
      <c r="D146" s="6" t="s">
        <v>559</v>
      </c>
      <c r="E146" s="6" t="s">
        <v>25</v>
      </c>
      <c r="F146" s="11">
        <v>46169</v>
      </c>
      <c r="G146" s="6" t="s">
        <v>1079</v>
      </c>
      <c r="H146" s="7"/>
      <c r="I146" s="7" t="s">
        <v>375</v>
      </c>
      <c r="J146" s="7" t="s">
        <v>560</v>
      </c>
      <c r="K146" s="7" t="s">
        <v>29</v>
      </c>
      <c r="L146" s="3" t="str">
        <f>E146&amp;D146</f>
        <v>E.SP.IPAEE_INS_SEG_S_I_CDV DETETORA CA_0090</v>
      </c>
      <c r="M146" s="3" t="str">
        <f>IFERROR(MID(D146,SEARCH("S_I_",D146,1),3),"")</f>
        <v>S_I</v>
      </c>
      <c r="N146" s="3" t="str">
        <f>IFERROR(MID(D146,SEARCH("C_I_",D146,1),3),"")</f>
        <v/>
      </c>
      <c r="O146" s="3" t="str">
        <f>IF(AND(M146="",N146=""),"Extra","")</f>
        <v/>
      </c>
      <c r="P146" s="3" t="str">
        <f>IF(Q146=0,"TERCEIRO","MRS")</f>
        <v>MRS</v>
      </c>
      <c r="Q146" s="8" t="str">
        <f>IFERROR(VLOOKUP(L146,#REF!,4,0),"0,00")</f>
        <v>0,00</v>
      </c>
      <c r="R146" s="9" t="s">
        <v>30</v>
      </c>
      <c r="S146" s="9">
        <f>COUNTIF(D146,"*_SEG_*")</f>
        <v>1</v>
      </c>
      <c r="T146" s="9">
        <f>COUNTIF(D146,"*_MAN_*")</f>
        <v>0</v>
      </c>
      <c r="U146" s="9">
        <f>(RIGHT(D146,4))*1</f>
        <v>90</v>
      </c>
      <c r="V146" s="9" t="str">
        <f>IFERROR(VLOOKUP(I146,#REF!,2,0),"Sinalização")</f>
        <v>Sinalização</v>
      </c>
    </row>
    <row r="147" spans="1:22" x14ac:dyDescent="0.25">
      <c r="A147" s="3" t="s">
        <v>22</v>
      </c>
      <c r="B147" s="4">
        <v>23361028</v>
      </c>
      <c r="C147" s="5" t="s">
        <v>23</v>
      </c>
      <c r="D147" s="6" t="s">
        <v>559</v>
      </c>
      <c r="E147" s="6" t="s">
        <v>25</v>
      </c>
      <c r="F147" s="11">
        <v>46169</v>
      </c>
      <c r="G147" s="6" t="s">
        <v>1079</v>
      </c>
      <c r="H147" s="7"/>
      <c r="I147" s="7" t="s">
        <v>374</v>
      </c>
      <c r="J147" s="7" t="s">
        <v>560</v>
      </c>
      <c r="K147" s="7" t="s">
        <v>29</v>
      </c>
      <c r="L147" s="3" t="str">
        <f>E147&amp;D147</f>
        <v>E.SP.IPAEE_INS_SEG_S_I_CDV DETETORA CA_0090</v>
      </c>
      <c r="M147" s="3" t="str">
        <f>IFERROR(MID(D147,SEARCH("S_I_",D147,1),3),"")</f>
        <v>S_I</v>
      </c>
      <c r="N147" s="3" t="str">
        <f>IFERROR(MID(D147,SEARCH("C_I_",D147,1),3),"")</f>
        <v/>
      </c>
      <c r="O147" s="3" t="str">
        <f>IF(AND(M147="",N147=""),"Extra","")</f>
        <v/>
      </c>
      <c r="P147" s="3" t="str">
        <f>IF(Q147=0,"TERCEIRO","MRS")</f>
        <v>MRS</v>
      </c>
      <c r="Q147" s="8" t="str">
        <f>IFERROR(VLOOKUP(L147,#REF!,4,0),"0,00")</f>
        <v>0,00</v>
      </c>
      <c r="R147" s="9" t="s">
        <v>30</v>
      </c>
      <c r="S147" s="9">
        <f>COUNTIF(D147,"*_SEG_*")</f>
        <v>1</v>
      </c>
      <c r="T147" s="9">
        <f>COUNTIF(D147,"*_MAN_*")</f>
        <v>0</v>
      </c>
      <c r="U147" s="9">
        <f>(RIGHT(D147,4))*1</f>
        <v>90</v>
      </c>
      <c r="V147" s="9" t="str">
        <f>IFERROR(VLOOKUP(I147,#REF!,2,0),"Sinalização")</f>
        <v>Sinalização</v>
      </c>
    </row>
    <row r="148" spans="1:22" x14ac:dyDescent="0.25">
      <c r="A148" s="3" t="s">
        <v>22</v>
      </c>
      <c r="B148" s="4">
        <v>23361029</v>
      </c>
      <c r="C148" s="5" t="s">
        <v>23</v>
      </c>
      <c r="D148" s="6" t="s">
        <v>559</v>
      </c>
      <c r="E148" s="6" t="s">
        <v>25</v>
      </c>
      <c r="F148" s="11">
        <v>46169</v>
      </c>
      <c r="G148" s="6" t="s">
        <v>1079</v>
      </c>
      <c r="H148" s="7"/>
      <c r="I148" s="7" t="s">
        <v>753</v>
      </c>
      <c r="J148" s="7" t="s">
        <v>560</v>
      </c>
      <c r="K148" s="7" t="s">
        <v>29</v>
      </c>
      <c r="L148" s="3" t="str">
        <f>E148&amp;D148</f>
        <v>E.SP.IPAEE_INS_SEG_S_I_CDV DETETORA CA_0090</v>
      </c>
      <c r="M148" s="3" t="str">
        <f>IFERROR(MID(D148,SEARCH("S_I_",D148,1),3),"")</f>
        <v>S_I</v>
      </c>
      <c r="N148" s="3" t="str">
        <f>IFERROR(MID(D148,SEARCH("C_I_",D148,1),3),"")</f>
        <v/>
      </c>
      <c r="O148" s="3" t="str">
        <f>IF(AND(M148="",N148=""),"Extra","")</f>
        <v/>
      </c>
      <c r="P148" s="3" t="str">
        <f>IF(Q148=0,"TERCEIRO","MRS")</f>
        <v>MRS</v>
      </c>
      <c r="Q148" s="8" t="str">
        <f>IFERROR(VLOOKUP(L148,#REF!,4,0),"0,00")</f>
        <v>0,00</v>
      </c>
      <c r="R148" s="9" t="s">
        <v>30</v>
      </c>
      <c r="S148" s="9">
        <f>COUNTIF(D148,"*_SEG_*")</f>
        <v>1</v>
      </c>
      <c r="T148" s="9">
        <f>COUNTIF(D148,"*_MAN_*")</f>
        <v>0</v>
      </c>
      <c r="U148" s="9">
        <f>(RIGHT(D148,4))*1</f>
        <v>90</v>
      </c>
      <c r="V148" s="9" t="str">
        <f>IFERROR(VLOOKUP(I148,#REF!,2,0),"Sinalização")</f>
        <v>Sinalização</v>
      </c>
    </row>
    <row r="149" spans="1:22" x14ac:dyDescent="0.25">
      <c r="A149" s="3" t="s">
        <v>22</v>
      </c>
      <c r="B149" s="4">
        <v>23361030</v>
      </c>
      <c r="C149" s="5" t="s">
        <v>23</v>
      </c>
      <c r="D149" s="6" t="s">
        <v>559</v>
      </c>
      <c r="E149" s="6" t="s">
        <v>25</v>
      </c>
      <c r="F149" s="11">
        <v>46169</v>
      </c>
      <c r="G149" s="6" t="s">
        <v>1079</v>
      </c>
      <c r="H149" s="7"/>
      <c r="I149" s="7" t="s">
        <v>754</v>
      </c>
      <c r="J149" s="7" t="s">
        <v>560</v>
      </c>
      <c r="K149" s="7" t="s">
        <v>29</v>
      </c>
      <c r="L149" s="3" t="str">
        <f>E149&amp;D149</f>
        <v>E.SP.IPAEE_INS_SEG_S_I_CDV DETETORA CA_0090</v>
      </c>
      <c r="M149" s="3" t="str">
        <f>IFERROR(MID(D149,SEARCH("S_I_",D149,1),3),"")</f>
        <v>S_I</v>
      </c>
      <c r="N149" s="3" t="str">
        <f>IFERROR(MID(D149,SEARCH("C_I_",D149,1),3),"")</f>
        <v/>
      </c>
      <c r="O149" s="3" t="str">
        <f>IF(AND(M149="",N149=""),"Extra","")</f>
        <v/>
      </c>
      <c r="P149" s="3" t="str">
        <f>IF(Q149=0,"TERCEIRO","MRS")</f>
        <v>MRS</v>
      </c>
      <c r="Q149" s="8" t="str">
        <f>IFERROR(VLOOKUP(L149,#REF!,4,0),"0,00")</f>
        <v>0,00</v>
      </c>
      <c r="R149" s="9" t="s">
        <v>30</v>
      </c>
      <c r="S149" s="9">
        <f>COUNTIF(D149,"*_SEG_*")</f>
        <v>1</v>
      </c>
      <c r="T149" s="9">
        <f>COUNTIF(D149,"*_MAN_*")</f>
        <v>0</v>
      </c>
      <c r="U149" s="9">
        <f>(RIGHT(D149,4))*1</f>
        <v>90</v>
      </c>
      <c r="V149" s="9" t="str">
        <f>IFERROR(VLOOKUP(I149,#REF!,2,0),"Sinalização")</f>
        <v>Sinalização</v>
      </c>
    </row>
    <row r="150" spans="1:22" x14ac:dyDescent="0.25">
      <c r="A150" s="3" t="s">
        <v>22</v>
      </c>
      <c r="B150" s="4">
        <v>23361031</v>
      </c>
      <c r="C150" s="5" t="s">
        <v>23</v>
      </c>
      <c r="D150" s="6" t="s">
        <v>559</v>
      </c>
      <c r="E150" s="6" t="s">
        <v>25</v>
      </c>
      <c r="F150" s="11">
        <v>46169</v>
      </c>
      <c r="G150" s="6" t="s">
        <v>1079</v>
      </c>
      <c r="H150" s="7"/>
      <c r="I150" s="7" t="s">
        <v>730</v>
      </c>
      <c r="J150" s="7" t="s">
        <v>560</v>
      </c>
      <c r="K150" s="7" t="s">
        <v>29</v>
      </c>
      <c r="L150" s="3" t="str">
        <f>E150&amp;D150</f>
        <v>E.SP.IPAEE_INS_SEG_S_I_CDV DETETORA CA_0090</v>
      </c>
      <c r="M150" s="3" t="str">
        <f>IFERROR(MID(D150,SEARCH("S_I_",D150,1),3),"")</f>
        <v>S_I</v>
      </c>
      <c r="N150" s="3" t="str">
        <f>IFERROR(MID(D150,SEARCH("C_I_",D150,1),3),"")</f>
        <v/>
      </c>
      <c r="O150" s="3" t="str">
        <f>IF(AND(M150="",N150=""),"Extra","")</f>
        <v/>
      </c>
      <c r="P150" s="3" t="str">
        <f>IF(Q150=0,"TERCEIRO","MRS")</f>
        <v>MRS</v>
      </c>
      <c r="Q150" s="8" t="str">
        <f>IFERROR(VLOOKUP(L150,#REF!,4,0),"0,00")</f>
        <v>0,00</v>
      </c>
      <c r="R150" s="9" t="s">
        <v>30</v>
      </c>
      <c r="S150" s="9">
        <f>COUNTIF(D150,"*_SEG_*")</f>
        <v>1</v>
      </c>
      <c r="T150" s="9">
        <f>COUNTIF(D150,"*_MAN_*")</f>
        <v>0</v>
      </c>
      <c r="U150" s="9">
        <f>(RIGHT(D150,4))*1</f>
        <v>90</v>
      </c>
      <c r="V150" s="9" t="str">
        <f>IFERROR(VLOOKUP(I150,#REF!,2,0),"Sinalização")</f>
        <v>Sinalização</v>
      </c>
    </row>
    <row r="151" spans="1:22" x14ac:dyDescent="0.25">
      <c r="A151" s="3" t="s">
        <v>22</v>
      </c>
      <c r="B151" s="4">
        <v>23361032</v>
      </c>
      <c r="C151" s="5" t="s">
        <v>23</v>
      </c>
      <c r="D151" s="6" t="s">
        <v>559</v>
      </c>
      <c r="E151" s="6" t="s">
        <v>25</v>
      </c>
      <c r="F151" s="11">
        <v>46169</v>
      </c>
      <c r="G151" s="6" t="s">
        <v>1079</v>
      </c>
      <c r="H151" s="7"/>
      <c r="I151" s="7" t="s">
        <v>755</v>
      </c>
      <c r="J151" s="7" t="s">
        <v>560</v>
      </c>
      <c r="K151" s="7" t="s">
        <v>29</v>
      </c>
      <c r="L151" s="3" t="str">
        <f>E151&amp;D151</f>
        <v>E.SP.IPAEE_INS_SEG_S_I_CDV DETETORA CA_0090</v>
      </c>
      <c r="M151" s="3" t="str">
        <f>IFERROR(MID(D151,SEARCH("S_I_",D151,1),3),"")</f>
        <v>S_I</v>
      </c>
      <c r="N151" s="3" t="str">
        <f>IFERROR(MID(D151,SEARCH("C_I_",D151,1),3),"")</f>
        <v/>
      </c>
      <c r="O151" s="3" t="str">
        <f>IF(AND(M151="",N151=""),"Extra","")</f>
        <v/>
      </c>
      <c r="P151" s="3" t="str">
        <f>IF(Q151=0,"TERCEIRO","MRS")</f>
        <v>MRS</v>
      </c>
      <c r="Q151" s="8" t="str">
        <f>IFERROR(VLOOKUP(L151,#REF!,4,0),"0,00")</f>
        <v>0,00</v>
      </c>
      <c r="R151" s="9" t="s">
        <v>30</v>
      </c>
      <c r="S151" s="9">
        <f>COUNTIF(D151,"*_SEG_*")</f>
        <v>1</v>
      </c>
      <c r="T151" s="9">
        <f>COUNTIF(D151,"*_MAN_*")</f>
        <v>0</v>
      </c>
      <c r="U151" s="9">
        <f>(RIGHT(D151,4))*1</f>
        <v>90</v>
      </c>
      <c r="V151" s="9" t="str">
        <f>IFERROR(VLOOKUP(I151,#REF!,2,0),"Sinalização")</f>
        <v>Sinalização</v>
      </c>
    </row>
    <row r="152" spans="1:22" x14ac:dyDescent="0.25">
      <c r="A152" s="3" t="s">
        <v>22</v>
      </c>
      <c r="B152" s="4">
        <v>23361033</v>
      </c>
      <c r="C152" s="5" t="s">
        <v>23</v>
      </c>
      <c r="D152" s="6" t="s">
        <v>559</v>
      </c>
      <c r="E152" s="6" t="s">
        <v>25</v>
      </c>
      <c r="F152" s="11">
        <v>46169</v>
      </c>
      <c r="G152" s="6" t="s">
        <v>1079</v>
      </c>
      <c r="H152" s="7"/>
      <c r="I152" s="7" t="s">
        <v>245</v>
      </c>
      <c r="J152" s="7" t="s">
        <v>560</v>
      </c>
      <c r="K152" s="7" t="s">
        <v>29</v>
      </c>
      <c r="L152" s="3" t="str">
        <f>E152&amp;D152</f>
        <v>E.SP.IPAEE_INS_SEG_S_I_CDV DETETORA CA_0090</v>
      </c>
      <c r="M152" s="3" t="str">
        <f>IFERROR(MID(D152,SEARCH("S_I_",D152,1),3),"")</f>
        <v>S_I</v>
      </c>
      <c r="N152" s="3" t="str">
        <f>IFERROR(MID(D152,SEARCH("C_I_",D152,1),3),"")</f>
        <v/>
      </c>
      <c r="O152" s="3" t="str">
        <f>IF(AND(M152="",N152=""),"Extra","")</f>
        <v/>
      </c>
      <c r="P152" s="3" t="str">
        <f>IF(Q152=0,"TERCEIRO","MRS")</f>
        <v>MRS</v>
      </c>
      <c r="Q152" s="8" t="str">
        <f>IFERROR(VLOOKUP(L152,#REF!,4,0),"0,00")</f>
        <v>0,00</v>
      </c>
      <c r="R152" s="9" t="s">
        <v>30</v>
      </c>
      <c r="S152" s="9">
        <f>COUNTIF(D152,"*_SEG_*")</f>
        <v>1</v>
      </c>
      <c r="T152" s="9">
        <f>COUNTIF(D152,"*_MAN_*")</f>
        <v>0</v>
      </c>
      <c r="U152" s="9">
        <f>(RIGHT(D152,4))*1</f>
        <v>90</v>
      </c>
      <c r="V152" s="9" t="str">
        <f>IFERROR(VLOOKUP(I152,#REF!,2,0),"Sinalização")</f>
        <v>Sinalização</v>
      </c>
    </row>
    <row r="153" spans="1:22" x14ac:dyDescent="0.25">
      <c r="A153" s="3" t="s">
        <v>22</v>
      </c>
      <c r="B153" s="4">
        <v>23361034</v>
      </c>
      <c r="C153" s="5" t="s">
        <v>23</v>
      </c>
      <c r="D153" s="6" t="s">
        <v>559</v>
      </c>
      <c r="E153" s="6" t="s">
        <v>25</v>
      </c>
      <c r="F153" s="11">
        <v>46169</v>
      </c>
      <c r="G153" s="6" t="s">
        <v>1079</v>
      </c>
      <c r="H153" s="7"/>
      <c r="I153" s="7" t="s">
        <v>241</v>
      </c>
      <c r="J153" s="7" t="s">
        <v>560</v>
      </c>
      <c r="K153" s="7" t="s">
        <v>29</v>
      </c>
      <c r="L153" s="3" t="str">
        <f>E153&amp;D153</f>
        <v>E.SP.IPAEE_INS_SEG_S_I_CDV DETETORA CA_0090</v>
      </c>
      <c r="M153" s="3" t="str">
        <f>IFERROR(MID(D153,SEARCH("S_I_",D153,1),3),"")</f>
        <v>S_I</v>
      </c>
      <c r="N153" s="3" t="str">
        <f>IFERROR(MID(D153,SEARCH("C_I_",D153,1),3),"")</f>
        <v/>
      </c>
      <c r="O153" s="3" t="str">
        <f>IF(AND(M153="",N153=""),"Extra","")</f>
        <v/>
      </c>
      <c r="P153" s="3" t="str">
        <f>IF(Q153=0,"TERCEIRO","MRS")</f>
        <v>MRS</v>
      </c>
      <c r="Q153" s="8" t="str">
        <f>IFERROR(VLOOKUP(L153,#REF!,4,0),"0,00")</f>
        <v>0,00</v>
      </c>
      <c r="R153" s="9" t="s">
        <v>30</v>
      </c>
      <c r="S153" s="9">
        <f>COUNTIF(D153,"*_SEG_*")</f>
        <v>1</v>
      </c>
      <c r="T153" s="9">
        <f>COUNTIF(D153,"*_MAN_*")</f>
        <v>0</v>
      </c>
      <c r="U153" s="9">
        <f>(RIGHT(D153,4))*1</f>
        <v>90</v>
      </c>
      <c r="V153" s="9" t="str">
        <f>IFERROR(VLOOKUP(I153,#REF!,2,0),"Sinalização")</f>
        <v>Sinalização</v>
      </c>
    </row>
    <row r="154" spans="1:22" x14ac:dyDescent="0.25">
      <c r="A154" s="3" t="s">
        <v>22</v>
      </c>
      <c r="B154" s="4">
        <v>23361099</v>
      </c>
      <c r="C154" s="5" t="s">
        <v>23</v>
      </c>
      <c r="D154" s="6" t="s">
        <v>732</v>
      </c>
      <c r="E154" s="6" t="s">
        <v>25</v>
      </c>
      <c r="F154" s="11">
        <v>46169</v>
      </c>
      <c r="G154" s="6" t="s">
        <v>1079</v>
      </c>
      <c r="H154" s="7"/>
      <c r="I154" s="7" t="s">
        <v>344</v>
      </c>
      <c r="J154" s="7" t="s">
        <v>525</v>
      </c>
      <c r="K154" s="7" t="s">
        <v>29</v>
      </c>
      <c r="L154" s="3" t="str">
        <f>E154&amp;D154</f>
        <v>E.SP.IPAEE_MAN_CONF_S_I_SINAL L UNIFO AUT_0090</v>
      </c>
      <c r="M154" s="3" t="str">
        <f>IFERROR(MID(D154,SEARCH("S_I_",D154,1),3),"")</f>
        <v>S_I</v>
      </c>
      <c r="N154" s="3" t="str">
        <f>IFERROR(MID(D154,SEARCH("C_I_",D154,1),3),"")</f>
        <v/>
      </c>
      <c r="O154" s="3" t="str">
        <f>IF(AND(M154="",N154=""),"Extra","")</f>
        <v/>
      </c>
      <c r="P154" s="3" t="str">
        <f>IF(Q154=0,"TERCEIRO","MRS")</f>
        <v>MRS</v>
      </c>
      <c r="Q154" s="8" t="str">
        <f>IFERROR(VLOOKUP(L154,#REF!,4,0),"0,00")</f>
        <v>0,00</v>
      </c>
      <c r="R154" s="9" t="s">
        <v>57</v>
      </c>
      <c r="S154" s="9">
        <f>COUNTIF(D154,"*_SEG_*")</f>
        <v>0</v>
      </c>
      <c r="T154" s="9">
        <f>COUNTIF(D154,"*_MAN_*")</f>
        <v>1</v>
      </c>
      <c r="U154" s="9">
        <f>(RIGHT(D154,4))*1</f>
        <v>90</v>
      </c>
      <c r="V154" s="9" t="str">
        <f>IFERROR(VLOOKUP(I154,#REF!,2,0),"Sinalização")</f>
        <v>Sinalização</v>
      </c>
    </row>
    <row r="155" spans="1:22" x14ac:dyDescent="0.25">
      <c r="A155" s="3" t="s">
        <v>22</v>
      </c>
      <c r="B155" s="4">
        <v>23361100</v>
      </c>
      <c r="C155" s="5" t="s">
        <v>23</v>
      </c>
      <c r="D155" s="6" t="s">
        <v>732</v>
      </c>
      <c r="E155" s="6" t="s">
        <v>25</v>
      </c>
      <c r="F155" s="11">
        <v>46169</v>
      </c>
      <c r="G155" s="6" t="s">
        <v>1079</v>
      </c>
      <c r="H155" s="7"/>
      <c r="I155" s="7" t="s">
        <v>345</v>
      </c>
      <c r="J155" s="7" t="s">
        <v>525</v>
      </c>
      <c r="K155" s="7" t="s">
        <v>29</v>
      </c>
      <c r="L155" s="3" t="str">
        <f>E155&amp;D155</f>
        <v>E.SP.IPAEE_MAN_CONF_S_I_SINAL L UNIFO AUT_0090</v>
      </c>
      <c r="M155" s="3" t="str">
        <f>IFERROR(MID(D155,SEARCH("S_I_",D155,1),3),"")</f>
        <v>S_I</v>
      </c>
      <c r="N155" s="3" t="str">
        <f>IFERROR(MID(D155,SEARCH("C_I_",D155,1),3),"")</f>
        <v/>
      </c>
      <c r="O155" s="3" t="str">
        <f>IF(AND(M155="",N155=""),"Extra","")</f>
        <v/>
      </c>
      <c r="P155" s="3" t="str">
        <f>IF(Q155=0,"TERCEIRO","MRS")</f>
        <v>MRS</v>
      </c>
      <c r="Q155" s="8" t="str">
        <f>IFERROR(VLOOKUP(L155,#REF!,4,0),"0,00")</f>
        <v>0,00</v>
      </c>
      <c r="R155" s="9" t="s">
        <v>57</v>
      </c>
      <c r="S155" s="9">
        <f>COUNTIF(D155,"*_SEG_*")</f>
        <v>0</v>
      </c>
      <c r="T155" s="9">
        <f>COUNTIF(D155,"*_MAN_*")</f>
        <v>1</v>
      </c>
      <c r="U155" s="9">
        <f>(RIGHT(D155,4))*1</f>
        <v>90</v>
      </c>
      <c r="V155" s="9" t="str">
        <f>IFERROR(VLOOKUP(I155,#REF!,2,0),"Sinalização")</f>
        <v>Sinalização</v>
      </c>
    </row>
    <row r="156" spans="1:22" x14ac:dyDescent="0.25">
      <c r="A156" s="3" t="s">
        <v>22</v>
      </c>
      <c r="B156" s="4">
        <v>23361134</v>
      </c>
      <c r="C156" s="5" t="s">
        <v>23</v>
      </c>
      <c r="D156" s="6" t="s">
        <v>568</v>
      </c>
      <c r="E156" s="6" t="s">
        <v>25</v>
      </c>
      <c r="F156" s="11">
        <v>46169</v>
      </c>
      <c r="G156" s="6" t="s">
        <v>1079</v>
      </c>
      <c r="H156" s="7"/>
      <c r="I156" s="7" t="s">
        <v>756</v>
      </c>
      <c r="J156" s="7" t="s">
        <v>558</v>
      </c>
      <c r="K156" s="7" t="s">
        <v>29</v>
      </c>
      <c r="L156" s="3" t="str">
        <f>E156&amp;D156</f>
        <v>E.SP.IPAEE_INS_CONF_S_I_CIRCUITO VIA CA_0090</v>
      </c>
      <c r="M156" s="3" t="str">
        <f>IFERROR(MID(D156,SEARCH("S_I_",D156,1),3),"")</f>
        <v>S_I</v>
      </c>
      <c r="N156" s="3" t="str">
        <f>IFERROR(MID(D156,SEARCH("C_I_",D156,1),3),"")</f>
        <v/>
      </c>
      <c r="O156" s="3" t="str">
        <f>IF(AND(M156="",N156=""),"Extra","")</f>
        <v/>
      </c>
      <c r="P156" s="3" t="str">
        <f>IF(Q156=0,"TERCEIRO","MRS")</f>
        <v>MRS</v>
      </c>
      <c r="Q156" s="8" t="str">
        <f>IFERROR(VLOOKUP(L156,#REF!,4,0),"0,00")</f>
        <v>0,00</v>
      </c>
      <c r="R156" s="9" t="s">
        <v>57</v>
      </c>
      <c r="S156" s="9">
        <f>COUNTIF(D156,"*_SEG_*")</f>
        <v>0</v>
      </c>
      <c r="T156" s="9">
        <f>COUNTIF(D156,"*_MAN_*")</f>
        <v>0</v>
      </c>
      <c r="U156" s="9">
        <f>(RIGHT(D156,4))*1</f>
        <v>90</v>
      </c>
      <c r="V156" s="9" t="str">
        <f>IFERROR(VLOOKUP(I156,#REF!,2,0),"Sinalização")</f>
        <v>Sinalização</v>
      </c>
    </row>
    <row r="157" spans="1:22" x14ac:dyDescent="0.25">
      <c r="A157" s="3" t="s">
        <v>22</v>
      </c>
      <c r="B157" s="4">
        <v>23361135</v>
      </c>
      <c r="C157" s="5" t="s">
        <v>23</v>
      </c>
      <c r="D157" s="6" t="s">
        <v>568</v>
      </c>
      <c r="E157" s="6" t="s">
        <v>25</v>
      </c>
      <c r="F157" s="11">
        <v>46169</v>
      </c>
      <c r="G157" s="6" t="s">
        <v>1079</v>
      </c>
      <c r="H157" s="7"/>
      <c r="I157" s="7" t="s">
        <v>757</v>
      </c>
      <c r="J157" s="7" t="s">
        <v>558</v>
      </c>
      <c r="K157" s="7" t="s">
        <v>29</v>
      </c>
      <c r="L157" s="3" t="str">
        <f>E157&amp;D157</f>
        <v>E.SP.IPAEE_INS_CONF_S_I_CIRCUITO VIA CA_0090</v>
      </c>
      <c r="M157" s="3" t="str">
        <f>IFERROR(MID(D157,SEARCH("S_I_",D157,1),3),"")</f>
        <v>S_I</v>
      </c>
      <c r="N157" s="3" t="str">
        <f>IFERROR(MID(D157,SEARCH("C_I_",D157,1),3),"")</f>
        <v/>
      </c>
      <c r="O157" s="3" t="str">
        <f>IF(AND(M157="",N157=""),"Extra","")</f>
        <v/>
      </c>
      <c r="P157" s="3" t="str">
        <f>IF(Q157=0,"TERCEIRO","MRS")</f>
        <v>MRS</v>
      </c>
      <c r="Q157" s="8" t="str">
        <f>IFERROR(VLOOKUP(L157,#REF!,4,0),"0,00")</f>
        <v>0,00</v>
      </c>
      <c r="R157" s="9" t="s">
        <v>57</v>
      </c>
      <c r="S157" s="9">
        <f>COUNTIF(D157,"*_SEG_*")</f>
        <v>0</v>
      </c>
      <c r="T157" s="9">
        <f>COUNTIF(D157,"*_MAN_*")</f>
        <v>0</v>
      </c>
      <c r="U157" s="9">
        <f>(RIGHT(D157,4))*1</f>
        <v>90</v>
      </c>
      <c r="V157" s="9" t="str">
        <f>IFERROR(VLOOKUP(I157,#REF!,2,0),"Sinalização")</f>
        <v>Sinalização</v>
      </c>
    </row>
    <row r="158" spans="1:22" x14ac:dyDescent="0.25">
      <c r="A158" s="3" t="s">
        <v>22</v>
      </c>
      <c r="B158" s="4">
        <v>23361136</v>
      </c>
      <c r="C158" s="5" t="s">
        <v>23</v>
      </c>
      <c r="D158" s="6" t="s">
        <v>568</v>
      </c>
      <c r="E158" s="6" t="s">
        <v>25</v>
      </c>
      <c r="F158" s="11">
        <v>46169</v>
      </c>
      <c r="G158" s="6" t="s">
        <v>1079</v>
      </c>
      <c r="H158" s="7"/>
      <c r="I158" s="7" t="s">
        <v>758</v>
      </c>
      <c r="J158" s="7" t="s">
        <v>558</v>
      </c>
      <c r="K158" s="7" t="s">
        <v>29</v>
      </c>
      <c r="L158" s="3" t="str">
        <f>E158&amp;D158</f>
        <v>E.SP.IPAEE_INS_CONF_S_I_CIRCUITO VIA CA_0090</v>
      </c>
      <c r="M158" s="3" t="str">
        <f>IFERROR(MID(D158,SEARCH("S_I_",D158,1),3),"")</f>
        <v>S_I</v>
      </c>
      <c r="N158" s="3" t="str">
        <f>IFERROR(MID(D158,SEARCH("C_I_",D158,1),3),"")</f>
        <v/>
      </c>
      <c r="O158" s="3" t="str">
        <f>IF(AND(M158="",N158=""),"Extra","")</f>
        <v/>
      </c>
      <c r="P158" s="3" t="str">
        <f>IF(Q158=0,"TERCEIRO","MRS")</f>
        <v>MRS</v>
      </c>
      <c r="Q158" s="8" t="str">
        <f>IFERROR(VLOOKUP(L158,#REF!,4,0),"0,00")</f>
        <v>0,00</v>
      </c>
      <c r="R158" s="9" t="s">
        <v>57</v>
      </c>
      <c r="S158" s="9">
        <f>COUNTIF(D158,"*_SEG_*")</f>
        <v>0</v>
      </c>
      <c r="T158" s="9">
        <f>COUNTIF(D158,"*_MAN_*")</f>
        <v>0</v>
      </c>
      <c r="U158" s="9">
        <f>(RIGHT(D158,4))*1</f>
        <v>90</v>
      </c>
      <c r="V158" s="9" t="str">
        <f>IFERROR(VLOOKUP(I158,#REF!,2,0),"Sinalização")</f>
        <v>Sinalização</v>
      </c>
    </row>
    <row r="159" spans="1:22" x14ac:dyDescent="0.25">
      <c r="A159" s="3" t="s">
        <v>22</v>
      </c>
      <c r="B159" s="4">
        <v>23361137</v>
      </c>
      <c r="C159" s="5" t="s">
        <v>23</v>
      </c>
      <c r="D159" s="6" t="s">
        <v>568</v>
      </c>
      <c r="E159" s="6" t="s">
        <v>25</v>
      </c>
      <c r="F159" s="11">
        <v>46169</v>
      </c>
      <c r="G159" s="6" t="s">
        <v>1079</v>
      </c>
      <c r="H159" s="7"/>
      <c r="I159" s="7" t="s">
        <v>759</v>
      </c>
      <c r="J159" s="7" t="s">
        <v>558</v>
      </c>
      <c r="K159" s="7" t="s">
        <v>29</v>
      </c>
      <c r="L159" s="3" t="str">
        <f>E159&amp;D159</f>
        <v>E.SP.IPAEE_INS_CONF_S_I_CIRCUITO VIA CA_0090</v>
      </c>
      <c r="M159" s="3" t="str">
        <f>IFERROR(MID(D159,SEARCH("S_I_",D159,1),3),"")</f>
        <v>S_I</v>
      </c>
      <c r="N159" s="3" t="str">
        <f>IFERROR(MID(D159,SEARCH("C_I_",D159,1),3),"")</f>
        <v/>
      </c>
      <c r="O159" s="3" t="str">
        <f>IF(AND(M159="",N159=""),"Extra","")</f>
        <v/>
      </c>
      <c r="P159" s="3" t="str">
        <f>IF(Q159=0,"TERCEIRO","MRS")</f>
        <v>MRS</v>
      </c>
      <c r="Q159" s="8" t="str">
        <f>IFERROR(VLOOKUP(L159,#REF!,4,0),"0,00")</f>
        <v>0,00</v>
      </c>
      <c r="R159" s="9" t="s">
        <v>57</v>
      </c>
      <c r="S159" s="9">
        <f>COUNTIF(D159,"*_SEG_*")</f>
        <v>0</v>
      </c>
      <c r="T159" s="9">
        <f>COUNTIF(D159,"*_MAN_*")</f>
        <v>0</v>
      </c>
      <c r="U159" s="9">
        <f>(RIGHT(D159,4))*1</f>
        <v>90</v>
      </c>
      <c r="V159" s="9" t="str">
        <f>IFERROR(VLOOKUP(I159,#REF!,2,0),"Sinalização")</f>
        <v>Sinalização</v>
      </c>
    </row>
    <row r="160" spans="1:22" x14ac:dyDescent="0.25">
      <c r="A160" s="3" t="s">
        <v>22</v>
      </c>
      <c r="B160" s="4">
        <v>23361138</v>
      </c>
      <c r="C160" s="5" t="s">
        <v>23</v>
      </c>
      <c r="D160" s="6" t="s">
        <v>568</v>
      </c>
      <c r="E160" s="6" t="s">
        <v>25</v>
      </c>
      <c r="F160" s="11">
        <v>46169</v>
      </c>
      <c r="G160" s="6" t="s">
        <v>1079</v>
      </c>
      <c r="H160" s="7"/>
      <c r="I160" s="7" t="s">
        <v>760</v>
      </c>
      <c r="J160" s="7" t="s">
        <v>558</v>
      </c>
      <c r="K160" s="7" t="s">
        <v>29</v>
      </c>
      <c r="L160" s="3" t="str">
        <f>E160&amp;D160</f>
        <v>E.SP.IPAEE_INS_CONF_S_I_CIRCUITO VIA CA_0090</v>
      </c>
      <c r="M160" s="3" t="str">
        <f>IFERROR(MID(D160,SEARCH("S_I_",D160,1),3),"")</f>
        <v>S_I</v>
      </c>
      <c r="N160" s="3" t="str">
        <f>IFERROR(MID(D160,SEARCH("C_I_",D160,1),3),"")</f>
        <v/>
      </c>
      <c r="O160" s="3" t="str">
        <f>IF(AND(M160="",N160=""),"Extra","")</f>
        <v/>
      </c>
      <c r="P160" s="3" t="str">
        <f>IF(Q160=0,"TERCEIRO","MRS")</f>
        <v>MRS</v>
      </c>
      <c r="Q160" s="8" t="str">
        <f>IFERROR(VLOOKUP(L160,#REF!,4,0),"0,00")</f>
        <v>0,00</v>
      </c>
      <c r="R160" s="9" t="s">
        <v>57</v>
      </c>
      <c r="S160" s="9">
        <f>COUNTIF(D160,"*_SEG_*")</f>
        <v>0</v>
      </c>
      <c r="T160" s="9">
        <f>COUNTIF(D160,"*_MAN_*")</f>
        <v>0</v>
      </c>
      <c r="U160" s="9">
        <f>(RIGHT(D160,4))*1</f>
        <v>90</v>
      </c>
      <c r="V160" s="9" t="str">
        <f>IFERROR(VLOOKUP(I160,#REF!,2,0),"Sinalização")</f>
        <v>Sinalização</v>
      </c>
    </row>
    <row r="161" spans="1:22" x14ac:dyDescent="0.25">
      <c r="A161" s="3" t="s">
        <v>22</v>
      </c>
      <c r="B161" s="4">
        <v>23361140</v>
      </c>
      <c r="C161" s="5" t="s">
        <v>23</v>
      </c>
      <c r="D161" s="6" t="s">
        <v>568</v>
      </c>
      <c r="E161" s="6" t="s">
        <v>25</v>
      </c>
      <c r="F161" s="11">
        <v>46169</v>
      </c>
      <c r="G161" s="6" t="s">
        <v>1079</v>
      </c>
      <c r="H161" s="7"/>
      <c r="I161" s="7" t="s">
        <v>761</v>
      </c>
      <c r="J161" s="7" t="s">
        <v>558</v>
      </c>
      <c r="K161" s="7" t="s">
        <v>29</v>
      </c>
      <c r="L161" s="3" t="str">
        <f>E161&amp;D161</f>
        <v>E.SP.IPAEE_INS_CONF_S_I_CIRCUITO VIA CA_0090</v>
      </c>
      <c r="M161" s="3" t="str">
        <f>IFERROR(MID(D161,SEARCH("S_I_",D161,1),3),"")</f>
        <v>S_I</v>
      </c>
      <c r="N161" s="3" t="str">
        <f>IFERROR(MID(D161,SEARCH("C_I_",D161,1),3),"")</f>
        <v/>
      </c>
      <c r="O161" s="3" t="str">
        <f>IF(AND(M161="",N161=""),"Extra","")</f>
        <v/>
      </c>
      <c r="P161" s="3" t="str">
        <f>IF(Q161=0,"TERCEIRO","MRS")</f>
        <v>MRS</v>
      </c>
      <c r="Q161" s="8" t="str">
        <f>IFERROR(VLOOKUP(L161,#REF!,4,0),"0,00")</f>
        <v>0,00</v>
      </c>
      <c r="R161" s="9" t="s">
        <v>57</v>
      </c>
      <c r="S161" s="9">
        <f>COUNTIF(D161,"*_SEG_*")</f>
        <v>0</v>
      </c>
      <c r="T161" s="9">
        <f>COUNTIF(D161,"*_MAN_*")</f>
        <v>0</v>
      </c>
      <c r="U161" s="9">
        <f>(RIGHT(D161,4))*1</f>
        <v>90</v>
      </c>
      <c r="V161" s="9" t="str">
        <f>IFERROR(VLOOKUP(I161,#REF!,2,0),"Sinalização")</f>
        <v>Sinalização</v>
      </c>
    </row>
    <row r="162" spans="1:22" x14ac:dyDescent="0.25">
      <c r="A162" s="3" t="s">
        <v>22</v>
      </c>
      <c r="B162" s="4">
        <v>23361141</v>
      </c>
      <c r="C162" s="5" t="s">
        <v>23</v>
      </c>
      <c r="D162" s="6" t="s">
        <v>568</v>
      </c>
      <c r="E162" s="6" t="s">
        <v>25</v>
      </c>
      <c r="F162" s="11">
        <v>46169</v>
      </c>
      <c r="G162" s="6" t="s">
        <v>1079</v>
      </c>
      <c r="H162" s="7"/>
      <c r="I162" s="7" t="s">
        <v>406</v>
      </c>
      <c r="J162" s="7" t="s">
        <v>558</v>
      </c>
      <c r="K162" s="7" t="s">
        <v>29</v>
      </c>
      <c r="L162" s="3" t="str">
        <f>E162&amp;D162</f>
        <v>E.SP.IPAEE_INS_CONF_S_I_CIRCUITO VIA CA_0090</v>
      </c>
      <c r="M162" s="3" t="str">
        <f>IFERROR(MID(D162,SEARCH("S_I_",D162,1),3),"")</f>
        <v>S_I</v>
      </c>
      <c r="N162" s="3" t="str">
        <f>IFERROR(MID(D162,SEARCH("C_I_",D162,1),3),"")</f>
        <v/>
      </c>
      <c r="O162" s="3" t="str">
        <f>IF(AND(M162="",N162=""),"Extra","")</f>
        <v/>
      </c>
      <c r="P162" s="3" t="str">
        <f>IF(Q162=0,"TERCEIRO","MRS")</f>
        <v>MRS</v>
      </c>
      <c r="Q162" s="8" t="str">
        <f>IFERROR(VLOOKUP(L162,#REF!,4,0),"0,00")</f>
        <v>0,00</v>
      </c>
      <c r="R162" s="9" t="s">
        <v>57</v>
      </c>
      <c r="S162" s="9">
        <f>COUNTIF(D162,"*_SEG_*")</f>
        <v>0</v>
      </c>
      <c r="T162" s="9">
        <f>COUNTIF(D162,"*_MAN_*")</f>
        <v>0</v>
      </c>
      <c r="U162" s="9">
        <f>(RIGHT(D162,4))*1</f>
        <v>90</v>
      </c>
      <c r="V162" s="9" t="str">
        <f>IFERROR(VLOOKUP(I162,#REF!,2,0),"Sinalização")</f>
        <v>Sinalização</v>
      </c>
    </row>
    <row r="163" spans="1:22" x14ac:dyDescent="0.25">
      <c r="A163" s="3" t="s">
        <v>22</v>
      </c>
      <c r="B163" s="4">
        <v>23361142</v>
      </c>
      <c r="C163" s="5" t="s">
        <v>23</v>
      </c>
      <c r="D163" s="6" t="s">
        <v>573</v>
      </c>
      <c r="E163" s="6" t="s">
        <v>25</v>
      </c>
      <c r="F163" s="11">
        <v>46169</v>
      </c>
      <c r="G163" s="6" t="s">
        <v>1079</v>
      </c>
      <c r="H163" s="7"/>
      <c r="I163" s="7" t="s">
        <v>762</v>
      </c>
      <c r="J163" s="7" t="s">
        <v>575</v>
      </c>
      <c r="K163" s="7" t="s">
        <v>29</v>
      </c>
      <c r="L163" s="3" t="str">
        <f>E163&amp;D163</f>
        <v>E.SP.IPAEE_INS_CONF_S_I_AES FIBRA OTICA_0090</v>
      </c>
      <c r="M163" s="3" t="str">
        <f>IFERROR(MID(D163,SEARCH("S_I_",D163,1),3),"")</f>
        <v>S_I</v>
      </c>
      <c r="N163" s="3" t="str">
        <f>IFERROR(MID(D163,SEARCH("C_I_",D163,1),3),"")</f>
        <v/>
      </c>
      <c r="O163" s="3" t="str">
        <f>IF(AND(M163="",N163=""),"Extra","")</f>
        <v/>
      </c>
      <c r="P163" s="3" t="str">
        <f>IF(Q163=0,"TERCEIRO","MRS")</f>
        <v>MRS</v>
      </c>
      <c r="Q163" s="8" t="str">
        <f>IFERROR(VLOOKUP(L163,#REF!,4,0),"0,00")</f>
        <v>0,00</v>
      </c>
      <c r="R163" s="9" t="s">
        <v>57</v>
      </c>
      <c r="S163" s="9">
        <f>COUNTIF(D163,"*_SEG_*")</f>
        <v>0</v>
      </c>
      <c r="T163" s="9">
        <f>COUNTIF(D163,"*_MAN_*")</f>
        <v>0</v>
      </c>
      <c r="U163" s="9">
        <f>(RIGHT(D163,4))*1</f>
        <v>90</v>
      </c>
      <c r="V163" s="9" t="str">
        <f>IFERROR(VLOOKUP(I163,#REF!,2,0),"Sinalização")</f>
        <v>Sinalização</v>
      </c>
    </row>
    <row r="164" spans="1:22" x14ac:dyDescent="0.25">
      <c r="A164" s="3" t="s">
        <v>22</v>
      </c>
      <c r="B164" s="4">
        <v>23361143</v>
      </c>
      <c r="C164" s="5" t="s">
        <v>23</v>
      </c>
      <c r="D164" s="6" t="s">
        <v>573</v>
      </c>
      <c r="E164" s="6" t="s">
        <v>25</v>
      </c>
      <c r="F164" s="11">
        <v>46169</v>
      </c>
      <c r="G164" s="6" t="s">
        <v>1079</v>
      </c>
      <c r="H164" s="7"/>
      <c r="I164" s="7" t="s">
        <v>763</v>
      </c>
      <c r="J164" s="7" t="s">
        <v>575</v>
      </c>
      <c r="K164" s="7" t="s">
        <v>29</v>
      </c>
      <c r="L164" s="3" t="str">
        <f>E164&amp;D164</f>
        <v>E.SP.IPAEE_INS_CONF_S_I_AES FIBRA OTICA_0090</v>
      </c>
      <c r="M164" s="3" t="str">
        <f>IFERROR(MID(D164,SEARCH("S_I_",D164,1),3),"")</f>
        <v>S_I</v>
      </c>
      <c r="N164" s="3" t="str">
        <f>IFERROR(MID(D164,SEARCH("C_I_",D164,1),3),"")</f>
        <v/>
      </c>
      <c r="O164" s="3" t="str">
        <f>IF(AND(M164="",N164=""),"Extra","")</f>
        <v/>
      </c>
      <c r="P164" s="3" t="str">
        <f>IF(Q164=0,"TERCEIRO","MRS")</f>
        <v>MRS</v>
      </c>
      <c r="Q164" s="8" t="str">
        <f>IFERROR(VLOOKUP(L164,#REF!,4,0),"0,00")</f>
        <v>0,00</v>
      </c>
      <c r="R164" s="9" t="s">
        <v>57</v>
      </c>
      <c r="S164" s="9">
        <f>COUNTIF(D164,"*_SEG_*")</f>
        <v>0</v>
      </c>
      <c r="T164" s="9">
        <f>COUNTIF(D164,"*_MAN_*")</f>
        <v>0</v>
      </c>
      <c r="U164" s="9">
        <f>(RIGHT(D164,4))*1</f>
        <v>90</v>
      </c>
      <c r="V164" s="9" t="str">
        <f>IFERROR(VLOOKUP(I164,#REF!,2,0),"Sinalização")</f>
        <v>Sinalização</v>
      </c>
    </row>
    <row r="165" spans="1:22" x14ac:dyDescent="0.25">
      <c r="A165" s="3" t="s">
        <v>22</v>
      </c>
      <c r="B165" s="4">
        <v>23361145</v>
      </c>
      <c r="C165" s="5" t="s">
        <v>23</v>
      </c>
      <c r="D165" s="6" t="s">
        <v>576</v>
      </c>
      <c r="E165" s="6" t="s">
        <v>25</v>
      </c>
      <c r="F165" s="11">
        <v>46169</v>
      </c>
      <c r="G165" s="6" t="s">
        <v>1079</v>
      </c>
      <c r="H165" s="7"/>
      <c r="I165" s="7" t="s">
        <v>260</v>
      </c>
      <c r="J165" s="7" t="s">
        <v>578</v>
      </c>
      <c r="K165" s="7" t="s">
        <v>29</v>
      </c>
      <c r="L165" s="3" t="str">
        <f>E165&amp;D165</f>
        <v>E.SP.IPAEE_MAN_CONF_S_I_BL INT RELÉ S/ BAT_0090</v>
      </c>
      <c r="M165" s="3" t="str">
        <f>IFERROR(MID(D165,SEARCH("S_I_",D165,1),3),"")</f>
        <v>S_I</v>
      </c>
      <c r="N165" s="3" t="str">
        <f>IFERROR(MID(D165,SEARCH("C_I_",D165,1),3),"")</f>
        <v/>
      </c>
      <c r="O165" s="3" t="str">
        <f>IF(AND(M165="",N165=""),"Extra","")</f>
        <v/>
      </c>
      <c r="P165" s="3" t="str">
        <f>IF(Q165=0,"TERCEIRO","MRS")</f>
        <v>MRS</v>
      </c>
      <c r="Q165" s="8" t="str">
        <f>IFERROR(VLOOKUP(L165,#REF!,4,0),"0,00")</f>
        <v>0,00</v>
      </c>
      <c r="R165" s="9" t="s">
        <v>57</v>
      </c>
      <c r="S165" s="9">
        <f>COUNTIF(D165,"*_SEG_*")</f>
        <v>0</v>
      </c>
      <c r="T165" s="9">
        <f>COUNTIF(D165,"*_MAN_*")</f>
        <v>1</v>
      </c>
      <c r="U165" s="9">
        <f>(RIGHT(D165,4))*1</f>
        <v>90</v>
      </c>
      <c r="V165" s="9" t="str">
        <f>IFERROR(VLOOKUP(I165,#REF!,2,0),"Sinalização")</f>
        <v>Sinalização</v>
      </c>
    </row>
    <row r="166" spans="1:22" x14ac:dyDescent="0.25">
      <c r="A166" s="3" t="s">
        <v>22</v>
      </c>
      <c r="B166" s="4">
        <v>23361265</v>
      </c>
      <c r="C166" s="5" t="s">
        <v>23</v>
      </c>
      <c r="D166" s="6" t="s">
        <v>594</v>
      </c>
      <c r="E166" s="6" t="s">
        <v>25</v>
      </c>
      <c r="F166" s="11">
        <v>46169</v>
      </c>
      <c r="G166" s="6" t="s">
        <v>1079</v>
      </c>
      <c r="H166" s="7"/>
      <c r="I166" s="7" t="s">
        <v>376</v>
      </c>
      <c r="J166" s="7" t="s">
        <v>595</v>
      </c>
      <c r="K166" s="7" t="s">
        <v>29</v>
      </c>
      <c r="L166" s="3" t="str">
        <f>E166&amp;D166</f>
        <v>E.SP.IPAEE_INS_CONF_S_I_BL INT RELÉ S/ BAT_0090</v>
      </c>
      <c r="M166" s="3" t="str">
        <f>IFERROR(MID(D166,SEARCH("S_I_",D166,1),3),"")</f>
        <v>S_I</v>
      </c>
      <c r="N166" s="3" t="str">
        <f>IFERROR(MID(D166,SEARCH("C_I_",D166,1),3),"")</f>
        <v/>
      </c>
      <c r="O166" s="3" t="str">
        <f>IF(AND(M166="",N166=""),"Extra","")</f>
        <v/>
      </c>
      <c r="P166" s="3" t="str">
        <f>IF(Q166=0,"TERCEIRO","MRS")</f>
        <v>MRS</v>
      </c>
      <c r="Q166" s="8" t="str">
        <f>IFERROR(VLOOKUP(L166,#REF!,4,0),"0,00")</f>
        <v>0,00</v>
      </c>
      <c r="R166" s="9" t="s">
        <v>98</v>
      </c>
      <c r="S166" s="9">
        <f>COUNTIF(D166,"*_SEG_*")</f>
        <v>0</v>
      </c>
      <c r="T166" s="9">
        <f>COUNTIF(D166,"*_MAN_*")</f>
        <v>0</v>
      </c>
      <c r="U166" s="9">
        <f>(RIGHT(D166,4))*1</f>
        <v>90</v>
      </c>
      <c r="V166" s="9" t="str">
        <f>IFERROR(VLOOKUP(I166,#REF!,2,0),"Sinalização")</f>
        <v>Sinalização</v>
      </c>
    </row>
    <row r="167" spans="1:22" x14ac:dyDescent="0.25">
      <c r="A167" s="3" t="s">
        <v>22</v>
      </c>
      <c r="B167" s="4">
        <v>23361267</v>
      </c>
      <c r="C167" s="5" t="s">
        <v>23</v>
      </c>
      <c r="D167" s="6" t="s">
        <v>594</v>
      </c>
      <c r="E167" s="6" t="s">
        <v>25</v>
      </c>
      <c r="F167" s="11">
        <v>46169</v>
      </c>
      <c r="G167" s="6" t="s">
        <v>1079</v>
      </c>
      <c r="H167" s="7"/>
      <c r="I167" s="7" t="s">
        <v>487</v>
      </c>
      <c r="J167" s="7" t="s">
        <v>595</v>
      </c>
      <c r="K167" s="7" t="s">
        <v>29</v>
      </c>
      <c r="L167" s="3" t="str">
        <f>E167&amp;D167</f>
        <v>E.SP.IPAEE_INS_CONF_S_I_BL INT RELÉ S/ BAT_0090</v>
      </c>
      <c r="M167" s="3" t="str">
        <f>IFERROR(MID(D167,SEARCH("S_I_",D167,1),3),"")</f>
        <v>S_I</v>
      </c>
      <c r="N167" s="3" t="str">
        <f>IFERROR(MID(D167,SEARCH("C_I_",D167,1),3),"")</f>
        <v/>
      </c>
      <c r="O167" s="3" t="str">
        <f>IF(AND(M167="",N167=""),"Extra","")</f>
        <v/>
      </c>
      <c r="P167" s="3" t="str">
        <f>IF(Q167=0,"TERCEIRO","MRS")</f>
        <v>MRS</v>
      </c>
      <c r="Q167" s="8" t="str">
        <f>IFERROR(VLOOKUP(L167,#REF!,4,0),"0,00")</f>
        <v>0,00</v>
      </c>
      <c r="R167" s="9" t="s">
        <v>98</v>
      </c>
      <c r="S167" s="9">
        <f>COUNTIF(D167,"*_SEG_*")</f>
        <v>0</v>
      </c>
      <c r="T167" s="9">
        <f>COUNTIF(D167,"*_MAN_*")</f>
        <v>0</v>
      </c>
      <c r="U167" s="9">
        <f>(RIGHT(D167,4))*1</f>
        <v>90</v>
      </c>
      <c r="V167" s="9" t="str">
        <f>IFERROR(VLOOKUP(I167,#REF!,2,0),"Sinalização")</f>
        <v>Sinalização</v>
      </c>
    </row>
    <row r="168" spans="1:22" x14ac:dyDescent="0.25">
      <c r="A168" s="3" t="s">
        <v>22</v>
      </c>
      <c r="B168" s="4">
        <v>23361280</v>
      </c>
      <c r="C168" s="5" t="s">
        <v>23</v>
      </c>
      <c r="D168" s="6" t="s">
        <v>598</v>
      </c>
      <c r="E168" s="6" t="s">
        <v>25</v>
      </c>
      <c r="F168" s="11">
        <v>46169</v>
      </c>
      <c r="G168" s="6" t="s">
        <v>1079</v>
      </c>
      <c r="H168" s="7"/>
      <c r="I168" s="7" t="s">
        <v>741</v>
      </c>
      <c r="J168" s="7" t="s">
        <v>591</v>
      </c>
      <c r="K168" s="7" t="s">
        <v>29</v>
      </c>
      <c r="L168" s="3" t="str">
        <f>E168&amp;D168</f>
        <v>E.SP.IPAEE_INS_CONF_S_I_MCH 110V GRS 55BR R_0090</v>
      </c>
      <c r="M168" s="3" t="str">
        <f>IFERROR(MID(D168,SEARCH("S_I_",D168,1),3),"")</f>
        <v>S_I</v>
      </c>
      <c r="N168" s="3" t="str">
        <f>IFERROR(MID(D168,SEARCH("C_I_",D168,1),3),"")</f>
        <v/>
      </c>
      <c r="O168" s="3" t="str">
        <f>IF(AND(M168="",N168=""),"Extra","")</f>
        <v/>
      </c>
      <c r="P168" s="3" t="str">
        <f>IF(Q168=0,"TERCEIRO","MRS")</f>
        <v>MRS</v>
      </c>
      <c r="Q168" s="8" t="str">
        <f>IFERROR(VLOOKUP(L168,#REF!,4,0),"0,00")</f>
        <v>0,00</v>
      </c>
      <c r="R168" s="9" t="s">
        <v>42</v>
      </c>
      <c r="S168" s="9">
        <f>COUNTIF(D168,"*_SEG_*")</f>
        <v>0</v>
      </c>
      <c r="T168" s="9">
        <f>COUNTIF(D168,"*_MAN_*")</f>
        <v>0</v>
      </c>
      <c r="U168" s="9">
        <f>(RIGHT(D168,4))*1</f>
        <v>90</v>
      </c>
      <c r="V168" s="9" t="str">
        <f>IFERROR(VLOOKUP(I168,#REF!,2,0),"Sinalização")</f>
        <v>Sinalização</v>
      </c>
    </row>
    <row r="169" spans="1:22" x14ac:dyDescent="0.25">
      <c r="A169" s="3" t="s">
        <v>22</v>
      </c>
      <c r="B169" s="4">
        <v>23361281</v>
      </c>
      <c r="C169" s="5" t="s">
        <v>23</v>
      </c>
      <c r="D169" s="6" t="s">
        <v>598</v>
      </c>
      <c r="E169" s="6" t="s">
        <v>25</v>
      </c>
      <c r="F169" s="11">
        <v>46169</v>
      </c>
      <c r="G169" s="6" t="s">
        <v>1079</v>
      </c>
      <c r="H169" s="7"/>
      <c r="I169" s="7" t="s">
        <v>505</v>
      </c>
      <c r="J169" s="7" t="s">
        <v>591</v>
      </c>
      <c r="K169" s="7" t="s">
        <v>29</v>
      </c>
      <c r="L169" s="3" t="str">
        <f>E169&amp;D169</f>
        <v>E.SP.IPAEE_INS_CONF_S_I_MCH 110V GRS 55BR R_0090</v>
      </c>
      <c r="M169" s="3" t="str">
        <f>IFERROR(MID(D169,SEARCH("S_I_",D169,1),3),"")</f>
        <v>S_I</v>
      </c>
      <c r="N169" s="3" t="str">
        <f>IFERROR(MID(D169,SEARCH("C_I_",D169,1),3),"")</f>
        <v/>
      </c>
      <c r="O169" s="3" t="str">
        <f>IF(AND(M169="",N169=""),"Extra","")</f>
        <v/>
      </c>
      <c r="P169" s="3" t="str">
        <f>IF(Q169=0,"TERCEIRO","MRS")</f>
        <v>MRS</v>
      </c>
      <c r="Q169" s="8" t="str">
        <f>IFERROR(VLOOKUP(L169,#REF!,4,0),"0,00")</f>
        <v>0,00</v>
      </c>
      <c r="R169" s="9" t="s">
        <v>42</v>
      </c>
      <c r="S169" s="9">
        <f>COUNTIF(D169,"*_SEG_*")</f>
        <v>0</v>
      </c>
      <c r="T169" s="9">
        <f>COUNTIF(D169,"*_MAN_*")</f>
        <v>0</v>
      </c>
      <c r="U169" s="9">
        <f>(RIGHT(D169,4))*1</f>
        <v>90</v>
      </c>
      <c r="V169" s="9" t="str">
        <f>IFERROR(VLOOKUP(I169,#REF!,2,0),"Sinalização")</f>
        <v>Sinalização</v>
      </c>
    </row>
    <row r="170" spans="1:22" x14ac:dyDescent="0.25">
      <c r="A170" s="3" t="s">
        <v>22</v>
      </c>
      <c r="B170" s="4">
        <v>23361308</v>
      </c>
      <c r="C170" s="5" t="s">
        <v>23</v>
      </c>
      <c r="D170" s="6" t="s">
        <v>602</v>
      </c>
      <c r="E170" s="6" t="s">
        <v>25</v>
      </c>
      <c r="F170" s="11">
        <v>46169</v>
      </c>
      <c r="G170" s="6" t="s">
        <v>1079</v>
      </c>
      <c r="H170" s="7"/>
      <c r="I170" s="7" t="s">
        <v>764</v>
      </c>
      <c r="J170" s="7" t="s">
        <v>604</v>
      </c>
      <c r="K170" s="7" t="s">
        <v>29</v>
      </c>
      <c r="L170" s="3" t="str">
        <f>E170&amp;D170</f>
        <v>E.SP.IPAEE_MAN_CONF_S_I_COM ENER CHAN OVER_0090</v>
      </c>
      <c r="M170" s="3" t="str">
        <f>IFERROR(MID(D170,SEARCH("S_I_",D170,1),3),"")</f>
        <v>S_I</v>
      </c>
      <c r="N170" s="3" t="str">
        <f>IFERROR(MID(D170,SEARCH("C_I_",D170,1),3),"")</f>
        <v/>
      </c>
      <c r="O170" s="3" t="str">
        <f>IF(AND(M170="",N170=""),"Extra","")</f>
        <v/>
      </c>
      <c r="P170" s="3" t="str">
        <f>IF(Q170=0,"TERCEIRO","MRS")</f>
        <v>MRS</v>
      </c>
      <c r="Q170" s="8" t="str">
        <f>IFERROR(VLOOKUP(L170,#REF!,4,0),"0,00")</f>
        <v>0,00</v>
      </c>
      <c r="R170" s="9" t="s">
        <v>98</v>
      </c>
      <c r="S170" s="9">
        <f>COUNTIF(D170,"*_SEG_*")</f>
        <v>0</v>
      </c>
      <c r="T170" s="9">
        <f>COUNTIF(D170,"*_MAN_*")</f>
        <v>1</v>
      </c>
      <c r="U170" s="9">
        <f>(RIGHT(D170,4))*1</f>
        <v>90</v>
      </c>
      <c r="V170" s="9" t="str">
        <f>IFERROR(VLOOKUP(I170,#REF!,2,0),"Sinalização")</f>
        <v>Sinalização</v>
      </c>
    </row>
    <row r="171" spans="1:22" x14ac:dyDescent="0.25">
      <c r="A171" s="3" t="s">
        <v>22</v>
      </c>
      <c r="B171" s="4">
        <v>23361345</v>
      </c>
      <c r="C171" s="5" t="s">
        <v>23</v>
      </c>
      <c r="D171" s="6" t="s">
        <v>739</v>
      </c>
      <c r="E171" s="6" t="s">
        <v>25</v>
      </c>
      <c r="F171" s="11">
        <v>46169</v>
      </c>
      <c r="G171" s="6" t="s">
        <v>1079</v>
      </c>
      <c r="H171" s="7"/>
      <c r="I171" s="7" t="s">
        <v>343</v>
      </c>
      <c r="J171" s="7" t="s">
        <v>662</v>
      </c>
      <c r="K171" s="7" t="s">
        <v>29</v>
      </c>
      <c r="L171" s="3" t="str">
        <f>E171&amp;D171</f>
        <v>E.SP.IPAEE_INS_CONF_S_I_SINAL L UNIFO AUT_0090</v>
      </c>
      <c r="M171" s="3" t="str">
        <f>IFERROR(MID(D171,SEARCH("S_I_",D171,1),3),"")</f>
        <v>S_I</v>
      </c>
      <c r="N171" s="3" t="str">
        <f>IFERROR(MID(D171,SEARCH("C_I_",D171,1),3),"")</f>
        <v/>
      </c>
      <c r="O171" s="3" t="str">
        <f>IF(AND(M171="",N171=""),"Extra","")</f>
        <v/>
      </c>
      <c r="P171" s="3" t="str">
        <f>IF(Q171=0,"TERCEIRO","MRS")</f>
        <v>MRS</v>
      </c>
      <c r="Q171" s="8" t="str">
        <f>IFERROR(VLOOKUP(L171,#REF!,4,0),"0,00")</f>
        <v>0,00</v>
      </c>
      <c r="R171" s="9" t="s">
        <v>42</v>
      </c>
      <c r="S171" s="9">
        <f>COUNTIF(D171,"*_SEG_*")</f>
        <v>0</v>
      </c>
      <c r="T171" s="9">
        <f>COUNTIF(D171,"*_MAN_*")</f>
        <v>0</v>
      </c>
      <c r="U171" s="9">
        <f>(RIGHT(D171,4))*1</f>
        <v>90</v>
      </c>
      <c r="V171" s="9" t="str">
        <f>IFERROR(VLOOKUP(I171,#REF!,2,0),"Sinalização")</f>
        <v>Sinalização</v>
      </c>
    </row>
    <row r="172" spans="1:22" x14ac:dyDescent="0.25">
      <c r="A172" s="3" t="s">
        <v>22</v>
      </c>
      <c r="B172" s="4">
        <v>23361346</v>
      </c>
      <c r="C172" s="5" t="s">
        <v>23</v>
      </c>
      <c r="D172" s="6" t="s">
        <v>739</v>
      </c>
      <c r="E172" s="6" t="s">
        <v>25</v>
      </c>
      <c r="F172" s="11">
        <v>46169</v>
      </c>
      <c r="G172" s="6" t="s">
        <v>1079</v>
      </c>
      <c r="H172" s="7"/>
      <c r="I172" s="7" t="s">
        <v>344</v>
      </c>
      <c r="J172" s="7" t="s">
        <v>662</v>
      </c>
      <c r="K172" s="7" t="s">
        <v>29</v>
      </c>
      <c r="L172" s="3" t="str">
        <f>E172&amp;D172</f>
        <v>E.SP.IPAEE_INS_CONF_S_I_SINAL L UNIFO AUT_0090</v>
      </c>
      <c r="M172" s="3" t="str">
        <f>IFERROR(MID(D172,SEARCH("S_I_",D172,1),3),"")</f>
        <v>S_I</v>
      </c>
      <c r="N172" s="3" t="str">
        <f>IFERROR(MID(D172,SEARCH("C_I_",D172,1),3),"")</f>
        <v/>
      </c>
      <c r="O172" s="3" t="str">
        <f>IF(AND(M172="",N172=""),"Extra","")</f>
        <v/>
      </c>
      <c r="P172" s="3" t="str">
        <f>IF(Q172=0,"TERCEIRO","MRS")</f>
        <v>MRS</v>
      </c>
      <c r="Q172" s="8" t="str">
        <f>IFERROR(VLOOKUP(L172,#REF!,4,0),"0,00")</f>
        <v>0,00</v>
      </c>
      <c r="R172" s="9" t="s">
        <v>42</v>
      </c>
      <c r="S172" s="9">
        <f>COUNTIF(D172,"*_SEG_*")</f>
        <v>0</v>
      </c>
      <c r="T172" s="9">
        <f>COUNTIF(D172,"*_MAN_*")</f>
        <v>0</v>
      </c>
      <c r="U172" s="9">
        <f>(RIGHT(D172,4))*1</f>
        <v>90</v>
      </c>
      <c r="V172" s="9" t="str">
        <f>IFERROR(VLOOKUP(I172,#REF!,2,0),"Sinalização")</f>
        <v>Sinalização</v>
      </c>
    </row>
    <row r="173" spans="1:22" x14ac:dyDescent="0.25">
      <c r="A173" s="3" t="s">
        <v>22</v>
      </c>
      <c r="B173" s="4">
        <v>23361347</v>
      </c>
      <c r="C173" s="5" t="s">
        <v>23</v>
      </c>
      <c r="D173" s="6" t="s">
        <v>739</v>
      </c>
      <c r="E173" s="6" t="s">
        <v>25</v>
      </c>
      <c r="F173" s="11">
        <v>46169</v>
      </c>
      <c r="G173" s="6" t="s">
        <v>1079</v>
      </c>
      <c r="H173" s="7"/>
      <c r="I173" s="7" t="s">
        <v>345</v>
      </c>
      <c r="J173" s="7" t="s">
        <v>662</v>
      </c>
      <c r="K173" s="7" t="s">
        <v>29</v>
      </c>
      <c r="L173" s="3" t="str">
        <f>E173&amp;D173</f>
        <v>E.SP.IPAEE_INS_CONF_S_I_SINAL L UNIFO AUT_0090</v>
      </c>
      <c r="M173" s="3" t="str">
        <f>IFERROR(MID(D173,SEARCH("S_I_",D173,1),3),"")</f>
        <v>S_I</v>
      </c>
      <c r="N173" s="3" t="str">
        <f>IFERROR(MID(D173,SEARCH("C_I_",D173,1),3),"")</f>
        <v/>
      </c>
      <c r="O173" s="3" t="str">
        <f>IF(AND(M173="",N173=""),"Extra","")</f>
        <v/>
      </c>
      <c r="P173" s="3" t="str">
        <f>IF(Q173=0,"TERCEIRO","MRS")</f>
        <v>MRS</v>
      </c>
      <c r="Q173" s="8" t="str">
        <f>IFERROR(VLOOKUP(L173,#REF!,4,0),"0,00")</f>
        <v>0,00</v>
      </c>
      <c r="R173" s="9" t="s">
        <v>42</v>
      </c>
      <c r="S173" s="9">
        <f>COUNTIF(D173,"*_SEG_*")</f>
        <v>0</v>
      </c>
      <c r="T173" s="9">
        <f>COUNTIF(D173,"*_MAN_*")</f>
        <v>0</v>
      </c>
      <c r="U173" s="9">
        <f>(RIGHT(D173,4))*1</f>
        <v>90</v>
      </c>
      <c r="V173" s="9" t="str">
        <f>IFERROR(VLOOKUP(I173,#REF!,2,0),"Sinalização")</f>
        <v>Sinalização</v>
      </c>
    </row>
    <row r="174" spans="1:22" x14ac:dyDescent="0.25">
      <c r="A174" s="3" t="s">
        <v>22</v>
      </c>
      <c r="B174" s="4">
        <v>23361373</v>
      </c>
      <c r="C174" s="5" t="s">
        <v>23</v>
      </c>
      <c r="D174" s="6" t="s">
        <v>605</v>
      </c>
      <c r="E174" s="6" t="s">
        <v>25</v>
      </c>
      <c r="F174" s="11">
        <v>46169</v>
      </c>
      <c r="G174" s="6" t="s">
        <v>1079</v>
      </c>
      <c r="H174" s="7"/>
      <c r="I174" s="7" t="s">
        <v>340</v>
      </c>
      <c r="J174" s="7" t="s">
        <v>560</v>
      </c>
      <c r="K174" s="7" t="s">
        <v>29</v>
      </c>
      <c r="L174" s="3" t="str">
        <f>E174&amp;D174</f>
        <v>E.SP.IPAEE_INS_SEG_S_I_CIRCUITO VIA CA_0090</v>
      </c>
      <c r="M174" s="3" t="str">
        <f>IFERROR(MID(D174,SEARCH("S_I_",D174,1),3),"")</f>
        <v>S_I</v>
      </c>
      <c r="N174" s="3" t="str">
        <f>IFERROR(MID(D174,SEARCH("C_I_",D174,1),3),"")</f>
        <v/>
      </c>
      <c r="O174" s="3" t="str">
        <f>IF(AND(M174="",N174=""),"Extra","")</f>
        <v/>
      </c>
      <c r="P174" s="3" t="str">
        <f>IF(Q174=0,"TERCEIRO","MRS")</f>
        <v>MRS</v>
      </c>
      <c r="Q174" s="8" t="str">
        <f>IFERROR(VLOOKUP(L174,#REF!,4,0),"0,00")</f>
        <v>0,00</v>
      </c>
      <c r="R174" s="9" t="s">
        <v>30</v>
      </c>
      <c r="S174" s="9">
        <f>COUNTIF(D174,"*_SEG_*")</f>
        <v>1</v>
      </c>
      <c r="T174" s="9">
        <f>COUNTIF(D174,"*_MAN_*")</f>
        <v>0</v>
      </c>
      <c r="U174" s="9">
        <f>(RIGHT(D174,4))*1</f>
        <v>90</v>
      </c>
      <c r="V174" s="9" t="str">
        <f>IFERROR(VLOOKUP(I174,#REF!,2,0),"Sinalização")</f>
        <v>Sinalização</v>
      </c>
    </row>
    <row r="175" spans="1:22" x14ac:dyDescent="0.25">
      <c r="A175" s="3" t="s">
        <v>22</v>
      </c>
      <c r="B175" s="4">
        <v>23361380</v>
      </c>
      <c r="C175" s="5" t="s">
        <v>23</v>
      </c>
      <c r="D175" s="6" t="s">
        <v>605</v>
      </c>
      <c r="E175" s="6" t="s">
        <v>25</v>
      </c>
      <c r="F175" s="11">
        <v>46169</v>
      </c>
      <c r="G175" s="6" t="s">
        <v>1079</v>
      </c>
      <c r="H175" s="7"/>
      <c r="I175" s="7" t="s">
        <v>425</v>
      </c>
      <c r="J175" s="7" t="s">
        <v>560</v>
      </c>
      <c r="K175" s="7" t="s">
        <v>29</v>
      </c>
      <c r="L175" s="3" t="str">
        <f>E175&amp;D175</f>
        <v>E.SP.IPAEE_INS_SEG_S_I_CIRCUITO VIA CA_0090</v>
      </c>
      <c r="M175" s="3" t="str">
        <f>IFERROR(MID(D175,SEARCH("S_I_",D175,1),3),"")</f>
        <v>S_I</v>
      </c>
      <c r="N175" s="3" t="str">
        <f>IFERROR(MID(D175,SEARCH("C_I_",D175,1),3),"")</f>
        <v/>
      </c>
      <c r="O175" s="3" t="str">
        <f>IF(AND(M175="",N175=""),"Extra","")</f>
        <v/>
      </c>
      <c r="P175" s="3" t="str">
        <f>IF(Q175=0,"TERCEIRO","MRS")</f>
        <v>MRS</v>
      </c>
      <c r="Q175" s="8" t="str">
        <f>IFERROR(VLOOKUP(L175,#REF!,4,0),"0,00")</f>
        <v>0,00</v>
      </c>
      <c r="R175" s="9" t="s">
        <v>30</v>
      </c>
      <c r="S175" s="9">
        <f>COUNTIF(D175,"*_SEG_*")</f>
        <v>1</v>
      </c>
      <c r="T175" s="9">
        <f>COUNTIF(D175,"*_MAN_*")</f>
        <v>0</v>
      </c>
      <c r="U175" s="9">
        <f>(RIGHT(D175,4))*1</f>
        <v>90</v>
      </c>
      <c r="V175" s="9" t="str">
        <f>IFERROR(VLOOKUP(I175,#REF!,2,0),"Sinalização")</f>
        <v>Sinalização</v>
      </c>
    </row>
    <row r="176" spans="1:22" x14ac:dyDescent="0.25">
      <c r="A176" s="3" t="s">
        <v>22</v>
      </c>
      <c r="B176" s="4">
        <v>23361381</v>
      </c>
      <c r="C176" s="5" t="s">
        <v>23</v>
      </c>
      <c r="D176" s="6" t="s">
        <v>605</v>
      </c>
      <c r="E176" s="6" t="s">
        <v>25</v>
      </c>
      <c r="F176" s="11">
        <v>46169</v>
      </c>
      <c r="G176" s="6" t="s">
        <v>1079</v>
      </c>
      <c r="H176" s="7"/>
      <c r="I176" s="7" t="s">
        <v>765</v>
      </c>
      <c r="J176" s="7" t="s">
        <v>560</v>
      </c>
      <c r="K176" s="7" t="s">
        <v>29</v>
      </c>
      <c r="L176" s="3" t="str">
        <f>E176&amp;D176</f>
        <v>E.SP.IPAEE_INS_SEG_S_I_CIRCUITO VIA CA_0090</v>
      </c>
      <c r="M176" s="3" t="str">
        <f>IFERROR(MID(D176,SEARCH("S_I_",D176,1),3),"")</f>
        <v>S_I</v>
      </c>
      <c r="N176" s="3" t="str">
        <f>IFERROR(MID(D176,SEARCH("C_I_",D176,1),3),"")</f>
        <v/>
      </c>
      <c r="O176" s="3" t="str">
        <f>IF(AND(M176="",N176=""),"Extra","")</f>
        <v/>
      </c>
      <c r="P176" s="3" t="str">
        <f>IF(Q176=0,"TERCEIRO","MRS")</f>
        <v>MRS</v>
      </c>
      <c r="Q176" s="8" t="str">
        <f>IFERROR(VLOOKUP(L176,#REF!,4,0),"0,00")</f>
        <v>0,00</v>
      </c>
      <c r="R176" s="9" t="s">
        <v>30</v>
      </c>
      <c r="S176" s="9">
        <f>COUNTIF(D176,"*_SEG_*")</f>
        <v>1</v>
      </c>
      <c r="T176" s="9">
        <f>COUNTIF(D176,"*_MAN_*")</f>
        <v>0</v>
      </c>
      <c r="U176" s="9">
        <f>(RIGHT(D176,4))*1</f>
        <v>90</v>
      </c>
      <c r="V176" s="9" t="str">
        <f>IFERROR(VLOOKUP(I176,#REF!,2,0),"Sinalização")</f>
        <v>Sinalização</v>
      </c>
    </row>
    <row r="177" spans="1:22" x14ac:dyDescent="0.25">
      <c r="A177" s="3" t="s">
        <v>22</v>
      </c>
      <c r="B177" s="4">
        <v>23361382</v>
      </c>
      <c r="C177" s="5" t="s">
        <v>23</v>
      </c>
      <c r="D177" s="6" t="s">
        <v>605</v>
      </c>
      <c r="E177" s="6" t="s">
        <v>25</v>
      </c>
      <c r="F177" s="11">
        <v>46169</v>
      </c>
      <c r="G177" s="6" t="s">
        <v>1079</v>
      </c>
      <c r="H177" s="7"/>
      <c r="I177" s="7" t="s">
        <v>766</v>
      </c>
      <c r="J177" s="7" t="s">
        <v>560</v>
      </c>
      <c r="K177" s="7" t="s">
        <v>29</v>
      </c>
      <c r="L177" s="3" t="str">
        <f>E177&amp;D177</f>
        <v>E.SP.IPAEE_INS_SEG_S_I_CIRCUITO VIA CA_0090</v>
      </c>
      <c r="M177" s="3" t="str">
        <f>IFERROR(MID(D177,SEARCH("S_I_",D177,1),3),"")</f>
        <v>S_I</v>
      </c>
      <c r="N177" s="3" t="str">
        <f>IFERROR(MID(D177,SEARCH("C_I_",D177,1),3),"")</f>
        <v/>
      </c>
      <c r="O177" s="3" t="str">
        <f>IF(AND(M177="",N177=""),"Extra","")</f>
        <v/>
      </c>
      <c r="P177" s="3" t="str">
        <f>IF(Q177=0,"TERCEIRO","MRS")</f>
        <v>MRS</v>
      </c>
      <c r="Q177" s="8" t="str">
        <f>IFERROR(VLOOKUP(L177,#REF!,4,0),"0,00")</f>
        <v>0,00</v>
      </c>
      <c r="R177" s="9" t="s">
        <v>30</v>
      </c>
      <c r="S177" s="9">
        <f>COUNTIF(D177,"*_SEG_*")</f>
        <v>1</v>
      </c>
      <c r="T177" s="9">
        <f>COUNTIF(D177,"*_MAN_*")</f>
        <v>0</v>
      </c>
      <c r="U177" s="9">
        <f>(RIGHT(D177,4))*1</f>
        <v>90</v>
      </c>
      <c r="V177" s="9" t="str">
        <f>IFERROR(VLOOKUP(I177,#REF!,2,0),"Sinalização")</f>
        <v>Sinalização</v>
      </c>
    </row>
    <row r="178" spans="1:22" x14ac:dyDescent="0.25">
      <c r="A178" s="3" t="s">
        <v>22</v>
      </c>
      <c r="B178" s="4">
        <v>23361385</v>
      </c>
      <c r="C178" s="5" t="s">
        <v>23</v>
      </c>
      <c r="D178" s="6" t="s">
        <v>605</v>
      </c>
      <c r="E178" s="6" t="s">
        <v>25</v>
      </c>
      <c r="F178" s="11">
        <v>46169</v>
      </c>
      <c r="G178" s="6" t="s">
        <v>1079</v>
      </c>
      <c r="H178" s="7"/>
      <c r="I178" s="7" t="s">
        <v>341</v>
      </c>
      <c r="J178" s="7" t="s">
        <v>560</v>
      </c>
      <c r="K178" s="7" t="s">
        <v>29</v>
      </c>
      <c r="L178" s="3" t="str">
        <f>E178&amp;D178</f>
        <v>E.SP.IPAEE_INS_SEG_S_I_CIRCUITO VIA CA_0090</v>
      </c>
      <c r="M178" s="3" t="str">
        <f>IFERROR(MID(D178,SEARCH("S_I_",D178,1),3),"")</f>
        <v>S_I</v>
      </c>
      <c r="N178" s="3" t="str">
        <f>IFERROR(MID(D178,SEARCH("C_I_",D178,1),3),"")</f>
        <v/>
      </c>
      <c r="O178" s="3" t="str">
        <f>IF(AND(M178="",N178=""),"Extra","")</f>
        <v/>
      </c>
      <c r="P178" s="3" t="str">
        <f>IF(Q178=0,"TERCEIRO","MRS")</f>
        <v>MRS</v>
      </c>
      <c r="Q178" s="8" t="str">
        <f>IFERROR(VLOOKUP(L178,#REF!,4,0),"0,00")</f>
        <v>0,00</v>
      </c>
      <c r="R178" s="9" t="s">
        <v>30</v>
      </c>
      <c r="S178" s="9">
        <f>COUNTIF(D178,"*_SEG_*")</f>
        <v>1</v>
      </c>
      <c r="T178" s="9">
        <f>COUNTIF(D178,"*_MAN_*")</f>
        <v>0</v>
      </c>
      <c r="U178" s="9">
        <f>(RIGHT(D178,4))*1</f>
        <v>90</v>
      </c>
      <c r="V178" s="9" t="str">
        <f>IFERROR(VLOOKUP(I178,#REF!,2,0),"Sinalização")</f>
        <v>Sinalização</v>
      </c>
    </row>
    <row r="179" spans="1:22" x14ac:dyDescent="0.25">
      <c r="A179" s="3" t="s">
        <v>22</v>
      </c>
      <c r="B179" s="4">
        <v>23361386</v>
      </c>
      <c r="C179" s="5" t="s">
        <v>23</v>
      </c>
      <c r="D179" s="6" t="s">
        <v>605</v>
      </c>
      <c r="E179" s="6" t="s">
        <v>25</v>
      </c>
      <c r="F179" s="11">
        <v>46169</v>
      </c>
      <c r="G179" s="6" t="s">
        <v>1079</v>
      </c>
      <c r="H179" s="7"/>
      <c r="I179" s="7" t="s">
        <v>767</v>
      </c>
      <c r="J179" s="7" t="s">
        <v>560</v>
      </c>
      <c r="K179" s="7" t="s">
        <v>29</v>
      </c>
      <c r="L179" s="3" t="str">
        <f>E179&amp;D179</f>
        <v>E.SP.IPAEE_INS_SEG_S_I_CIRCUITO VIA CA_0090</v>
      </c>
      <c r="M179" s="3" t="str">
        <f>IFERROR(MID(D179,SEARCH("S_I_",D179,1),3),"")</f>
        <v>S_I</v>
      </c>
      <c r="N179" s="3" t="str">
        <f>IFERROR(MID(D179,SEARCH("C_I_",D179,1),3),"")</f>
        <v/>
      </c>
      <c r="O179" s="3" t="str">
        <f>IF(AND(M179="",N179=""),"Extra","")</f>
        <v/>
      </c>
      <c r="P179" s="3" t="str">
        <f>IF(Q179=0,"TERCEIRO","MRS")</f>
        <v>MRS</v>
      </c>
      <c r="Q179" s="8" t="str">
        <f>IFERROR(VLOOKUP(L179,#REF!,4,0),"0,00")</f>
        <v>0,00</v>
      </c>
      <c r="R179" s="9" t="s">
        <v>30</v>
      </c>
      <c r="S179" s="9">
        <f>COUNTIF(D179,"*_SEG_*")</f>
        <v>1</v>
      </c>
      <c r="T179" s="9">
        <f>COUNTIF(D179,"*_MAN_*")</f>
        <v>0</v>
      </c>
      <c r="U179" s="9">
        <f>(RIGHT(D179,4))*1</f>
        <v>90</v>
      </c>
      <c r="V179" s="9" t="str">
        <f>IFERROR(VLOOKUP(I179,#REF!,2,0),"Sinalização")</f>
        <v>Sinalização</v>
      </c>
    </row>
    <row r="180" spans="1:22" x14ac:dyDescent="0.25">
      <c r="A180" s="3" t="s">
        <v>22</v>
      </c>
      <c r="B180" s="4">
        <v>23361387</v>
      </c>
      <c r="C180" s="5" t="s">
        <v>23</v>
      </c>
      <c r="D180" s="6" t="s">
        <v>605</v>
      </c>
      <c r="E180" s="6" t="s">
        <v>25</v>
      </c>
      <c r="F180" s="11">
        <v>46169</v>
      </c>
      <c r="G180" s="6" t="s">
        <v>1079</v>
      </c>
      <c r="H180" s="7"/>
      <c r="I180" s="7" t="s">
        <v>756</v>
      </c>
      <c r="J180" s="7" t="s">
        <v>560</v>
      </c>
      <c r="K180" s="7" t="s">
        <v>29</v>
      </c>
      <c r="L180" s="3" t="str">
        <f>E180&amp;D180</f>
        <v>E.SP.IPAEE_INS_SEG_S_I_CIRCUITO VIA CA_0090</v>
      </c>
      <c r="M180" s="3" t="str">
        <f>IFERROR(MID(D180,SEARCH("S_I_",D180,1),3),"")</f>
        <v>S_I</v>
      </c>
      <c r="N180" s="3" t="str">
        <f>IFERROR(MID(D180,SEARCH("C_I_",D180,1),3),"")</f>
        <v/>
      </c>
      <c r="O180" s="3" t="str">
        <f>IF(AND(M180="",N180=""),"Extra","")</f>
        <v/>
      </c>
      <c r="P180" s="3" t="str">
        <f>IF(Q180=0,"TERCEIRO","MRS")</f>
        <v>MRS</v>
      </c>
      <c r="Q180" s="8" t="str">
        <f>IFERROR(VLOOKUP(L180,#REF!,4,0),"0,00")</f>
        <v>0,00</v>
      </c>
      <c r="R180" s="9" t="s">
        <v>30</v>
      </c>
      <c r="S180" s="9">
        <f>COUNTIF(D180,"*_SEG_*")</f>
        <v>1</v>
      </c>
      <c r="T180" s="9">
        <f>COUNTIF(D180,"*_MAN_*")</f>
        <v>0</v>
      </c>
      <c r="U180" s="9">
        <f>(RIGHT(D180,4))*1</f>
        <v>90</v>
      </c>
      <c r="V180" s="9" t="str">
        <f>IFERROR(VLOOKUP(I180,#REF!,2,0),"Sinalização")</f>
        <v>Sinalização</v>
      </c>
    </row>
    <row r="181" spans="1:22" x14ac:dyDescent="0.25">
      <c r="A181" s="3" t="s">
        <v>22</v>
      </c>
      <c r="B181" s="4">
        <v>23361388</v>
      </c>
      <c r="C181" s="5" t="s">
        <v>23</v>
      </c>
      <c r="D181" s="6" t="s">
        <v>605</v>
      </c>
      <c r="E181" s="6" t="s">
        <v>25</v>
      </c>
      <c r="F181" s="11">
        <v>46169</v>
      </c>
      <c r="G181" s="6" t="s">
        <v>1079</v>
      </c>
      <c r="H181" s="7"/>
      <c r="I181" s="7" t="s">
        <v>757</v>
      </c>
      <c r="J181" s="7" t="s">
        <v>560</v>
      </c>
      <c r="K181" s="7" t="s">
        <v>29</v>
      </c>
      <c r="L181" s="3" t="str">
        <f>E181&amp;D181</f>
        <v>E.SP.IPAEE_INS_SEG_S_I_CIRCUITO VIA CA_0090</v>
      </c>
      <c r="M181" s="3" t="str">
        <f>IFERROR(MID(D181,SEARCH("S_I_",D181,1),3),"")</f>
        <v>S_I</v>
      </c>
      <c r="N181" s="3" t="str">
        <f>IFERROR(MID(D181,SEARCH("C_I_",D181,1),3),"")</f>
        <v/>
      </c>
      <c r="O181" s="3" t="str">
        <f>IF(AND(M181="",N181=""),"Extra","")</f>
        <v/>
      </c>
      <c r="P181" s="3" t="str">
        <f>IF(Q181=0,"TERCEIRO","MRS")</f>
        <v>MRS</v>
      </c>
      <c r="Q181" s="8" t="str">
        <f>IFERROR(VLOOKUP(L181,#REF!,4,0),"0,00")</f>
        <v>0,00</v>
      </c>
      <c r="R181" s="9" t="s">
        <v>30</v>
      </c>
      <c r="S181" s="9">
        <f>COUNTIF(D181,"*_SEG_*")</f>
        <v>1</v>
      </c>
      <c r="T181" s="9">
        <f>COUNTIF(D181,"*_MAN_*")</f>
        <v>0</v>
      </c>
      <c r="U181" s="9">
        <f>(RIGHT(D181,4))*1</f>
        <v>90</v>
      </c>
      <c r="V181" s="9" t="str">
        <f>IFERROR(VLOOKUP(I181,#REF!,2,0),"Sinalização")</f>
        <v>Sinalização</v>
      </c>
    </row>
    <row r="182" spans="1:22" x14ac:dyDescent="0.25">
      <c r="A182" s="3" t="s">
        <v>22</v>
      </c>
      <c r="B182" s="4">
        <v>23361390</v>
      </c>
      <c r="C182" s="5" t="s">
        <v>23</v>
      </c>
      <c r="D182" s="6" t="s">
        <v>605</v>
      </c>
      <c r="E182" s="6" t="s">
        <v>25</v>
      </c>
      <c r="F182" s="11">
        <v>46169</v>
      </c>
      <c r="G182" s="6" t="s">
        <v>1079</v>
      </c>
      <c r="H182" s="7"/>
      <c r="I182" s="7" t="s">
        <v>768</v>
      </c>
      <c r="J182" s="7" t="s">
        <v>560</v>
      </c>
      <c r="K182" s="7" t="s">
        <v>29</v>
      </c>
      <c r="L182" s="3" t="str">
        <f>E182&amp;D182</f>
        <v>E.SP.IPAEE_INS_SEG_S_I_CIRCUITO VIA CA_0090</v>
      </c>
      <c r="M182" s="3" t="str">
        <f>IFERROR(MID(D182,SEARCH("S_I_",D182,1),3),"")</f>
        <v>S_I</v>
      </c>
      <c r="N182" s="3" t="str">
        <f>IFERROR(MID(D182,SEARCH("C_I_",D182,1),3),"")</f>
        <v/>
      </c>
      <c r="O182" s="3" t="str">
        <f>IF(AND(M182="",N182=""),"Extra","")</f>
        <v/>
      </c>
      <c r="P182" s="3" t="str">
        <f>IF(Q182=0,"TERCEIRO","MRS")</f>
        <v>MRS</v>
      </c>
      <c r="Q182" s="8" t="str">
        <f>IFERROR(VLOOKUP(L182,#REF!,4,0),"0,00")</f>
        <v>0,00</v>
      </c>
      <c r="R182" s="9" t="s">
        <v>30</v>
      </c>
      <c r="S182" s="9">
        <f>COUNTIF(D182,"*_SEG_*")</f>
        <v>1</v>
      </c>
      <c r="T182" s="9">
        <f>COUNTIF(D182,"*_MAN_*")</f>
        <v>0</v>
      </c>
      <c r="U182" s="9">
        <f>(RIGHT(D182,4))*1</f>
        <v>90</v>
      </c>
      <c r="V182" s="9" t="str">
        <f>IFERROR(VLOOKUP(I182,#REF!,2,0),"Sinalização")</f>
        <v>Sinalização</v>
      </c>
    </row>
    <row r="183" spans="1:22" x14ac:dyDescent="0.25">
      <c r="A183" s="3" t="s">
        <v>22</v>
      </c>
      <c r="B183" s="4">
        <v>23361391</v>
      </c>
      <c r="C183" s="5" t="s">
        <v>23</v>
      </c>
      <c r="D183" s="6" t="s">
        <v>605</v>
      </c>
      <c r="E183" s="6" t="s">
        <v>25</v>
      </c>
      <c r="F183" s="11">
        <v>46169</v>
      </c>
      <c r="G183" s="6" t="s">
        <v>1079</v>
      </c>
      <c r="H183" s="7"/>
      <c r="I183" s="7" t="s">
        <v>759</v>
      </c>
      <c r="J183" s="7" t="s">
        <v>560</v>
      </c>
      <c r="K183" s="7" t="s">
        <v>29</v>
      </c>
      <c r="L183" s="3" t="str">
        <f>E183&amp;D183</f>
        <v>E.SP.IPAEE_INS_SEG_S_I_CIRCUITO VIA CA_0090</v>
      </c>
      <c r="M183" s="3" t="str">
        <f>IFERROR(MID(D183,SEARCH("S_I_",D183,1),3),"")</f>
        <v>S_I</v>
      </c>
      <c r="N183" s="3" t="str">
        <f>IFERROR(MID(D183,SEARCH("C_I_",D183,1),3),"")</f>
        <v/>
      </c>
      <c r="O183" s="3" t="str">
        <f>IF(AND(M183="",N183=""),"Extra","")</f>
        <v/>
      </c>
      <c r="P183" s="3" t="str">
        <f>IF(Q183=0,"TERCEIRO","MRS")</f>
        <v>MRS</v>
      </c>
      <c r="Q183" s="8" t="str">
        <f>IFERROR(VLOOKUP(L183,#REF!,4,0),"0,00")</f>
        <v>0,00</v>
      </c>
      <c r="R183" s="9" t="s">
        <v>30</v>
      </c>
      <c r="S183" s="9">
        <f>COUNTIF(D183,"*_SEG_*")</f>
        <v>1</v>
      </c>
      <c r="T183" s="9">
        <f>COUNTIF(D183,"*_MAN_*")</f>
        <v>0</v>
      </c>
      <c r="U183" s="9">
        <f>(RIGHT(D183,4))*1</f>
        <v>90</v>
      </c>
      <c r="V183" s="9" t="str">
        <f>IFERROR(VLOOKUP(I183,#REF!,2,0),"Sinalização")</f>
        <v>Sinalização</v>
      </c>
    </row>
    <row r="184" spans="1:22" x14ac:dyDescent="0.25">
      <c r="A184" s="3" t="s">
        <v>22</v>
      </c>
      <c r="B184" s="4">
        <v>23361392</v>
      </c>
      <c r="C184" s="5" t="s">
        <v>23</v>
      </c>
      <c r="D184" s="6" t="s">
        <v>700</v>
      </c>
      <c r="E184" s="6" t="s">
        <v>25</v>
      </c>
      <c r="F184" s="11">
        <v>46169</v>
      </c>
      <c r="G184" s="6" t="s">
        <v>1079</v>
      </c>
      <c r="H184" s="7"/>
      <c r="I184" s="7" t="s">
        <v>372</v>
      </c>
      <c r="J184" s="7" t="s">
        <v>701</v>
      </c>
      <c r="K184" s="7" t="s">
        <v>29</v>
      </c>
      <c r="L184" s="3" t="str">
        <f>E184&amp;D184</f>
        <v>E.SP.IPAEE_INS_CONF_S_I_SINAL L MULTI AUT_0090</v>
      </c>
      <c r="M184" s="3" t="str">
        <f>IFERROR(MID(D184,SEARCH("S_I_",D184,1),3),"")</f>
        <v>S_I</v>
      </c>
      <c r="N184" s="3" t="str">
        <f>IFERROR(MID(D184,SEARCH("C_I_",D184,1),3),"")</f>
        <v/>
      </c>
      <c r="O184" s="3" t="str">
        <f>IF(AND(M184="",N184=""),"Extra","")</f>
        <v/>
      </c>
      <c r="P184" s="3" t="str">
        <f>IF(Q184=0,"TERCEIRO","MRS")</f>
        <v>MRS</v>
      </c>
      <c r="Q184" s="8" t="str">
        <f>IFERROR(VLOOKUP(L184,#REF!,4,0),"0,00")</f>
        <v>0,00</v>
      </c>
      <c r="R184" s="9" t="s">
        <v>42</v>
      </c>
      <c r="S184" s="9">
        <f>COUNTIF(D184,"*_SEG_*")</f>
        <v>0</v>
      </c>
      <c r="T184" s="9">
        <f>COUNTIF(D184,"*_MAN_*")</f>
        <v>0</v>
      </c>
      <c r="U184" s="9">
        <f>(RIGHT(D184,4))*1</f>
        <v>90</v>
      </c>
      <c r="V184" s="9" t="str">
        <f>IFERROR(VLOOKUP(I184,#REF!,2,0),"Sinalização")</f>
        <v>Sinalização</v>
      </c>
    </row>
    <row r="185" spans="1:22" x14ac:dyDescent="0.25">
      <c r="A185" s="3" t="s">
        <v>22</v>
      </c>
      <c r="B185" s="4">
        <v>23361394</v>
      </c>
      <c r="C185" s="5" t="s">
        <v>23</v>
      </c>
      <c r="D185" s="6" t="s">
        <v>606</v>
      </c>
      <c r="E185" s="6" t="s">
        <v>25</v>
      </c>
      <c r="F185" s="11">
        <v>46169</v>
      </c>
      <c r="G185" s="6" t="s">
        <v>1079</v>
      </c>
      <c r="H185" s="7"/>
      <c r="I185" s="7" t="s">
        <v>483</v>
      </c>
      <c r="J185" s="7" t="s">
        <v>567</v>
      </c>
      <c r="K185" s="7" t="s">
        <v>29</v>
      </c>
      <c r="L185" s="3" t="str">
        <f>E185&amp;D185</f>
        <v>E.SP.IPAEE_INS_CONF_C_I_MCH 110V GRS 55BR R_0090</v>
      </c>
      <c r="M185" s="3" t="str">
        <f>IFERROR(MID(D185,SEARCH("S_I_",D185,1),3),"")</f>
        <v/>
      </c>
      <c r="N185" s="3" t="str">
        <f>IFERROR(MID(D185,SEARCH("C_I_",D185,1),3),"")</f>
        <v>C_I</v>
      </c>
      <c r="O185" s="3" t="str">
        <f>IF(AND(M185="",N185=""),"Extra","")</f>
        <v/>
      </c>
      <c r="P185" s="3" t="str">
        <f>IF(Q185=0,"TERCEIRO","MRS")</f>
        <v>MRS</v>
      </c>
      <c r="Q185" s="8" t="str">
        <f>IFERROR(VLOOKUP(L185,#REF!,4,0),"0,00")</f>
        <v>0,00</v>
      </c>
      <c r="R185" s="9" t="s">
        <v>42</v>
      </c>
      <c r="S185" s="9">
        <f>COUNTIF(D185,"*_SEG_*")</f>
        <v>0</v>
      </c>
      <c r="T185" s="9">
        <f>COUNTIF(D185,"*_MAN_*")</f>
        <v>0</v>
      </c>
      <c r="U185" s="9">
        <f>(RIGHT(D185,4))*1</f>
        <v>90</v>
      </c>
      <c r="V185" s="9" t="str">
        <f>IFERROR(VLOOKUP(I185,#REF!,2,0),"Sinalização")</f>
        <v>Sinalização</v>
      </c>
    </row>
    <row r="186" spans="1:22" x14ac:dyDescent="0.25">
      <c r="A186" s="3" t="s">
        <v>22</v>
      </c>
      <c r="B186" s="4">
        <v>23361395</v>
      </c>
      <c r="C186" s="5" t="s">
        <v>23</v>
      </c>
      <c r="D186" s="6" t="s">
        <v>606</v>
      </c>
      <c r="E186" s="6" t="s">
        <v>25</v>
      </c>
      <c r="F186" s="11">
        <v>46169</v>
      </c>
      <c r="G186" s="6" t="s">
        <v>1079</v>
      </c>
      <c r="H186" s="7"/>
      <c r="I186" s="7" t="s">
        <v>479</v>
      </c>
      <c r="J186" s="7" t="s">
        <v>567</v>
      </c>
      <c r="K186" s="7" t="s">
        <v>29</v>
      </c>
      <c r="L186" s="3" t="str">
        <f>E186&amp;D186</f>
        <v>E.SP.IPAEE_INS_CONF_C_I_MCH 110V GRS 55BR R_0090</v>
      </c>
      <c r="M186" s="3" t="str">
        <f>IFERROR(MID(D186,SEARCH("S_I_",D186,1),3),"")</f>
        <v/>
      </c>
      <c r="N186" s="3" t="str">
        <f>IFERROR(MID(D186,SEARCH("C_I_",D186,1),3),"")</f>
        <v>C_I</v>
      </c>
      <c r="O186" s="3" t="str">
        <f>IF(AND(M186="",N186=""),"Extra","")</f>
        <v/>
      </c>
      <c r="P186" s="3" t="str">
        <f>IF(Q186=0,"TERCEIRO","MRS")</f>
        <v>MRS</v>
      </c>
      <c r="Q186" s="8" t="str">
        <f>IFERROR(VLOOKUP(L186,#REF!,4,0),"0,00")</f>
        <v>0,00</v>
      </c>
      <c r="R186" s="9" t="s">
        <v>42</v>
      </c>
      <c r="S186" s="9">
        <f>COUNTIF(D186,"*_SEG_*")</f>
        <v>0</v>
      </c>
      <c r="T186" s="9">
        <f>COUNTIF(D186,"*_MAN_*")</f>
        <v>0</v>
      </c>
      <c r="U186" s="9">
        <f>(RIGHT(D186,4))*1</f>
        <v>90</v>
      </c>
      <c r="V186" s="9" t="str">
        <f>IFERROR(VLOOKUP(I186,#REF!,2,0),"Sinalização")</f>
        <v>Sinalização</v>
      </c>
    </row>
    <row r="187" spans="1:22" x14ac:dyDescent="0.25">
      <c r="A187" s="3" t="s">
        <v>22</v>
      </c>
      <c r="B187" s="4">
        <v>23361396</v>
      </c>
      <c r="C187" s="5" t="s">
        <v>23</v>
      </c>
      <c r="D187" s="6" t="s">
        <v>606</v>
      </c>
      <c r="E187" s="6" t="s">
        <v>25</v>
      </c>
      <c r="F187" s="11">
        <v>46169</v>
      </c>
      <c r="G187" s="6" t="s">
        <v>1079</v>
      </c>
      <c r="H187" s="7"/>
      <c r="I187" s="7" t="s">
        <v>480</v>
      </c>
      <c r="J187" s="7" t="s">
        <v>567</v>
      </c>
      <c r="K187" s="7" t="s">
        <v>29</v>
      </c>
      <c r="L187" s="3" t="str">
        <f>E187&amp;D187</f>
        <v>E.SP.IPAEE_INS_CONF_C_I_MCH 110V GRS 55BR R_0090</v>
      </c>
      <c r="M187" s="3" t="str">
        <f>IFERROR(MID(D187,SEARCH("S_I_",D187,1),3),"")</f>
        <v/>
      </c>
      <c r="N187" s="3" t="str">
        <f>IFERROR(MID(D187,SEARCH("C_I_",D187,1),3),"")</f>
        <v>C_I</v>
      </c>
      <c r="O187" s="3" t="str">
        <f>IF(AND(M187="",N187=""),"Extra","")</f>
        <v/>
      </c>
      <c r="P187" s="3" t="str">
        <f>IF(Q187=0,"TERCEIRO","MRS")</f>
        <v>MRS</v>
      </c>
      <c r="Q187" s="8" t="str">
        <f>IFERROR(VLOOKUP(L187,#REF!,4,0),"0,00")</f>
        <v>0,00</v>
      </c>
      <c r="R187" s="9" t="s">
        <v>42</v>
      </c>
      <c r="S187" s="9">
        <f>COUNTIF(D187,"*_SEG_*")</f>
        <v>0</v>
      </c>
      <c r="T187" s="9">
        <f>COUNTIF(D187,"*_MAN_*")</f>
        <v>0</v>
      </c>
      <c r="U187" s="9">
        <f>(RIGHT(D187,4))*1</f>
        <v>90</v>
      </c>
      <c r="V187" s="9" t="str">
        <f>IFERROR(VLOOKUP(I187,#REF!,2,0),"Sinalização")</f>
        <v>Sinalização</v>
      </c>
    </row>
    <row r="188" spans="1:22" x14ac:dyDescent="0.25">
      <c r="A188" s="3" t="s">
        <v>22</v>
      </c>
      <c r="B188" s="4">
        <v>23361573</v>
      </c>
      <c r="C188" s="5" t="s">
        <v>23</v>
      </c>
      <c r="D188" s="6" t="s">
        <v>611</v>
      </c>
      <c r="E188" s="6" t="s">
        <v>25</v>
      </c>
      <c r="F188" s="11">
        <v>46169</v>
      </c>
      <c r="G188" s="6" t="s">
        <v>1079</v>
      </c>
      <c r="H188" s="7"/>
      <c r="I188" s="7" t="s">
        <v>204</v>
      </c>
      <c r="J188" s="7" t="s">
        <v>613</v>
      </c>
      <c r="K188" s="7" t="s">
        <v>29</v>
      </c>
      <c r="L188" s="3" t="str">
        <f>E188&amp;D188</f>
        <v>E.SP.IPAEE_MAN_CONF_S_I_CAIXA DE LOCAÇÃO_0090</v>
      </c>
      <c r="M188" s="3" t="str">
        <f>IFERROR(MID(D188,SEARCH("S_I_",D188,1),3),"")</f>
        <v>S_I</v>
      </c>
      <c r="N188" s="3" t="str">
        <f>IFERROR(MID(D188,SEARCH("C_I_",D188,1),3),"")</f>
        <v/>
      </c>
      <c r="O188" s="3" t="str">
        <f>IF(AND(M188="",N188=""),"Extra","")</f>
        <v/>
      </c>
      <c r="P188" s="3" t="str">
        <f>IF(Q188=0,"TERCEIRO","MRS")</f>
        <v>MRS</v>
      </c>
      <c r="Q188" s="8" t="str">
        <f>IFERROR(VLOOKUP(L188,#REF!,4,0),"0,00")</f>
        <v>0,00</v>
      </c>
      <c r="R188" s="9" t="s">
        <v>57</v>
      </c>
      <c r="S188" s="9">
        <f>COUNTIF(D188,"*_SEG_*")</f>
        <v>0</v>
      </c>
      <c r="T188" s="9">
        <f>COUNTIF(D188,"*_MAN_*")</f>
        <v>1</v>
      </c>
      <c r="U188" s="9">
        <f>(RIGHT(D188,4))*1</f>
        <v>90</v>
      </c>
      <c r="V188" s="9" t="str">
        <f>IFERROR(VLOOKUP(I188,#REF!,2,0),"Sinalização")</f>
        <v>Sinalização</v>
      </c>
    </row>
    <row r="189" spans="1:22" x14ac:dyDescent="0.25">
      <c r="A189" s="3" t="s">
        <v>22</v>
      </c>
      <c r="B189" s="4">
        <v>23361582</v>
      </c>
      <c r="C189" s="5" t="s">
        <v>23</v>
      </c>
      <c r="D189" s="6" t="s">
        <v>611</v>
      </c>
      <c r="E189" s="6" t="s">
        <v>25</v>
      </c>
      <c r="F189" s="11">
        <v>46169</v>
      </c>
      <c r="G189" s="6" t="s">
        <v>1079</v>
      </c>
      <c r="H189" s="7"/>
      <c r="I189" s="7" t="s">
        <v>439</v>
      </c>
      <c r="J189" s="7" t="s">
        <v>613</v>
      </c>
      <c r="K189" s="7" t="s">
        <v>29</v>
      </c>
      <c r="L189" s="3" t="str">
        <f>E189&amp;D189</f>
        <v>E.SP.IPAEE_MAN_CONF_S_I_CAIXA DE LOCAÇÃO_0090</v>
      </c>
      <c r="M189" s="3" t="str">
        <f>IFERROR(MID(D189,SEARCH("S_I_",D189,1),3),"")</f>
        <v>S_I</v>
      </c>
      <c r="N189" s="3" t="str">
        <f>IFERROR(MID(D189,SEARCH("C_I_",D189,1),3),"")</f>
        <v/>
      </c>
      <c r="O189" s="3" t="str">
        <f>IF(AND(M189="",N189=""),"Extra","")</f>
        <v/>
      </c>
      <c r="P189" s="3" t="str">
        <f>IF(Q189=0,"TERCEIRO","MRS")</f>
        <v>MRS</v>
      </c>
      <c r="Q189" s="8" t="str">
        <f>IFERROR(VLOOKUP(L189,#REF!,4,0),"0,00")</f>
        <v>0,00</v>
      </c>
      <c r="R189" s="9" t="s">
        <v>57</v>
      </c>
      <c r="S189" s="9">
        <f>COUNTIF(D189,"*_SEG_*")</f>
        <v>0</v>
      </c>
      <c r="T189" s="9">
        <f>COUNTIF(D189,"*_MAN_*")</f>
        <v>1</v>
      </c>
      <c r="U189" s="9">
        <f>(RIGHT(D189,4))*1</f>
        <v>90</v>
      </c>
      <c r="V189" s="9" t="str">
        <f>IFERROR(VLOOKUP(I189,#REF!,2,0),"Sinalização")</f>
        <v>Sinalização</v>
      </c>
    </row>
    <row r="190" spans="1:22" x14ac:dyDescent="0.25">
      <c r="A190" s="3" t="s">
        <v>22</v>
      </c>
      <c r="B190" s="4">
        <v>23361583</v>
      </c>
      <c r="C190" s="5" t="s">
        <v>23</v>
      </c>
      <c r="D190" s="6" t="s">
        <v>611</v>
      </c>
      <c r="E190" s="6" t="s">
        <v>25</v>
      </c>
      <c r="F190" s="11">
        <v>46169</v>
      </c>
      <c r="G190" s="6" t="s">
        <v>1079</v>
      </c>
      <c r="H190" s="7"/>
      <c r="I190" s="7" t="s">
        <v>203</v>
      </c>
      <c r="J190" s="7" t="s">
        <v>613</v>
      </c>
      <c r="K190" s="7" t="s">
        <v>29</v>
      </c>
      <c r="L190" s="3" t="str">
        <f>E190&amp;D190</f>
        <v>E.SP.IPAEE_MAN_CONF_S_I_CAIXA DE LOCAÇÃO_0090</v>
      </c>
      <c r="M190" s="3" t="str">
        <f>IFERROR(MID(D190,SEARCH("S_I_",D190,1),3),"")</f>
        <v>S_I</v>
      </c>
      <c r="N190" s="3" t="str">
        <f>IFERROR(MID(D190,SEARCH("C_I_",D190,1),3),"")</f>
        <v/>
      </c>
      <c r="O190" s="3" t="str">
        <f>IF(AND(M190="",N190=""),"Extra","")</f>
        <v/>
      </c>
      <c r="P190" s="3" t="str">
        <f>IF(Q190=0,"TERCEIRO","MRS")</f>
        <v>MRS</v>
      </c>
      <c r="Q190" s="8" t="str">
        <f>IFERROR(VLOOKUP(L190,#REF!,4,0),"0,00")</f>
        <v>0,00</v>
      </c>
      <c r="R190" s="9" t="s">
        <v>57</v>
      </c>
      <c r="S190" s="9">
        <f>COUNTIF(D190,"*_SEG_*")</f>
        <v>0</v>
      </c>
      <c r="T190" s="9">
        <f>COUNTIF(D190,"*_MAN_*")</f>
        <v>1</v>
      </c>
      <c r="U190" s="9">
        <f>(RIGHT(D190,4))*1</f>
        <v>90</v>
      </c>
      <c r="V190" s="9" t="str">
        <f>IFERROR(VLOOKUP(I190,#REF!,2,0),"Sinalização")</f>
        <v>Sinalização</v>
      </c>
    </row>
    <row r="191" spans="1:22" x14ac:dyDescent="0.25">
      <c r="A191" s="3" t="s">
        <v>22</v>
      </c>
      <c r="B191" s="4">
        <v>23361584</v>
      </c>
      <c r="C191" s="5" t="s">
        <v>23</v>
      </c>
      <c r="D191" s="6" t="s">
        <v>611</v>
      </c>
      <c r="E191" s="6" t="s">
        <v>25</v>
      </c>
      <c r="F191" s="11">
        <v>46169</v>
      </c>
      <c r="G191" s="6" t="s">
        <v>1079</v>
      </c>
      <c r="H191" s="7"/>
      <c r="I191" s="7" t="s">
        <v>769</v>
      </c>
      <c r="J191" s="7" t="s">
        <v>613</v>
      </c>
      <c r="K191" s="7" t="s">
        <v>29</v>
      </c>
      <c r="L191" s="3" t="str">
        <f>E191&amp;D191</f>
        <v>E.SP.IPAEE_MAN_CONF_S_I_CAIXA DE LOCAÇÃO_0090</v>
      </c>
      <c r="M191" s="3" t="str">
        <f>IFERROR(MID(D191,SEARCH("S_I_",D191,1),3),"")</f>
        <v>S_I</v>
      </c>
      <c r="N191" s="3" t="str">
        <f>IFERROR(MID(D191,SEARCH("C_I_",D191,1),3),"")</f>
        <v/>
      </c>
      <c r="O191" s="3" t="str">
        <f>IF(AND(M191="",N191=""),"Extra","")</f>
        <v/>
      </c>
      <c r="P191" s="3" t="str">
        <f>IF(Q191=0,"TERCEIRO","MRS")</f>
        <v>MRS</v>
      </c>
      <c r="Q191" s="8" t="str">
        <f>IFERROR(VLOOKUP(L191,#REF!,4,0),"0,00")</f>
        <v>0,00</v>
      </c>
      <c r="R191" s="9" t="s">
        <v>57</v>
      </c>
      <c r="S191" s="9">
        <f>COUNTIF(D191,"*_SEG_*")</f>
        <v>0</v>
      </c>
      <c r="T191" s="9">
        <f>COUNTIF(D191,"*_MAN_*")</f>
        <v>1</v>
      </c>
      <c r="U191" s="9">
        <f>(RIGHT(D191,4))*1</f>
        <v>90</v>
      </c>
      <c r="V191" s="9" t="str">
        <f>IFERROR(VLOOKUP(I191,#REF!,2,0),"Sinalização")</f>
        <v>Sinalização</v>
      </c>
    </row>
    <row r="192" spans="1:22" x14ac:dyDescent="0.25">
      <c r="A192" s="3" t="s">
        <v>22</v>
      </c>
      <c r="B192" s="4">
        <v>23361585</v>
      </c>
      <c r="C192" s="5" t="s">
        <v>23</v>
      </c>
      <c r="D192" s="6" t="s">
        <v>611</v>
      </c>
      <c r="E192" s="6" t="s">
        <v>25</v>
      </c>
      <c r="F192" s="11">
        <v>46169</v>
      </c>
      <c r="G192" s="6" t="s">
        <v>1079</v>
      </c>
      <c r="H192" s="7"/>
      <c r="I192" s="7" t="s">
        <v>770</v>
      </c>
      <c r="J192" s="7" t="s">
        <v>613</v>
      </c>
      <c r="K192" s="7" t="s">
        <v>29</v>
      </c>
      <c r="L192" s="3" t="str">
        <f>E192&amp;D192</f>
        <v>E.SP.IPAEE_MAN_CONF_S_I_CAIXA DE LOCAÇÃO_0090</v>
      </c>
      <c r="M192" s="3" t="str">
        <f>IFERROR(MID(D192,SEARCH("S_I_",D192,1),3),"")</f>
        <v>S_I</v>
      </c>
      <c r="N192" s="3" t="str">
        <f>IFERROR(MID(D192,SEARCH("C_I_",D192,1),3),"")</f>
        <v/>
      </c>
      <c r="O192" s="3" t="str">
        <f>IF(AND(M192="",N192=""),"Extra","")</f>
        <v/>
      </c>
      <c r="P192" s="3" t="str">
        <f>IF(Q192=0,"TERCEIRO","MRS")</f>
        <v>MRS</v>
      </c>
      <c r="Q192" s="8" t="str">
        <f>IFERROR(VLOOKUP(L192,#REF!,4,0),"0,00")</f>
        <v>0,00</v>
      </c>
      <c r="R192" s="9" t="s">
        <v>57</v>
      </c>
      <c r="S192" s="9">
        <f>COUNTIF(D192,"*_SEG_*")</f>
        <v>0</v>
      </c>
      <c r="T192" s="9">
        <f>COUNTIF(D192,"*_MAN_*")</f>
        <v>1</v>
      </c>
      <c r="U192" s="9">
        <f>(RIGHT(D192,4))*1</f>
        <v>90</v>
      </c>
      <c r="V192" s="9" t="str">
        <f>IFERROR(VLOOKUP(I192,#REF!,2,0),"Sinalização")</f>
        <v>Sinalização</v>
      </c>
    </row>
    <row r="193" spans="1:22" x14ac:dyDescent="0.25">
      <c r="A193" s="3" t="s">
        <v>22</v>
      </c>
      <c r="B193" s="4">
        <v>23361586</v>
      </c>
      <c r="C193" s="5" t="s">
        <v>23</v>
      </c>
      <c r="D193" s="6" t="s">
        <v>630</v>
      </c>
      <c r="E193" s="6" t="s">
        <v>25</v>
      </c>
      <c r="F193" s="11">
        <v>46169</v>
      </c>
      <c r="G193" s="6" t="s">
        <v>1079</v>
      </c>
      <c r="H193" s="7"/>
      <c r="I193" s="7" t="s">
        <v>481</v>
      </c>
      <c r="J193" s="7" t="s">
        <v>631</v>
      </c>
      <c r="K193" s="7" t="s">
        <v>29</v>
      </c>
      <c r="L193" s="3" t="str">
        <f>E193&amp;D193</f>
        <v>E.SP.IPAEE_MAN_CONF_C_I_MCH 110V GRS 55BR R_0090</v>
      </c>
      <c r="M193" s="3" t="str">
        <f>IFERROR(MID(D193,SEARCH("S_I_",D193,1),3),"")</f>
        <v/>
      </c>
      <c r="N193" s="3" t="str">
        <f>IFERROR(MID(D193,SEARCH("C_I_",D193,1),3),"")</f>
        <v>C_I</v>
      </c>
      <c r="O193" s="3" t="str">
        <f>IF(AND(M193="",N193=""),"Extra","")</f>
        <v/>
      </c>
      <c r="P193" s="3" t="str">
        <f>IF(Q193=0,"TERCEIRO","MRS")</f>
        <v>MRS</v>
      </c>
      <c r="Q193" s="8" t="str">
        <f>IFERROR(VLOOKUP(L193,#REF!,4,0),"0,00")</f>
        <v>0,00</v>
      </c>
      <c r="R193" s="9" t="s">
        <v>42</v>
      </c>
      <c r="S193" s="9">
        <f>COUNTIF(D193,"*_SEG_*")</f>
        <v>0</v>
      </c>
      <c r="T193" s="9">
        <f>COUNTIF(D193,"*_MAN_*")</f>
        <v>1</v>
      </c>
      <c r="U193" s="9">
        <f>(RIGHT(D193,4))*1</f>
        <v>90</v>
      </c>
      <c r="V193" s="9" t="str">
        <f>IFERROR(VLOOKUP(I193,#REF!,2,0),"Sinalização")</f>
        <v>Sinalização</v>
      </c>
    </row>
    <row r="194" spans="1:22" x14ac:dyDescent="0.25">
      <c r="A194" s="3" t="s">
        <v>22</v>
      </c>
      <c r="B194" s="4">
        <v>23361588</v>
      </c>
      <c r="C194" s="5" t="s">
        <v>23</v>
      </c>
      <c r="D194" s="6" t="s">
        <v>630</v>
      </c>
      <c r="E194" s="6" t="s">
        <v>25</v>
      </c>
      <c r="F194" s="11">
        <v>46169</v>
      </c>
      <c r="G194" s="6" t="s">
        <v>1079</v>
      </c>
      <c r="H194" s="7"/>
      <c r="I194" s="7" t="s">
        <v>483</v>
      </c>
      <c r="J194" s="7" t="s">
        <v>631</v>
      </c>
      <c r="K194" s="7" t="s">
        <v>29</v>
      </c>
      <c r="L194" s="3" t="str">
        <f>E194&amp;D194</f>
        <v>E.SP.IPAEE_MAN_CONF_C_I_MCH 110V GRS 55BR R_0090</v>
      </c>
      <c r="M194" s="3" t="str">
        <f>IFERROR(MID(D194,SEARCH("S_I_",D194,1),3),"")</f>
        <v/>
      </c>
      <c r="N194" s="3" t="str">
        <f>IFERROR(MID(D194,SEARCH("C_I_",D194,1),3),"")</f>
        <v>C_I</v>
      </c>
      <c r="O194" s="3" t="str">
        <f>IF(AND(M194="",N194=""),"Extra","")</f>
        <v/>
      </c>
      <c r="P194" s="3" t="str">
        <f>IF(Q194=0,"TERCEIRO","MRS")</f>
        <v>MRS</v>
      </c>
      <c r="Q194" s="8" t="str">
        <f>IFERROR(VLOOKUP(L194,#REF!,4,0),"0,00")</f>
        <v>0,00</v>
      </c>
      <c r="R194" s="9" t="s">
        <v>42</v>
      </c>
      <c r="S194" s="9">
        <f>COUNTIF(D194,"*_SEG_*")</f>
        <v>0</v>
      </c>
      <c r="T194" s="9">
        <f>COUNTIF(D194,"*_MAN_*")</f>
        <v>1</v>
      </c>
      <c r="U194" s="9">
        <f>(RIGHT(D194,4))*1</f>
        <v>90</v>
      </c>
      <c r="V194" s="9" t="str">
        <f>IFERROR(VLOOKUP(I194,#REF!,2,0),"Sinalização")</f>
        <v>Sinalização</v>
      </c>
    </row>
    <row r="195" spans="1:22" x14ac:dyDescent="0.25">
      <c r="A195" s="3" t="s">
        <v>22</v>
      </c>
      <c r="B195" s="4">
        <v>23361702</v>
      </c>
      <c r="C195" s="5" t="s">
        <v>23</v>
      </c>
      <c r="D195" s="6" t="s">
        <v>635</v>
      </c>
      <c r="E195" s="6" t="s">
        <v>25</v>
      </c>
      <c r="F195" s="11">
        <v>46169</v>
      </c>
      <c r="G195" s="6" t="s">
        <v>1079</v>
      </c>
      <c r="H195" s="7"/>
      <c r="I195" s="7" t="s">
        <v>479</v>
      </c>
      <c r="J195" s="7" t="s">
        <v>636</v>
      </c>
      <c r="K195" s="7" t="s">
        <v>29</v>
      </c>
      <c r="L195" s="3" t="str">
        <f>E195&amp;D195</f>
        <v>E.SP.IPAEE_INS_SEG_S_I_MCH 110V GRS 55BR R_0090</v>
      </c>
      <c r="M195" s="3" t="str">
        <f>IFERROR(MID(D195,SEARCH("S_I_",D195,1),3),"")</f>
        <v>S_I</v>
      </c>
      <c r="N195" s="3" t="str">
        <f>IFERROR(MID(D195,SEARCH("C_I_",D195,1),3),"")</f>
        <v/>
      </c>
      <c r="O195" s="3" t="str">
        <f>IF(AND(M195="",N195=""),"Extra","")</f>
        <v/>
      </c>
      <c r="P195" s="3" t="str">
        <f>IF(Q195=0,"TERCEIRO","MRS")</f>
        <v>MRS</v>
      </c>
      <c r="Q195" s="8" t="str">
        <f>IFERROR(VLOOKUP(L195,#REF!,4,0),"0,00")</f>
        <v>0,00</v>
      </c>
      <c r="R195" s="9" t="s">
        <v>30</v>
      </c>
      <c r="S195" s="9">
        <f>COUNTIF(D195,"*_SEG_*")</f>
        <v>1</v>
      </c>
      <c r="T195" s="9">
        <f>COUNTIF(D195,"*_MAN_*")</f>
        <v>0</v>
      </c>
      <c r="U195" s="9">
        <f>(RIGHT(D195,4))*1</f>
        <v>90</v>
      </c>
      <c r="V195" s="9" t="str">
        <f>IFERROR(VLOOKUP(I195,#REF!,2,0),"Sinalização")</f>
        <v>Sinalização</v>
      </c>
    </row>
    <row r="196" spans="1:22" x14ac:dyDescent="0.25">
      <c r="A196" s="3" t="s">
        <v>22</v>
      </c>
      <c r="B196" s="4">
        <v>23361703</v>
      </c>
      <c r="C196" s="5" t="s">
        <v>23</v>
      </c>
      <c r="D196" s="6" t="s">
        <v>635</v>
      </c>
      <c r="E196" s="6" t="s">
        <v>25</v>
      </c>
      <c r="F196" s="11">
        <v>46169</v>
      </c>
      <c r="G196" s="6" t="s">
        <v>1079</v>
      </c>
      <c r="H196" s="7"/>
      <c r="I196" s="7" t="s">
        <v>480</v>
      </c>
      <c r="J196" s="7" t="s">
        <v>636</v>
      </c>
      <c r="K196" s="7" t="s">
        <v>29</v>
      </c>
      <c r="L196" s="3" t="str">
        <f>E196&amp;D196</f>
        <v>E.SP.IPAEE_INS_SEG_S_I_MCH 110V GRS 55BR R_0090</v>
      </c>
      <c r="M196" s="3" t="str">
        <f>IFERROR(MID(D196,SEARCH("S_I_",D196,1),3),"")</f>
        <v>S_I</v>
      </c>
      <c r="N196" s="3" t="str">
        <f>IFERROR(MID(D196,SEARCH("C_I_",D196,1),3),"")</f>
        <v/>
      </c>
      <c r="O196" s="3" t="str">
        <f>IF(AND(M196="",N196=""),"Extra","")</f>
        <v/>
      </c>
      <c r="P196" s="3" t="str">
        <f>IF(Q196=0,"TERCEIRO","MRS")</f>
        <v>MRS</v>
      </c>
      <c r="Q196" s="8" t="str">
        <f>IFERROR(VLOOKUP(L196,#REF!,4,0),"0,00")</f>
        <v>0,00</v>
      </c>
      <c r="R196" s="9" t="s">
        <v>30</v>
      </c>
      <c r="S196" s="9">
        <f>COUNTIF(D196,"*_SEG_*")</f>
        <v>1</v>
      </c>
      <c r="T196" s="9">
        <f>COUNTIF(D196,"*_MAN_*")</f>
        <v>0</v>
      </c>
      <c r="U196" s="9">
        <f>(RIGHT(D196,4))*1</f>
        <v>90</v>
      </c>
      <c r="V196" s="9" t="str">
        <f>IFERROR(VLOOKUP(I196,#REF!,2,0),"Sinalização")</f>
        <v>Sinalização</v>
      </c>
    </row>
    <row r="197" spans="1:22" x14ac:dyDescent="0.25">
      <c r="A197" s="3" t="s">
        <v>22</v>
      </c>
      <c r="B197" s="4">
        <v>23361704</v>
      </c>
      <c r="C197" s="5" t="s">
        <v>23</v>
      </c>
      <c r="D197" s="6" t="s">
        <v>635</v>
      </c>
      <c r="E197" s="6" t="s">
        <v>25</v>
      </c>
      <c r="F197" s="11">
        <v>46169</v>
      </c>
      <c r="G197" s="6" t="s">
        <v>1079</v>
      </c>
      <c r="H197" s="7"/>
      <c r="I197" s="7" t="s">
        <v>481</v>
      </c>
      <c r="J197" s="7" t="s">
        <v>636</v>
      </c>
      <c r="K197" s="7" t="s">
        <v>29</v>
      </c>
      <c r="L197" s="3" t="str">
        <f>E197&amp;D197</f>
        <v>E.SP.IPAEE_INS_SEG_S_I_MCH 110V GRS 55BR R_0090</v>
      </c>
      <c r="M197" s="3" t="str">
        <f>IFERROR(MID(D197,SEARCH("S_I_",D197,1),3),"")</f>
        <v>S_I</v>
      </c>
      <c r="N197" s="3" t="str">
        <f>IFERROR(MID(D197,SEARCH("C_I_",D197,1),3),"")</f>
        <v/>
      </c>
      <c r="O197" s="3" t="str">
        <f>IF(AND(M197="",N197=""),"Extra","")</f>
        <v/>
      </c>
      <c r="P197" s="3" t="str">
        <f>IF(Q197=0,"TERCEIRO","MRS")</f>
        <v>MRS</v>
      </c>
      <c r="Q197" s="8" t="str">
        <f>IFERROR(VLOOKUP(L197,#REF!,4,0),"0,00")</f>
        <v>0,00</v>
      </c>
      <c r="R197" s="9" t="s">
        <v>30</v>
      </c>
      <c r="S197" s="9">
        <f>COUNTIF(D197,"*_SEG_*")</f>
        <v>1</v>
      </c>
      <c r="T197" s="9">
        <f>COUNTIF(D197,"*_MAN_*")</f>
        <v>0</v>
      </c>
      <c r="U197" s="9">
        <f>(RIGHT(D197,4))*1</f>
        <v>90</v>
      </c>
      <c r="V197" s="9" t="str">
        <f>IFERROR(VLOOKUP(I197,#REF!,2,0),"Sinalização")</f>
        <v>Sinalização</v>
      </c>
    </row>
    <row r="198" spans="1:22" x14ac:dyDescent="0.25">
      <c r="A198" s="3" t="s">
        <v>22</v>
      </c>
      <c r="B198" s="4">
        <v>23361705</v>
      </c>
      <c r="C198" s="5" t="s">
        <v>23</v>
      </c>
      <c r="D198" s="6" t="s">
        <v>635</v>
      </c>
      <c r="E198" s="6" t="s">
        <v>25</v>
      </c>
      <c r="F198" s="11">
        <v>46169</v>
      </c>
      <c r="G198" s="6" t="s">
        <v>1079</v>
      </c>
      <c r="H198" s="7"/>
      <c r="I198" s="7" t="s">
        <v>482</v>
      </c>
      <c r="J198" s="7" t="s">
        <v>636</v>
      </c>
      <c r="K198" s="7" t="s">
        <v>29</v>
      </c>
      <c r="L198" s="3" t="str">
        <f>E198&amp;D198</f>
        <v>E.SP.IPAEE_INS_SEG_S_I_MCH 110V GRS 55BR R_0090</v>
      </c>
      <c r="M198" s="3" t="str">
        <f>IFERROR(MID(D198,SEARCH("S_I_",D198,1),3),"")</f>
        <v>S_I</v>
      </c>
      <c r="N198" s="3" t="str">
        <f>IFERROR(MID(D198,SEARCH("C_I_",D198,1),3),"")</f>
        <v/>
      </c>
      <c r="O198" s="3" t="str">
        <f>IF(AND(M198="",N198=""),"Extra","")</f>
        <v/>
      </c>
      <c r="P198" s="3" t="str">
        <f>IF(Q198=0,"TERCEIRO","MRS")</f>
        <v>MRS</v>
      </c>
      <c r="Q198" s="8" t="str">
        <f>IFERROR(VLOOKUP(L198,#REF!,4,0),"0,00")</f>
        <v>0,00</v>
      </c>
      <c r="R198" s="9" t="s">
        <v>30</v>
      </c>
      <c r="S198" s="9">
        <f>COUNTIF(D198,"*_SEG_*")</f>
        <v>1</v>
      </c>
      <c r="T198" s="9">
        <f>COUNTIF(D198,"*_MAN_*")</f>
        <v>0</v>
      </c>
      <c r="U198" s="9">
        <f>(RIGHT(D198,4))*1</f>
        <v>90</v>
      </c>
      <c r="V198" s="9" t="str">
        <f>IFERROR(VLOOKUP(I198,#REF!,2,0),"Sinalização")</f>
        <v>Sinalização</v>
      </c>
    </row>
    <row r="199" spans="1:22" x14ac:dyDescent="0.25">
      <c r="A199" s="3" t="s">
        <v>22</v>
      </c>
      <c r="B199" s="4">
        <v>23361707</v>
      </c>
      <c r="C199" s="5" t="s">
        <v>23</v>
      </c>
      <c r="D199" s="6" t="s">
        <v>635</v>
      </c>
      <c r="E199" s="6" t="s">
        <v>25</v>
      </c>
      <c r="F199" s="11">
        <v>46169</v>
      </c>
      <c r="G199" s="6" t="s">
        <v>1079</v>
      </c>
      <c r="H199" s="7"/>
      <c r="I199" s="7" t="s">
        <v>483</v>
      </c>
      <c r="J199" s="7" t="s">
        <v>636</v>
      </c>
      <c r="K199" s="7" t="s">
        <v>29</v>
      </c>
      <c r="L199" s="3" t="str">
        <f>E199&amp;D199</f>
        <v>E.SP.IPAEE_INS_SEG_S_I_MCH 110V GRS 55BR R_0090</v>
      </c>
      <c r="M199" s="3" t="str">
        <f>IFERROR(MID(D199,SEARCH("S_I_",D199,1),3),"")</f>
        <v>S_I</v>
      </c>
      <c r="N199" s="3" t="str">
        <f>IFERROR(MID(D199,SEARCH("C_I_",D199,1),3),"")</f>
        <v/>
      </c>
      <c r="O199" s="3" t="str">
        <f>IF(AND(M199="",N199=""),"Extra","")</f>
        <v/>
      </c>
      <c r="P199" s="3" t="str">
        <f>IF(Q199=0,"TERCEIRO","MRS")</f>
        <v>MRS</v>
      </c>
      <c r="Q199" s="8" t="str">
        <f>IFERROR(VLOOKUP(L199,#REF!,4,0),"0,00")</f>
        <v>0,00</v>
      </c>
      <c r="R199" s="9" t="s">
        <v>30</v>
      </c>
      <c r="S199" s="9">
        <f>COUNTIF(D199,"*_SEG_*")</f>
        <v>1</v>
      </c>
      <c r="T199" s="9">
        <f>COUNTIF(D199,"*_MAN_*")</f>
        <v>0</v>
      </c>
      <c r="U199" s="9">
        <f>(RIGHT(D199,4))*1</f>
        <v>90</v>
      </c>
      <c r="V199" s="9" t="str">
        <f>IFERROR(VLOOKUP(I199,#REF!,2,0),"Sinalização")</f>
        <v>Sinalização</v>
      </c>
    </row>
    <row r="200" spans="1:22" x14ac:dyDescent="0.25">
      <c r="A200" s="3" t="s">
        <v>22</v>
      </c>
      <c r="B200" s="4">
        <v>23362029</v>
      </c>
      <c r="C200" s="5" t="s">
        <v>23</v>
      </c>
      <c r="D200" s="6" t="s">
        <v>715</v>
      </c>
      <c r="E200" s="6" t="s">
        <v>25</v>
      </c>
      <c r="F200" s="11">
        <v>46169</v>
      </c>
      <c r="G200" s="6" t="s">
        <v>1079</v>
      </c>
      <c r="H200" s="7"/>
      <c r="I200" s="7" t="s">
        <v>372</v>
      </c>
      <c r="J200" s="7" t="s">
        <v>525</v>
      </c>
      <c r="K200" s="7" t="s">
        <v>29</v>
      </c>
      <c r="L200" s="3" t="str">
        <f>E200&amp;D200</f>
        <v>E.SP.IPAEE_MAN_CONF_S_I_SINAL L MULTI AUT_0090</v>
      </c>
      <c r="M200" s="3" t="str">
        <f>IFERROR(MID(D200,SEARCH("S_I_",D200,1),3),"")</f>
        <v>S_I</v>
      </c>
      <c r="N200" s="3" t="str">
        <f>IFERROR(MID(D200,SEARCH("C_I_",D200,1),3),"")</f>
        <v/>
      </c>
      <c r="O200" s="3" t="str">
        <f>IF(AND(M200="",N200=""),"Extra","")</f>
        <v/>
      </c>
      <c r="P200" s="3" t="str">
        <f>IF(Q200=0,"TERCEIRO","MRS")</f>
        <v>MRS</v>
      </c>
      <c r="Q200" s="8" t="str">
        <f>IFERROR(VLOOKUP(L200,#REF!,4,0),"0,00")</f>
        <v>0,00</v>
      </c>
      <c r="R200" s="9" t="s">
        <v>57</v>
      </c>
      <c r="S200" s="9">
        <f>COUNTIF(D200,"*_SEG_*")</f>
        <v>0</v>
      </c>
      <c r="T200" s="9">
        <f>COUNTIF(D200,"*_MAN_*")</f>
        <v>1</v>
      </c>
      <c r="U200" s="9">
        <f>(RIGHT(D200,4))*1</f>
        <v>90</v>
      </c>
      <c r="V200" s="9" t="str">
        <f>IFERROR(VLOOKUP(I200,#REF!,2,0),"Sinalização")</f>
        <v>Sinalização</v>
      </c>
    </row>
    <row r="201" spans="1:22" x14ac:dyDescent="0.25">
      <c r="A201" s="3" t="s">
        <v>22</v>
      </c>
      <c r="B201" s="4">
        <v>23362292</v>
      </c>
      <c r="C201" s="5" t="s">
        <v>23</v>
      </c>
      <c r="D201" s="6" t="s">
        <v>650</v>
      </c>
      <c r="E201" s="6" t="s">
        <v>25</v>
      </c>
      <c r="F201" s="11">
        <v>46169</v>
      </c>
      <c r="G201" s="6" t="s">
        <v>1079</v>
      </c>
      <c r="H201" s="7"/>
      <c r="I201" s="7" t="s">
        <v>549</v>
      </c>
      <c r="J201" s="7" t="s">
        <v>651</v>
      </c>
      <c r="K201" s="7" t="s">
        <v>29</v>
      </c>
      <c r="L201" s="3" t="str">
        <f>E201&amp;D201</f>
        <v>E.SP.IPAEE_INS_CONF_S_I_TRAFO LOCAL_0090</v>
      </c>
      <c r="M201" s="3" t="str">
        <f>IFERROR(MID(D201,SEARCH("S_I_",D201,1),3),"")</f>
        <v>S_I</v>
      </c>
      <c r="N201" s="3" t="str">
        <f>IFERROR(MID(D201,SEARCH("C_I_",D201,1),3),"")</f>
        <v/>
      </c>
      <c r="O201" s="3" t="str">
        <f>IF(AND(M201="",N201=""),"Extra","")</f>
        <v/>
      </c>
      <c r="P201" s="3" t="str">
        <f>IF(Q201=0,"TERCEIRO","MRS")</f>
        <v>MRS</v>
      </c>
      <c r="Q201" s="8" t="str">
        <f>IFERROR(VLOOKUP(L201,#REF!,4,0),"0,00")</f>
        <v>0,00</v>
      </c>
      <c r="R201" s="9" t="s">
        <v>42</v>
      </c>
      <c r="S201" s="9">
        <f>COUNTIF(D201,"*_SEG_*")</f>
        <v>0</v>
      </c>
      <c r="T201" s="9">
        <f>COUNTIF(D201,"*_MAN_*")</f>
        <v>0</v>
      </c>
      <c r="U201" s="9">
        <f>(RIGHT(D201,4))*1</f>
        <v>90</v>
      </c>
      <c r="V201" s="9" t="str">
        <f>IFERROR(VLOOKUP(I201,#REF!,2,0),"Sinalização")</f>
        <v>Sinalização</v>
      </c>
    </row>
    <row r="202" spans="1:22" x14ac:dyDescent="0.25">
      <c r="A202" s="3" t="s">
        <v>22</v>
      </c>
      <c r="B202" s="4">
        <v>23362293</v>
      </c>
      <c r="C202" s="5" t="s">
        <v>23</v>
      </c>
      <c r="D202" s="6" t="s">
        <v>650</v>
      </c>
      <c r="E202" s="6" t="s">
        <v>25</v>
      </c>
      <c r="F202" s="11">
        <v>46169</v>
      </c>
      <c r="G202" s="6" t="s">
        <v>1079</v>
      </c>
      <c r="H202" s="7"/>
      <c r="I202" s="7" t="s">
        <v>747</v>
      </c>
      <c r="J202" s="7" t="s">
        <v>651</v>
      </c>
      <c r="K202" s="7" t="s">
        <v>29</v>
      </c>
      <c r="L202" s="3" t="str">
        <f>E202&amp;D202</f>
        <v>E.SP.IPAEE_INS_CONF_S_I_TRAFO LOCAL_0090</v>
      </c>
      <c r="M202" s="3" t="str">
        <f>IFERROR(MID(D202,SEARCH("S_I_",D202,1),3),"")</f>
        <v>S_I</v>
      </c>
      <c r="N202" s="3" t="str">
        <f>IFERROR(MID(D202,SEARCH("C_I_",D202,1),3),"")</f>
        <v/>
      </c>
      <c r="O202" s="3" t="str">
        <f>IF(AND(M202="",N202=""),"Extra","")</f>
        <v/>
      </c>
      <c r="P202" s="3" t="str">
        <f>IF(Q202=0,"TERCEIRO","MRS")</f>
        <v>MRS</v>
      </c>
      <c r="Q202" s="8" t="str">
        <f>IFERROR(VLOOKUP(L202,#REF!,4,0),"0,00")</f>
        <v>0,00</v>
      </c>
      <c r="R202" s="9" t="s">
        <v>42</v>
      </c>
      <c r="S202" s="9">
        <f>COUNTIF(D202,"*_SEG_*")</f>
        <v>0</v>
      </c>
      <c r="T202" s="9">
        <f>COUNTIF(D202,"*_MAN_*")</f>
        <v>0</v>
      </c>
      <c r="U202" s="9">
        <f>(RIGHT(D202,4))*1</f>
        <v>90</v>
      </c>
      <c r="V202" s="9" t="str">
        <f>IFERROR(VLOOKUP(I202,#REF!,2,0),"Sinalização")</f>
        <v>Sinalização</v>
      </c>
    </row>
    <row r="203" spans="1:22" x14ac:dyDescent="0.25">
      <c r="A203" s="3" t="s">
        <v>22</v>
      </c>
      <c r="B203" s="4">
        <v>23362294</v>
      </c>
      <c r="C203" s="5" t="s">
        <v>23</v>
      </c>
      <c r="D203" s="6" t="s">
        <v>650</v>
      </c>
      <c r="E203" s="6" t="s">
        <v>25</v>
      </c>
      <c r="F203" s="11">
        <v>46169</v>
      </c>
      <c r="G203" s="6" t="s">
        <v>1079</v>
      </c>
      <c r="H203" s="7"/>
      <c r="I203" s="7" t="s">
        <v>550</v>
      </c>
      <c r="J203" s="7" t="s">
        <v>651</v>
      </c>
      <c r="K203" s="7" t="s">
        <v>29</v>
      </c>
      <c r="L203" s="3" t="str">
        <f>E203&amp;D203</f>
        <v>E.SP.IPAEE_INS_CONF_S_I_TRAFO LOCAL_0090</v>
      </c>
      <c r="M203" s="3" t="str">
        <f>IFERROR(MID(D203,SEARCH("S_I_",D203,1),3),"")</f>
        <v>S_I</v>
      </c>
      <c r="N203" s="3" t="str">
        <f>IFERROR(MID(D203,SEARCH("C_I_",D203,1),3),"")</f>
        <v/>
      </c>
      <c r="O203" s="3" t="str">
        <f>IF(AND(M203="",N203=""),"Extra","")</f>
        <v/>
      </c>
      <c r="P203" s="3" t="str">
        <f>IF(Q203=0,"TERCEIRO","MRS")</f>
        <v>MRS</v>
      </c>
      <c r="Q203" s="8" t="str">
        <f>IFERROR(VLOOKUP(L203,#REF!,4,0),"0,00")</f>
        <v>0,00</v>
      </c>
      <c r="R203" s="9" t="s">
        <v>42</v>
      </c>
      <c r="S203" s="9">
        <f>COUNTIF(D203,"*_SEG_*")</f>
        <v>0</v>
      </c>
      <c r="T203" s="9">
        <f>COUNTIF(D203,"*_MAN_*")</f>
        <v>0</v>
      </c>
      <c r="U203" s="9">
        <f>(RIGHT(D203,4))*1</f>
        <v>90</v>
      </c>
      <c r="V203" s="9" t="str">
        <f>IFERROR(VLOOKUP(I203,#REF!,2,0),"Sinalização")</f>
        <v>Sinalização</v>
      </c>
    </row>
    <row r="204" spans="1:22" x14ac:dyDescent="0.25">
      <c r="A204" s="3" t="s">
        <v>22</v>
      </c>
      <c r="B204" s="4">
        <v>23362295</v>
      </c>
      <c r="C204" s="5" t="s">
        <v>23</v>
      </c>
      <c r="D204" s="6" t="s">
        <v>650</v>
      </c>
      <c r="E204" s="6" t="s">
        <v>25</v>
      </c>
      <c r="F204" s="11">
        <v>46169</v>
      </c>
      <c r="G204" s="6" t="s">
        <v>1079</v>
      </c>
      <c r="H204" s="7"/>
      <c r="I204" s="7" t="s">
        <v>551</v>
      </c>
      <c r="J204" s="7" t="s">
        <v>651</v>
      </c>
      <c r="K204" s="7" t="s">
        <v>29</v>
      </c>
      <c r="L204" s="3" t="str">
        <f>E204&amp;D204</f>
        <v>E.SP.IPAEE_INS_CONF_S_I_TRAFO LOCAL_0090</v>
      </c>
      <c r="M204" s="3" t="str">
        <f>IFERROR(MID(D204,SEARCH("S_I_",D204,1),3),"")</f>
        <v>S_I</v>
      </c>
      <c r="N204" s="3" t="str">
        <f>IFERROR(MID(D204,SEARCH("C_I_",D204,1),3),"")</f>
        <v/>
      </c>
      <c r="O204" s="3" t="str">
        <f>IF(AND(M204="",N204=""),"Extra","")</f>
        <v/>
      </c>
      <c r="P204" s="3" t="str">
        <f>IF(Q204=0,"TERCEIRO","MRS")</f>
        <v>MRS</v>
      </c>
      <c r="Q204" s="8" t="str">
        <f>IFERROR(VLOOKUP(L204,#REF!,4,0),"0,00")</f>
        <v>0,00</v>
      </c>
      <c r="R204" s="9" t="s">
        <v>42</v>
      </c>
      <c r="S204" s="9">
        <f>COUNTIF(D204,"*_SEG_*")</f>
        <v>0</v>
      </c>
      <c r="T204" s="9">
        <f>COUNTIF(D204,"*_MAN_*")</f>
        <v>0</v>
      </c>
      <c r="U204" s="9">
        <f>(RIGHT(D204,4))*1</f>
        <v>90</v>
      </c>
      <c r="V204" s="9" t="str">
        <f>IFERROR(VLOOKUP(I204,#REF!,2,0),"Sinalização")</f>
        <v>Sinalização</v>
      </c>
    </row>
    <row r="205" spans="1:22" x14ac:dyDescent="0.25">
      <c r="A205" s="3" t="s">
        <v>22</v>
      </c>
      <c r="B205" s="4">
        <v>23362296</v>
      </c>
      <c r="C205" s="5" t="s">
        <v>23</v>
      </c>
      <c r="D205" s="6" t="s">
        <v>650</v>
      </c>
      <c r="E205" s="6" t="s">
        <v>25</v>
      </c>
      <c r="F205" s="11">
        <v>46169</v>
      </c>
      <c r="G205" s="6" t="s">
        <v>1079</v>
      </c>
      <c r="H205" s="7"/>
      <c r="I205" s="7" t="s">
        <v>552</v>
      </c>
      <c r="J205" s="7" t="s">
        <v>651</v>
      </c>
      <c r="K205" s="7" t="s">
        <v>29</v>
      </c>
      <c r="L205" s="3" t="str">
        <f>E205&amp;D205</f>
        <v>E.SP.IPAEE_INS_CONF_S_I_TRAFO LOCAL_0090</v>
      </c>
      <c r="M205" s="3" t="str">
        <f>IFERROR(MID(D205,SEARCH("S_I_",D205,1),3),"")</f>
        <v>S_I</v>
      </c>
      <c r="N205" s="3" t="str">
        <f>IFERROR(MID(D205,SEARCH("C_I_",D205,1),3),"")</f>
        <v/>
      </c>
      <c r="O205" s="3" t="str">
        <f>IF(AND(M205="",N205=""),"Extra","")</f>
        <v/>
      </c>
      <c r="P205" s="3" t="str">
        <f>IF(Q205=0,"TERCEIRO","MRS")</f>
        <v>MRS</v>
      </c>
      <c r="Q205" s="8" t="str">
        <f>IFERROR(VLOOKUP(L205,#REF!,4,0),"0,00")</f>
        <v>0,00</v>
      </c>
      <c r="R205" s="9" t="s">
        <v>42</v>
      </c>
      <c r="S205" s="9">
        <f>COUNTIF(D205,"*_SEG_*")</f>
        <v>0</v>
      </c>
      <c r="T205" s="9">
        <f>COUNTIF(D205,"*_MAN_*")</f>
        <v>0</v>
      </c>
      <c r="U205" s="9">
        <f>(RIGHT(D205,4))*1</f>
        <v>90</v>
      </c>
      <c r="V205" s="9" t="str">
        <f>IFERROR(VLOOKUP(I205,#REF!,2,0),"Sinalização")</f>
        <v>Sinalização</v>
      </c>
    </row>
    <row r="206" spans="1:22" x14ac:dyDescent="0.25">
      <c r="A206" s="3" t="s">
        <v>22</v>
      </c>
      <c r="B206" s="4">
        <v>23362297</v>
      </c>
      <c r="C206" s="5" t="s">
        <v>23</v>
      </c>
      <c r="D206" s="6" t="s">
        <v>650</v>
      </c>
      <c r="E206" s="6" t="s">
        <v>25</v>
      </c>
      <c r="F206" s="11">
        <v>46169</v>
      </c>
      <c r="G206" s="6" t="s">
        <v>1079</v>
      </c>
      <c r="H206" s="7"/>
      <c r="I206" s="7" t="s">
        <v>748</v>
      </c>
      <c r="J206" s="7" t="s">
        <v>651</v>
      </c>
      <c r="K206" s="7" t="s">
        <v>29</v>
      </c>
      <c r="L206" s="3" t="str">
        <f>E206&amp;D206</f>
        <v>E.SP.IPAEE_INS_CONF_S_I_TRAFO LOCAL_0090</v>
      </c>
      <c r="M206" s="3" t="str">
        <f>IFERROR(MID(D206,SEARCH("S_I_",D206,1),3),"")</f>
        <v>S_I</v>
      </c>
      <c r="N206" s="3" t="str">
        <f>IFERROR(MID(D206,SEARCH("C_I_",D206,1),3),"")</f>
        <v/>
      </c>
      <c r="O206" s="3" t="str">
        <f>IF(AND(M206="",N206=""),"Extra","")</f>
        <v/>
      </c>
      <c r="P206" s="3" t="str">
        <f>IF(Q206=0,"TERCEIRO","MRS")</f>
        <v>MRS</v>
      </c>
      <c r="Q206" s="8" t="str">
        <f>IFERROR(VLOOKUP(L206,#REF!,4,0),"0,00")</f>
        <v>0,00</v>
      </c>
      <c r="R206" s="9" t="s">
        <v>42</v>
      </c>
      <c r="S206" s="9">
        <f>COUNTIF(D206,"*_SEG_*")</f>
        <v>0</v>
      </c>
      <c r="T206" s="9">
        <f>COUNTIF(D206,"*_MAN_*")</f>
        <v>0</v>
      </c>
      <c r="U206" s="9">
        <f>(RIGHT(D206,4))*1</f>
        <v>90</v>
      </c>
      <c r="V206" s="9" t="str">
        <f>IFERROR(VLOOKUP(I206,#REF!,2,0),"Sinalização")</f>
        <v>Sinalização</v>
      </c>
    </row>
    <row r="207" spans="1:22" x14ac:dyDescent="0.25">
      <c r="A207" s="3" t="s">
        <v>22</v>
      </c>
      <c r="B207" s="4">
        <v>23362298</v>
      </c>
      <c r="C207" s="5" t="s">
        <v>23</v>
      </c>
      <c r="D207" s="6" t="s">
        <v>650</v>
      </c>
      <c r="E207" s="6" t="s">
        <v>25</v>
      </c>
      <c r="F207" s="11">
        <v>46169</v>
      </c>
      <c r="G207" s="6" t="s">
        <v>1079</v>
      </c>
      <c r="H207" s="7"/>
      <c r="I207" s="7" t="s">
        <v>749</v>
      </c>
      <c r="J207" s="7" t="s">
        <v>651</v>
      </c>
      <c r="K207" s="7" t="s">
        <v>29</v>
      </c>
      <c r="L207" s="3" t="str">
        <f>E207&amp;D207</f>
        <v>E.SP.IPAEE_INS_CONF_S_I_TRAFO LOCAL_0090</v>
      </c>
      <c r="M207" s="3" t="str">
        <f>IFERROR(MID(D207,SEARCH("S_I_",D207,1),3),"")</f>
        <v>S_I</v>
      </c>
      <c r="N207" s="3" t="str">
        <f>IFERROR(MID(D207,SEARCH("C_I_",D207,1),3),"")</f>
        <v/>
      </c>
      <c r="O207" s="3" t="str">
        <f>IF(AND(M207="",N207=""),"Extra","")</f>
        <v/>
      </c>
      <c r="P207" s="3" t="str">
        <f>IF(Q207=0,"TERCEIRO","MRS")</f>
        <v>MRS</v>
      </c>
      <c r="Q207" s="8" t="str">
        <f>IFERROR(VLOOKUP(L207,#REF!,4,0),"0,00")</f>
        <v>0,00</v>
      </c>
      <c r="R207" s="9" t="s">
        <v>42</v>
      </c>
      <c r="S207" s="9">
        <f>COUNTIF(D207,"*_SEG_*")</f>
        <v>0</v>
      </c>
      <c r="T207" s="9">
        <f>COUNTIF(D207,"*_MAN_*")</f>
        <v>0</v>
      </c>
      <c r="U207" s="9">
        <f>(RIGHT(D207,4))*1</f>
        <v>90</v>
      </c>
      <c r="V207" s="9" t="str">
        <f>IFERROR(VLOOKUP(I207,#REF!,2,0),"Sinalização")</f>
        <v>Sinalização</v>
      </c>
    </row>
    <row r="208" spans="1:22" x14ac:dyDescent="0.25">
      <c r="A208" s="3" t="s">
        <v>22</v>
      </c>
      <c r="B208" s="4">
        <v>23362299</v>
      </c>
      <c r="C208" s="5" t="s">
        <v>23</v>
      </c>
      <c r="D208" s="6" t="s">
        <v>650</v>
      </c>
      <c r="E208" s="6" t="s">
        <v>25</v>
      </c>
      <c r="F208" s="11">
        <v>46169</v>
      </c>
      <c r="G208" s="6" t="s">
        <v>1079</v>
      </c>
      <c r="H208" s="7"/>
      <c r="I208" s="7" t="s">
        <v>750</v>
      </c>
      <c r="J208" s="7" t="s">
        <v>651</v>
      </c>
      <c r="K208" s="7" t="s">
        <v>29</v>
      </c>
      <c r="L208" s="3" t="str">
        <f>E208&amp;D208</f>
        <v>E.SP.IPAEE_INS_CONF_S_I_TRAFO LOCAL_0090</v>
      </c>
      <c r="M208" s="3" t="str">
        <f>IFERROR(MID(D208,SEARCH("S_I_",D208,1),3),"")</f>
        <v>S_I</v>
      </c>
      <c r="N208" s="3" t="str">
        <f>IFERROR(MID(D208,SEARCH("C_I_",D208,1),3),"")</f>
        <v/>
      </c>
      <c r="O208" s="3" t="str">
        <f>IF(AND(M208="",N208=""),"Extra","")</f>
        <v/>
      </c>
      <c r="P208" s="3" t="str">
        <f>IF(Q208=0,"TERCEIRO","MRS")</f>
        <v>MRS</v>
      </c>
      <c r="Q208" s="8" t="str">
        <f>IFERROR(VLOOKUP(L208,#REF!,4,0),"0,00")</f>
        <v>0,00</v>
      </c>
      <c r="R208" s="9" t="s">
        <v>42</v>
      </c>
      <c r="S208" s="9">
        <f>COUNTIF(D208,"*_SEG_*")</f>
        <v>0</v>
      </c>
      <c r="T208" s="9">
        <f>COUNTIF(D208,"*_MAN_*")</f>
        <v>0</v>
      </c>
      <c r="U208" s="9">
        <f>(RIGHT(D208,4))*1</f>
        <v>90</v>
      </c>
      <c r="V208" s="9" t="str">
        <f>IFERROR(VLOOKUP(I208,#REF!,2,0),"Sinalização")</f>
        <v>Sinalização</v>
      </c>
    </row>
    <row r="209" spans="1:22" x14ac:dyDescent="0.25">
      <c r="A209" s="3" t="s">
        <v>22</v>
      </c>
      <c r="B209" s="4">
        <v>23362300</v>
      </c>
      <c r="C209" s="5" t="s">
        <v>23</v>
      </c>
      <c r="D209" s="6" t="s">
        <v>650</v>
      </c>
      <c r="E209" s="6" t="s">
        <v>25</v>
      </c>
      <c r="F209" s="11">
        <v>46169</v>
      </c>
      <c r="G209" s="6" t="s">
        <v>1079</v>
      </c>
      <c r="H209" s="7"/>
      <c r="I209" s="7" t="s">
        <v>751</v>
      </c>
      <c r="J209" s="7" t="s">
        <v>651</v>
      </c>
      <c r="K209" s="7" t="s">
        <v>29</v>
      </c>
      <c r="L209" s="3" t="str">
        <f>E209&amp;D209</f>
        <v>E.SP.IPAEE_INS_CONF_S_I_TRAFO LOCAL_0090</v>
      </c>
      <c r="M209" s="3" t="str">
        <f>IFERROR(MID(D209,SEARCH("S_I_",D209,1),3),"")</f>
        <v>S_I</v>
      </c>
      <c r="N209" s="3" t="str">
        <f>IFERROR(MID(D209,SEARCH("C_I_",D209,1),3),"")</f>
        <v/>
      </c>
      <c r="O209" s="3" t="str">
        <f>IF(AND(M209="",N209=""),"Extra","")</f>
        <v/>
      </c>
      <c r="P209" s="3" t="str">
        <f>IF(Q209=0,"TERCEIRO","MRS")</f>
        <v>MRS</v>
      </c>
      <c r="Q209" s="8" t="str">
        <f>IFERROR(VLOOKUP(L209,#REF!,4,0),"0,00")</f>
        <v>0,00</v>
      </c>
      <c r="R209" s="9" t="s">
        <v>42</v>
      </c>
      <c r="S209" s="9">
        <f>COUNTIF(D209,"*_SEG_*")</f>
        <v>0</v>
      </c>
      <c r="T209" s="9">
        <f>COUNTIF(D209,"*_MAN_*")</f>
        <v>0</v>
      </c>
      <c r="U209" s="9">
        <f>(RIGHT(D209,4))*1</f>
        <v>90</v>
      </c>
      <c r="V209" s="9" t="str">
        <f>IFERROR(VLOOKUP(I209,#REF!,2,0),"Sinalização")</f>
        <v>Sinalização</v>
      </c>
    </row>
    <row r="210" spans="1:22" x14ac:dyDescent="0.25">
      <c r="A210" s="3" t="s">
        <v>22</v>
      </c>
      <c r="B210" s="4">
        <v>23362301</v>
      </c>
      <c r="C210" s="5" t="s">
        <v>23</v>
      </c>
      <c r="D210" s="6" t="s">
        <v>650</v>
      </c>
      <c r="E210" s="6" t="s">
        <v>25</v>
      </c>
      <c r="F210" s="11">
        <v>46169</v>
      </c>
      <c r="G210" s="6" t="s">
        <v>1079</v>
      </c>
      <c r="H210" s="7"/>
      <c r="I210" s="7" t="s">
        <v>771</v>
      </c>
      <c r="J210" s="7" t="s">
        <v>651</v>
      </c>
      <c r="K210" s="7" t="s">
        <v>29</v>
      </c>
      <c r="L210" s="3" t="str">
        <f>E210&amp;D210</f>
        <v>E.SP.IPAEE_INS_CONF_S_I_TRAFO LOCAL_0090</v>
      </c>
      <c r="M210" s="3" t="str">
        <f>IFERROR(MID(D210,SEARCH("S_I_",D210,1),3),"")</f>
        <v>S_I</v>
      </c>
      <c r="N210" s="3" t="str">
        <f>IFERROR(MID(D210,SEARCH("C_I_",D210,1),3),"")</f>
        <v/>
      </c>
      <c r="O210" s="3" t="str">
        <f>IF(AND(M210="",N210=""),"Extra","")</f>
        <v/>
      </c>
      <c r="P210" s="3" t="str">
        <f>IF(Q210=0,"TERCEIRO","MRS")</f>
        <v>MRS</v>
      </c>
      <c r="Q210" s="8" t="str">
        <f>IFERROR(VLOOKUP(L210,#REF!,4,0),"0,00")</f>
        <v>0,00</v>
      </c>
      <c r="R210" s="9" t="s">
        <v>42</v>
      </c>
      <c r="S210" s="9">
        <f>COUNTIF(D210,"*_SEG_*")</f>
        <v>0</v>
      </c>
      <c r="T210" s="9">
        <f>COUNTIF(D210,"*_MAN_*")</f>
        <v>0</v>
      </c>
      <c r="U210" s="9">
        <f>(RIGHT(D210,4))*1</f>
        <v>90</v>
      </c>
      <c r="V210" s="9" t="str">
        <f>IFERROR(VLOOKUP(I210,#REF!,2,0),"Sinalização")</f>
        <v>Sinalização</v>
      </c>
    </row>
    <row r="211" spans="1:22" x14ac:dyDescent="0.25">
      <c r="A211" s="3" t="s">
        <v>22</v>
      </c>
      <c r="B211" s="4">
        <v>23362302</v>
      </c>
      <c r="C211" s="5" t="s">
        <v>23</v>
      </c>
      <c r="D211" s="6" t="s">
        <v>650</v>
      </c>
      <c r="E211" s="6" t="s">
        <v>25</v>
      </c>
      <c r="F211" s="11">
        <v>46169</v>
      </c>
      <c r="G211" s="6" t="s">
        <v>1079</v>
      </c>
      <c r="H211" s="7"/>
      <c r="I211" s="7" t="s">
        <v>752</v>
      </c>
      <c r="J211" s="7" t="s">
        <v>651</v>
      </c>
      <c r="K211" s="7" t="s">
        <v>29</v>
      </c>
      <c r="L211" s="3" t="str">
        <f>E211&amp;D211</f>
        <v>E.SP.IPAEE_INS_CONF_S_I_TRAFO LOCAL_0090</v>
      </c>
      <c r="M211" s="3" t="str">
        <f>IFERROR(MID(D211,SEARCH("S_I_",D211,1),3),"")</f>
        <v>S_I</v>
      </c>
      <c r="N211" s="3" t="str">
        <f>IFERROR(MID(D211,SEARCH("C_I_",D211,1),3),"")</f>
        <v/>
      </c>
      <c r="O211" s="3" t="str">
        <f>IF(AND(M211="",N211=""),"Extra","")</f>
        <v/>
      </c>
      <c r="P211" s="3" t="str">
        <f>IF(Q211=0,"TERCEIRO","MRS")</f>
        <v>MRS</v>
      </c>
      <c r="Q211" s="8" t="str">
        <f>IFERROR(VLOOKUP(L211,#REF!,4,0),"0,00")</f>
        <v>0,00</v>
      </c>
      <c r="R211" s="9" t="s">
        <v>42</v>
      </c>
      <c r="S211" s="9">
        <f>COUNTIF(D211,"*_SEG_*")</f>
        <v>0</v>
      </c>
      <c r="T211" s="9">
        <f>COUNTIF(D211,"*_MAN_*")</f>
        <v>0</v>
      </c>
      <c r="U211" s="9">
        <f>(RIGHT(D211,4))*1</f>
        <v>90</v>
      </c>
      <c r="V211" s="9" t="str">
        <f>IFERROR(VLOOKUP(I211,#REF!,2,0),"Sinalização")</f>
        <v>Sinalização</v>
      </c>
    </row>
    <row r="212" spans="1:22" x14ac:dyDescent="0.25">
      <c r="A212" s="3" t="s">
        <v>22</v>
      </c>
      <c r="B212" s="4">
        <v>23362332</v>
      </c>
      <c r="C212" s="5" t="s">
        <v>23</v>
      </c>
      <c r="D212" s="6" t="s">
        <v>661</v>
      </c>
      <c r="E212" s="6" t="s">
        <v>25</v>
      </c>
      <c r="F212" s="11">
        <v>46169</v>
      </c>
      <c r="G212" s="6" t="s">
        <v>1079</v>
      </c>
      <c r="H212" s="7"/>
      <c r="I212" s="7" t="s">
        <v>364</v>
      </c>
      <c r="J212" s="7" t="s">
        <v>662</v>
      </c>
      <c r="K212" s="7" t="s">
        <v>29</v>
      </c>
      <c r="L212" s="3" t="str">
        <f>E212&amp;D212</f>
        <v>E.SP.IPAEE_INS_CONF_S_I_SINAL L UNIFO CONT_0090</v>
      </c>
      <c r="M212" s="3" t="str">
        <f>IFERROR(MID(D212,SEARCH("S_I_",D212,1),3),"")</f>
        <v>S_I</v>
      </c>
      <c r="N212" s="3" t="str">
        <f>IFERROR(MID(D212,SEARCH("C_I_",D212,1),3),"")</f>
        <v/>
      </c>
      <c r="O212" s="3" t="str">
        <f>IF(AND(M212="",N212=""),"Extra","")</f>
        <v/>
      </c>
      <c r="P212" s="3" t="str">
        <f>IF(Q212=0,"TERCEIRO","MRS")</f>
        <v>MRS</v>
      </c>
      <c r="Q212" s="8" t="str">
        <f>IFERROR(VLOOKUP(L212,#REF!,4,0),"0,00")</f>
        <v>0,00</v>
      </c>
      <c r="R212" s="9" t="s">
        <v>42</v>
      </c>
      <c r="S212" s="9">
        <f>COUNTIF(D212,"*_SEG_*")</f>
        <v>0</v>
      </c>
      <c r="T212" s="9">
        <f>COUNTIF(D212,"*_MAN_*")</f>
        <v>0</v>
      </c>
      <c r="U212" s="9">
        <f>(RIGHT(D212,4))*1</f>
        <v>90</v>
      </c>
      <c r="V212" s="9" t="str">
        <f>IFERROR(VLOOKUP(I212,#REF!,2,0),"Sinalização")</f>
        <v>Sinalização</v>
      </c>
    </row>
    <row r="213" spans="1:22" x14ac:dyDescent="0.25">
      <c r="A213" s="3" t="s">
        <v>22</v>
      </c>
      <c r="B213" s="4">
        <v>23362457</v>
      </c>
      <c r="C213" s="5" t="s">
        <v>23</v>
      </c>
      <c r="D213" s="6" t="s">
        <v>539</v>
      </c>
      <c r="E213" s="6" t="s">
        <v>25</v>
      </c>
      <c r="F213" s="11">
        <v>46169</v>
      </c>
      <c r="G213" s="6" t="s">
        <v>1079</v>
      </c>
      <c r="H213" s="7"/>
      <c r="I213" s="7" t="s">
        <v>771</v>
      </c>
      <c r="J213" s="7" t="s">
        <v>541</v>
      </c>
      <c r="K213" s="7" t="s">
        <v>29</v>
      </c>
      <c r="L213" s="3" t="str">
        <f>E213&amp;D213</f>
        <v>E.SP.IPAEE_INS_CONF_C_I_TRAFO LOCAL_0090</v>
      </c>
      <c r="M213" s="3" t="str">
        <f>IFERROR(MID(D213,SEARCH("S_I_",D213,1),3),"")</f>
        <v/>
      </c>
      <c r="N213" s="3" t="str">
        <f>IFERROR(MID(D213,SEARCH("C_I_",D213,1),3),"")</f>
        <v>C_I</v>
      </c>
      <c r="O213" s="3" t="str">
        <f>IF(AND(M213="",N213=""),"Extra","")</f>
        <v/>
      </c>
      <c r="P213" s="3" t="str">
        <f>IF(Q213=0,"TERCEIRO","MRS")</f>
        <v>MRS</v>
      </c>
      <c r="Q213" s="8" t="str">
        <f>IFERROR(VLOOKUP(L213,#REF!,4,0),"0,00")</f>
        <v>0,00</v>
      </c>
      <c r="R213" s="9" t="s">
        <v>42</v>
      </c>
      <c r="S213" s="9">
        <f>COUNTIF(D213,"*_SEG_*")</f>
        <v>0</v>
      </c>
      <c r="T213" s="9">
        <f>COUNTIF(D213,"*_MAN_*")</f>
        <v>0</v>
      </c>
      <c r="U213" s="9">
        <f>(RIGHT(D213,4))*1</f>
        <v>90</v>
      </c>
      <c r="V213" s="9" t="str">
        <f>IFERROR(VLOOKUP(I213,#REF!,2,0),"Sinalização")</f>
        <v>Sinalização</v>
      </c>
    </row>
    <row r="214" spans="1:22" x14ac:dyDescent="0.25">
      <c r="A214" s="3" t="s">
        <v>22</v>
      </c>
      <c r="B214" s="4">
        <v>23362481</v>
      </c>
      <c r="C214" s="5" t="s">
        <v>23</v>
      </c>
      <c r="D214" s="6" t="s">
        <v>535</v>
      </c>
      <c r="E214" s="6" t="s">
        <v>25</v>
      </c>
      <c r="F214" s="11">
        <v>46169</v>
      </c>
      <c r="G214" s="6" t="s">
        <v>1079</v>
      </c>
      <c r="H214" s="7"/>
      <c r="I214" s="7" t="s">
        <v>172</v>
      </c>
      <c r="J214" s="7" t="s">
        <v>536</v>
      </c>
      <c r="K214" s="7" t="s">
        <v>29</v>
      </c>
      <c r="L214" s="3" t="str">
        <f>E214&amp;D214</f>
        <v>E.SP.IPAEE_INS_CONF_S_I_DISJ AT SUBESTACAO_0090</v>
      </c>
      <c r="M214" s="3" t="str">
        <f>IFERROR(MID(D214,SEARCH("S_I_",D214,1),3),"")</f>
        <v>S_I</v>
      </c>
      <c r="N214" s="3" t="str">
        <f>IFERROR(MID(D214,SEARCH("C_I_",D214,1),3),"")</f>
        <v/>
      </c>
      <c r="O214" s="3" t="str">
        <f>IF(AND(M214="",N214=""),"Extra","")</f>
        <v/>
      </c>
      <c r="P214" s="3" t="str">
        <f>IF(Q214=0,"TERCEIRO","MRS")</f>
        <v>MRS</v>
      </c>
      <c r="Q214" s="8" t="str">
        <f>IFERROR(VLOOKUP(L214,#REF!,4,0),"0,00")</f>
        <v>0,00</v>
      </c>
      <c r="R214" s="9" t="s">
        <v>42</v>
      </c>
      <c r="S214" s="9">
        <f>COUNTIF(D214,"*_SEG_*")</f>
        <v>0</v>
      </c>
      <c r="T214" s="9">
        <f>COUNTIF(D214,"*_MAN_*")</f>
        <v>0</v>
      </c>
      <c r="U214" s="9">
        <f>(RIGHT(D214,4))*1</f>
        <v>90</v>
      </c>
      <c r="V214" s="9" t="str">
        <f>IFERROR(VLOOKUP(I214,#REF!,2,0),"Sinalização")</f>
        <v>Sinalização</v>
      </c>
    </row>
    <row r="215" spans="1:22" x14ac:dyDescent="0.25">
      <c r="A215" s="3" t="s">
        <v>22</v>
      </c>
      <c r="B215" s="4">
        <v>23362482</v>
      </c>
      <c r="C215" s="5" t="s">
        <v>23</v>
      </c>
      <c r="D215" s="6" t="s">
        <v>643</v>
      </c>
      <c r="E215" s="6" t="s">
        <v>25</v>
      </c>
      <c r="F215" s="11">
        <v>46169</v>
      </c>
      <c r="G215" s="6" t="s">
        <v>1079</v>
      </c>
      <c r="H215" s="7"/>
      <c r="I215" s="7" t="s">
        <v>172</v>
      </c>
      <c r="J215" s="7" t="s">
        <v>644</v>
      </c>
      <c r="K215" s="7" t="s">
        <v>29</v>
      </c>
      <c r="L215" s="3" t="str">
        <f>E215&amp;D215</f>
        <v>E.SP.IPAEE_MAN_CONF_S_I_DISJ AT SUBESTACAO_0090</v>
      </c>
      <c r="M215" s="3" t="str">
        <f>IFERROR(MID(D215,SEARCH("S_I_",D215,1),3),"")</f>
        <v>S_I</v>
      </c>
      <c r="N215" s="3" t="str">
        <f>IFERROR(MID(D215,SEARCH("C_I_",D215,1),3),"")</f>
        <v/>
      </c>
      <c r="O215" s="3" t="str">
        <f>IF(AND(M215="",N215=""),"Extra","")</f>
        <v/>
      </c>
      <c r="P215" s="3" t="str">
        <f>IF(Q215=0,"TERCEIRO","MRS")</f>
        <v>MRS</v>
      </c>
      <c r="Q215" s="8" t="str">
        <f>IFERROR(VLOOKUP(L215,#REF!,4,0),"0,00")</f>
        <v>0,00</v>
      </c>
      <c r="R215" s="9" t="s">
        <v>42</v>
      </c>
      <c r="S215" s="9">
        <f>COUNTIF(D215,"*_SEG_*")</f>
        <v>0</v>
      </c>
      <c r="T215" s="9">
        <f>COUNTIF(D215,"*_MAN_*")</f>
        <v>1</v>
      </c>
      <c r="U215" s="9">
        <f>(RIGHT(D215,4))*1</f>
        <v>90</v>
      </c>
      <c r="V215" s="9" t="str">
        <f>IFERROR(VLOOKUP(I215,#REF!,2,0),"Sinalização")</f>
        <v>Sinalização</v>
      </c>
    </row>
    <row r="216" spans="1:22" x14ac:dyDescent="0.25">
      <c r="A216" s="3" t="s">
        <v>22</v>
      </c>
      <c r="B216" s="4">
        <v>23518465</v>
      </c>
      <c r="C216" s="5" t="s">
        <v>23</v>
      </c>
      <c r="D216" s="6" t="s">
        <v>804</v>
      </c>
      <c r="E216" s="6" t="s">
        <v>25</v>
      </c>
      <c r="F216" s="11">
        <v>46169</v>
      </c>
      <c r="G216" s="6" t="s">
        <v>1079</v>
      </c>
      <c r="H216" s="7"/>
      <c r="I216" s="7" t="s">
        <v>272</v>
      </c>
      <c r="J216" s="7" t="s">
        <v>805</v>
      </c>
      <c r="K216" s="7" t="s">
        <v>29</v>
      </c>
      <c r="L216" s="3" t="str">
        <f>E216&amp;D216</f>
        <v>E.SP.IPAEE_INS_CONF_S_I_MAQ CHAVE MOLA_0030</v>
      </c>
      <c r="M216" s="3" t="str">
        <f>IFERROR(MID(D216,SEARCH("S_I_",D216,1),3),"")</f>
        <v>S_I</v>
      </c>
      <c r="N216" s="3" t="str">
        <f>IFERROR(MID(D216,SEARCH("C_I_",D216,1),3),"")</f>
        <v/>
      </c>
      <c r="O216" s="3" t="str">
        <f>IF(AND(M216="",N216=""),"Extra","")</f>
        <v/>
      </c>
      <c r="P216" s="3" t="str">
        <f>IF(Q216=0,"TERCEIRO","MRS")</f>
        <v>MRS</v>
      </c>
      <c r="Q216" s="8" t="str">
        <f>IFERROR(VLOOKUP(L216,#REF!,4,0),"0,00")</f>
        <v>0,00</v>
      </c>
      <c r="R216" s="9" t="s">
        <v>42</v>
      </c>
      <c r="S216" s="9">
        <f>COUNTIF(D216,"*_SEG_*")</f>
        <v>0</v>
      </c>
      <c r="T216" s="9">
        <f>COUNTIF(D216,"*_MAN_*")</f>
        <v>0</v>
      </c>
      <c r="U216" s="9">
        <f>(RIGHT(D216,4))*1</f>
        <v>30</v>
      </c>
      <c r="V216" s="9" t="str">
        <f>IFERROR(VLOOKUP(I216,#REF!,2,0),"Sinalização")</f>
        <v>Sinalização</v>
      </c>
    </row>
    <row r="217" spans="1:22" x14ac:dyDescent="0.25">
      <c r="A217" s="3" t="s">
        <v>22</v>
      </c>
      <c r="B217" s="4">
        <v>23518466</v>
      </c>
      <c r="C217" s="5" t="s">
        <v>23</v>
      </c>
      <c r="D217" s="6" t="s">
        <v>804</v>
      </c>
      <c r="E217" s="6" t="s">
        <v>25</v>
      </c>
      <c r="F217" s="11">
        <v>46169</v>
      </c>
      <c r="G217" s="6" t="s">
        <v>1079</v>
      </c>
      <c r="H217" s="7"/>
      <c r="I217" s="7" t="s">
        <v>1060</v>
      </c>
      <c r="J217" s="7" t="s">
        <v>805</v>
      </c>
      <c r="K217" s="7" t="s">
        <v>29</v>
      </c>
      <c r="L217" s="3" t="str">
        <f>E217&amp;D217</f>
        <v>E.SP.IPAEE_INS_CONF_S_I_MAQ CHAVE MOLA_0030</v>
      </c>
      <c r="M217" s="3" t="str">
        <f>IFERROR(MID(D217,SEARCH("S_I_",D217,1),3),"")</f>
        <v>S_I</v>
      </c>
      <c r="N217" s="3" t="str">
        <f>IFERROR(MID(D217,SEARCH("C_I_",D217,1),3),"")</f>
        <v/>
      </c>
      <c r="O217" s="3" t="str">
        <f>IF(AND(M217="",N217=""),"Extra","")</f>
        <v/>
      </c>
      <c r="P217" s="3" t="str">
        <f>IF(Q217=0,"TERCEIRO","MRS")</f>
        <v>MRS</v>
      </c>
      <c r="Q217" s="8" t="str">
        <f>IFERROR(VLOOKUP(L217,#REF!,4,0),"0,00")</f>
        <v>0,00</v>
      </c>
      <c r="R217" s="9" t="s">
        <v>42</v>
      </c>
      <c r="S217" s="9">
        <f>COUNTIF(D217,"*_SEG_*")</f>
        <v>0</v>
      </c>
      <c r="T217" s="9">
        <f>COUNTIF(D217,"*_MAN_*")</f>
        <v>0</v>
      </c>
      <c r="U217" s="9">
        <f>(RIGHT(D217,4))*1</f>
        <v>30</v>
      </c>
      <c r="V217" s="9" t="str">
        <f>IFERROR(VLOOKUP(I217,#REF!,2,0),"Sinalização")</f>
        <v>Sinalização</v>
      </c>
    </row>
    <row r="218" spans="1:22" x14ac:dyDescent="0.25">
      <c r="A218" s="3" t="s">
        <v>22</v>
      </c>
      <c r="B218" s="4">
        <v>23518467</v>
      </c>
      <c r="C218" s="5" t="s">
        <v>23</v>
      </c>
      <c r="D218" s="6" t="s">
        <v>804</v>
      </c>
      <c r="E218" s="6" t="s">
        <v>25</v>
      </c>
      <c r="F218" s="11">
        <v>46169</v>
      </c>
      <c r="G218" s="6" t="s">
        <v>1079</v>
      </c>
      <c r="H218" s="7"/>
      <c r="I218" s="7" t="s">
        <v>273</v>
      </c>
      <c r="J218" s="7" t="s">
        <v>805</v>
      </c>
      <c r="K218" s="7" t="s">
        <v>29</v>
      </c>
      <c r="L218" s="3" t="str">
        <f>E218&amp;D218</f>
        <v>E.SP.IPAEE_INS_CONF_S_I_MAQ CHAVE MOLA_0030</v>
      </c>
      <c r="M218" s="3" t="str">
        <f>IFERROR(MID(D218,SEARCH("S_I_",D218,1),3),"")</f>
        <v>S_I</v>
      </c>
      <c r="N218" s="3" t="str">
        <f>IFERROR(MID(D218,SEARCH("C_I_",D218,1),3),"")</f>
        <v/>
      </c>
      <c r="O218" s="3" t="str">
        <f>IF(AND(M218="",N218=""),"Extra","")</f>
        <v/>
      </c>
      <c r="P218" s="3" t="str">
        <f>IF(Q218=0,"TERCEIRO","MRS")</f>
        <v>MRS</v>
      </c>
      <c r="Q218" s="8" t="str">
        <f>IFERROR(VLOOKUP(L218,#REF!,4,0),"0,00")</f>
        <v>0,00</v>
      </c>
      <c r="R218" s="9" t="s">
        <v>42</v>
      </c>
      <c r="S218" s="9">
        <f>COUNTIF(D218,"*_SEG_*")</f>
        <v>0</v>
      </c>
      <c r="T218" s="9">
        <f>COUNTIF(D218,"*_MAN_*")</f>
        <v>0</v>
      </c>
      <c r="U218" s="9">
        <f>(RIGHT(D218,4))*1</f>
        <v>30</v>
      </c>
      <c r="V218" s="9" t="str">
        <f>IFERROR(VLOOKUP(I218,#REF!,2,0),"Sinalização")</f>
        <v>Sinalização</v>
      </c>
    </row>
    <row r="219" spans="1:22" x14ac:dyDescent="0.25">
      <c r="A219" s="3" t="s">
        <v>22</v>
      </c>
      <c r="B219" s="4">
        <v>23518468</v>
      </c>
      <c r="C219" s="5" t="s">
        <v>23</v>
      </c>
      <c r="D219" s="6" t="s">
        <v>804</v>
      </c>
      <c r="E219" s="6" t="s">
        <v>25</v>
      </c>
      <c r="F219" s="11">
        <v>46169</v>
      </c>
      <c r="G219" s="6" t="s">
        <v>1079</v>
      </c>
      <c r="H219" s="7"/>
      <c r="I219" s="7" t="s">
        <v>271</v>
      </c>
      <c r="J219" s="7" t="s">
        <v>805</v>
      </c>
      <c r="K219" s="7" t="s">
        <v>29</v>
      </c>
      <c r="L219" s="3" t="str">
        <f>E219&amp;D219</f>
        <v>E.SP.IPAEE_INS_CONF_S_I_MAQ CHAVE MOLA_0030</v>
      </c>
      <c r="M219" s="3" t="str">
        <f>IFERROR(MID(D219,SEARCH("S_I_",D219,1),3),"")</f>
        <v>S_I</v>
      </c>
      <c r="N219" s="3" t="str">
        <f>IFERROR(MID(D219,SEARCH("C_I_",D219,1),3),"")</f>
        <v/>
      </c>
      <c r="O219" s="3" t="str">
        <f>IF(AND(M219="",N219=""),"Extra","")</f>
        <v/>
      </c>
      <c r="P219" s="3" t="str">
        <f>IF(Q219=0,"TERCEIRO","MRS")</f>
        <v>MRS</v>
      </c>
      <c r="Q219" s="8" t="str">
        <f>IFERROR(VLOOKUP(L219,#REF!,4,0),"0,00")</f>
        <v>0,00</v>
      </c>
      <c r="R219" s="9" t="s">
        <v>42</v>
      </c>
      <c r="S219" s="9">
        <f>COUNTIF(D219,"*_SEG_*")</f>
        <v>0</v>
      </c>
      <c r="T219" s="9">
        <f>COUNTIF(D219,"*_MAN_*")</f>
        <v>0</v>
      </c>
      <c r="U219" s="9">
        <f>(RIGHT(D219,4))*1</f>
        <v>30</v>
      </c>
      <c r="V219" s="9" t="str">
        <f>IFERROR(VLOOKUP(I219,#REF!,2,0),"Sinalização")</f>
        <v>Sinalização</v>
      </c>
    </row>
    <row r="220" spans="1:22" x14ac:dyDescent="0.25">
      <c r="A220" s="3" t="s">
        <v>22</v>
      </c>
      <c r="B220" s="4">
        <v>23518511</v>
      </c>
      <c r="C220" s="5" t="s">
        <v>23</v>
      </c>
      <c r="D220" s="6" t="s">
        <v>917</v>
      </c>
      <c r="E220" s="6" t="s">
        <v>25</v>
      </c>
      <c r="F220" s="11">
        <v>46169</v>
      </c>
      <c r="G220" s="6" t="s">
        <v>1079</v>
      </c>
      <c r="H220" s="7"/>
      <c r="I220" s="7" t="s">
        <v>363</v>
      </c>
      <c r="J220" s="7" t="s">
        <v>910</v>
      </c>
      <c r="K220" s="7" t="s">
        <v>29</v>
      </c>
      <c r="L220" s="3" t="str">
        <f>E220&amp;D220</f>
        <v>E.SP.IPAEE_MAN_CONF_S_I_SINAL L UNIFO CONT_0030</v>
      </c>
      <c r="M220" s="3" t="str">
        <f>IFERROR(MID(D220,SEARCH("S_I_",D220,1),3),"")</f>
        <v>S_I</v>
      </c>
      <c r="N220" s="3" t="str">
        <f>IFERROR(MID(D220,SEARCH("C_I_",D220,1),3),"")</f>
        <v/>
      </c>
      <c r="O220" s="3" t="str">
        <f>IF(AND(M220="",N220=""),"Extra","")</f>
        <v/>
      </c>
      <c r="P220" s="3" t="str">
        <f>IF(Q220=0,"TERCEIRO","MRS")</f>
        <v>MRS</v>
      </c>
      <c r="Q220" s="8" t="str">
        <f>IFERROR(VLOOKUP(L220,#REF!,4,0),"0,00")</f>
        <v>0,00</v>
      </c>
      <c r="R220" s="9" t="s">
        <v>42</v>
      </c>
      <c r="S220" s="9">
        <f>COUNTIF(D220,"*_SEG_*")</f>
        <v>0</v>
      </c>
      <c r="T220" s="9">
        <f>COUNTIF(D220,"*_MAN_*")</f>
        <v>1</v>
      </c>
      <c r="U220" s="9">
        <f>(RIGHT(D220,4))*1</f>
        <v>30</v>
      </c>
      <c r="V220" s="9" t="str">
        <f>IFERROR(VLOOKUP(I220,#REF!,2,0),"Sinalização")</f>
        <v>Sinalização</v>
      </c>
    </row>
    <row r="221" spans="1:22" x14ac:dyDescent="0.25">
      <c r="A221" s="3" t="s">
        <v>22</v>
      </c>
      <c r="B221" s="4">
        <v>23518512</v>
      </c>
      <c r="C221" s="5" t="s">
        <v>23</v>
      </c>
      <c r="D221" s="6" t="s">
        <v>917</v>
      </c>
      <c r="E221" s="6" t="s">
        <v>25</v>
      </c>
      <c r="F221" s="11">
        <v>46169</v>
      </c>
      <c r="G221" s="6" t="s">
        <v>1079</v>
      </c>
      <c r="H221" s="7"/>
      <c r="I221" s="7" t="s">
        <v>365</v>
      </c>
      <c r="J221" s="7" t="s">
        <v>910</v>
      </c>
      <c r="K221" s="7" t="s">
        <v>29</v>
      </c>
      <c r="L221" s="3" t="str">
        <f>E221&amp;D221</f>
        <v>E.SP.IPAEE_MAN_CONF_S_I_SINAL L UNIFO CONT_0030</v>
      </c>
      <c r="M221" s="3" t="str">
        <f>IFERROR(MID(D221,SEARCH("S_I_",D221,1),3),"")</f>
        <v>S_I</v>
      </c>
      <c r="N221" s="3" t="str">
        <f>IFERROR(MID(D221,SEARCH("C_I_",D221,1),3),"")</f>
        <v/>
      </c>
      <c r="O221" s="3" t="str">
        <f>IF(AND(M221="",N221=""),"Extra","")</f>
        <v/>
      </c>
      <c r="P221" s="3" t="str">
        <f>IF(Q221=0,"TERCEIRO","MRS")</f>
        <v>MRS</v>
      </c>
      <c r="Q221" s="8" t="str">
        <f>IFERROR(VLOOKUP(L221,#REF!,4,0),"0,00")</f>
        <v>0,00</v>
      </c>
      <c r="R221" s="9" t="s">
        <v>42</v>
      </c>
      <c r="S221" s="9">
        <f>COUNTIF(D221,"*_SEG_*")</f>
        <v>0</v>
      </c>
      <c r="T221" s="9">
        <f>COUNTIF(D221,"*_MAN_*")</f>
        <v>1</v>
      </c>
      <c r="U221" s="9">
        <f>(RIGHT(D221,4))*1</f>
        <v>30</v>
      </c>
      <c r="V221" s="9" t="str">
        <f>IFERROR(VLOOKUP(I221,#REF!,2,0),"Sinalização")</f>
        <v>Sinalização</v>
      </c>
    </row>
    <row r="222" spans="1:22" x14ac:dyDescent="0.25">
      <c r="A222" s="3" t="s">
        <v>22</v>
      </c>
      <c r="B222" s="4">
        <v>23518513</v>
      </c>
      <c r="C222" s="5" t="s">
        <v>23</v>
      </c>
      <c r="D222" s="6" t="s">
        <v>917</v>
      </c>
      <c r="E222" s="6" t="s">
        <v>25</v>
      </c>
      <c r="F222" s="11">
        <v>46169</v>
      </c>
      <c r="G222" s="6" t="s">
        <v>1079</v>
      </c>
      <c r="H222" s="7"/>
      <c r="I222" s="7" t="s">
        <v>364</v>
      </c>
      <c r="J222" s="7" t="s">
        <v>910</v>
      </c>
      <c r="K222" s="7" t="s">
        <v>29</v>
      </c>
      <c r="L222" s="3" t="str">
        <f>E222&amp;D222</f>
        <v>E.SP.IPAEE_MAN_CONF_S_I_SINAL L UNIFO CONT_0030</v>
      </c>
      <c r="M222" s="3" t="str">
        <f>IFERROR(MID(D222,SEARCH("S_I_",D222,1),3),"")</f>
        <v>S_I</v>
      </c>
      <c r="N222" s="3" t="str">
        <f>IFERROR(MID(D222,SEARCH("C_I_",D222,1),3),"")</f>
        <v/>
      </c>
      <c r="O222" s="3" t="str">
        <f>IF(AND(M222="",N222=""),"Extra","")</f>
        <v/>
      </c>
      <c r="P222" s="3" t="str">
        <f>IF(Q222=0,"TERCEIRO","MRS")</f>
        <v>MRS</v>
      </c>
      <c r="Q222" s="8" t="str">
        <f>IFERROR(VLOOKUP(L222,#REF!,4,0),"0,00")</f>
        <v>0,00</v>
      </c>
      <c r="R222" s="9" t="s">
        <v>42</v>
      </c>
      <c r="S222" s="9">
        <f>COUNTIF(D222,"*_SEG_*")</f>
        <v>0</v>
      </c>
      <c r="T222" s="9">
        <f>COUNTIF(D222,"*_MAN_*")</f>
        <v>1</v>
      </c>
      <c r="U222" s="9">
        <f>(RIGHT(D222,4))*1</f>
        <v>30</v>
      </c>
      <c r="V222" s="9" t="str">
        <f>IFERROR(VLOOKUP(I222,#REF!,2,0),"Sinalização")</f>
        <v>Sinalização</v>
      </c>
    </row>
    <row r="223" spans="1:22" x14ac:dyDescent="0.25">
      <c r="A223" s="3" t="s">
        <v>22</v>
      </c>
      <c r="B223" s="4">
        <v>23518514</v>
      </c>
      <c r="C223" s="5" t="s">
        <v>23</v>
      </c>
      <c r="D223" s="6" t="s">
        <v>917</v>
      </c>
      <c r="E223" s="6" t="s">
        <v>25</v>
      </c>
      <c r="F223" s="11">
        <v>46169</v>
      </c>
      <c r="G223" s="6" t="s">
        <v>1079</v>
      </c>
      <c r="H223" s="7"/>
      <c r="I223" s="7" t="s">
        <v>366</v>
      </c>
      <c r="J223" s="7" t="s">
        <v>910</v>
      </c>
      <c r="K223" s="7" t="s">
        <v>29</v>
      </c>
      <c r="L223" s="3" t="str">
        <f>E223&amp;D223</f>
        <v>E.SP.IPAEE_MAN_CONF_S_I_SINAL L UNIFO CONT_0030</v>
      </c>
      <c r="M223" s="3" t="str">
        <f>IFERROR(MID(D223,SEARCH("S_I_",D223,1),3),"")</f>
        <v>S_I</v>
      </c>
      <c r="N223" s="3" t="str">
        <f>IFERROR(MID(D223,SEARCH("C_I_",D223,1),3),"")</f>
        <v/>
      </c>
      <c r="O223" s="3" t="str">
        <f>IF(AND(M223="",N223=""),"Extra","")</f>
        <v/>
      </c>
      <c r="P223" s="3" t="str">
        <f>IF(Q223=0,"TERCEIRO","MRS")</f>
        <v>MRS</v>
      </c>
      <c r="Q223" s="8" t="str">
        <f>IFERROR(VLOOKUP(L223,#REF!,4,0),"0,00")</f>
        <v>0,00</v>
      </c>
      <c r="R223" s="9" t="s">
        <v>42</v>
      </c>
      <c r="S223" s="9">
        <f>COUNTIF(D223,"*_SEG_*")</f>
        <v>0</v>
      </c>
      <c r="T223" s="9">
        <f>COUNTIF(D223,"*_MAN_*")</f>
        <v>1</v>
      </c>
      <c r="U223" s="9">
        <f>(RIGHT(D223,4))*1</f>
        <v>30</v>
      </c>
      <c r="V223" s="9" t="str">
        <f>IFERROR(VLOOKUP(I223,#REF!,2,0),"Sinalização")</f>
        <v>Sinalização</v>
      </c>
    </row>
    <row r="224" spans="1:22" x14ac:dyDescent="0.25">
      <c r="A224" s="3" t="s">
        <v>22</v>
      </c>
      <c r="B224" s="4">
        <v>23518515</v>
      </c>
      <c r="C224" s="5" t="s">
        <v>23</v>
      </c>
      <c r="D224" s="6" t="s">
        <v>917</v>
      </c>
      <c r="E224" s="6" t="s">
        <v>25</v>
      </c>
      <c r="F224" s="11">
        <v>46169</v>
      </c>
      <c r="G224" s="6" t="s">
        <v>1079</v>
      </c>
      <c r="H224" s="7"/>
      <c r="I224" s="7" t="s">
        <v>368</v>
      </c>
      <c r="J224" s="7" t="s">
        <v>910</v>
      </c>
      <c r="K224" s="7" t="s">
        <v>29</v>
      </c>
      <c r="L224" s="3" t="str">
        <f>E224&amp;D224</f>
        <v>E.SP.IPAEE_MAN_CONF_S_I_SINAL L UNIFO CONT_0030</v>
      </c>
      <c r="M224" s="3" t="str">
        <f>IFERROR(MID(D224,SEARCH("S_I_",D224,1),3),"")</f>
        <v>S_I</v>
      </c>
      <c r="N224" s="3" t="str">
        <f>IFERROR(MID(D224,SEARCH("C_I_",D224,1),3),"")</f>
        <v/>
      </c>
      <c r="O224" s="3" t="str">
        <f>IF(AND(M224="",N224=""),"Extra","")</f>
        <v/>
      </c>
      <c r="P224" s="3" t="str">
        <f>IF(Q224=0,"TERCEIRO","MRS")</f>
        <v>MRS</v>
      </c>
      <c r="Q224" s="8" t="str">
        <f>IFERROR(VLOOKUP(L224,#REF!,4,0),"0,00")</f>
        <v>0,00</v>
      </c>
      <c r="R224" s="9" t="s">
        <v>42</v>
      </c>
      <c r="S224" s="9">
        <f>COUNTIF(D224,"*_SEG_*")</f>
        <v>0</v>
      </c>
      <c r="T224" s="9">
        <f>COUNTIF(D224,"*_MAN_*")</f>
        <v>1</v>
      </c>
      <c r="U224" s="9">
        <f>(RIGHT(D224,4))*1</f>
        <v>30</v>
      </c>
      <c r="V224" s="9" t="str">
        <f>IFERROR(VLOOKUP(I224,#REF!,2,0),"Sinalização")</f>
        <v>Sinalização</v>
      </c>
    </row>
    <row r="225" spans="1:22" x14ac:dyDescent="0.25">
      <c r="A225" s="3" t="s">
        <v>22</v>
      </c>
      <c r="B225" s="4">
        <v>23518516</v>
      </c>
      <c r="C225" s="5" t="s">
        <v>23</v>
      </c>
      <c r="D225" s="6" t="s">
        <v>917</v>
      </c>
      <c r="E225" s="6" t="s">
        <v>25</v>
      </c>
      <c r="F225" s="11">
        <v>46169</v>
      </c>
      <c r="G225" s="6" t="s">
        <v>1079</v>
      </c>
      <c r="H225" s="7"/>
      <c r="I225" s="7" t="s">
        <v>367</v>
      </c>
      <c r="J225" s="7" t="s">
        <v>910</v>
      </c>
      <c r="K225" s="7" t="s">
        <v>29</v>
      </c>
      <c r="L225" s="3" t="str">
        <f>E225&amp;D225</f>
        <v>E.SP.IPAEE_MAN_CONF_S_I_SINAL L UNIFO CONT_0030</v>
      </c>
      <c r="M225" s="3" t="str">
        <f>IFERROR(MID(D225,SEARCH("S_I_",D225,1),3),"")</f>
        <v>S_I</v>
      </c>
      <c r="N225" s="3" t="str">
        <f>IFERROR(MID(D225,SEARCH("C_I_",D225,1),3),"")</f>
        <v/>
      </c>
      <c r="O225" s="3" t="str">
        <f>IF(AND(M225="",N225=""),"Extra","")</f>
        <v/>
      </c>
      <c r="P225" s="3" t="str">
        <f>IF(Q225=0,"TERCEIRO","MRS")</f>
        <v>MRS</v>
      </c>
      <c r="Q225" s="8" t="str">
        <f>IFERROR(VLOOKUP(L225,#REF!,4,0),"0,00")</f>
        <v>0,00</v>
      </c>
      <c r="R225" s="9" t="s">
        <v>42</v>
      </c>
      <c r="S225" s="9">
        <f>COUNTIF(D225,"*_SEG_*")</f>
        <v>0</v>
      </c>
      <c r="T225" s="9">
        <f>COUNTIF(D225,"*_MAN_*")</f>
        <v>1</v>
      </c>
      <c r="U225" s="9">
        <f>(RIGHT(D225,4))*1</f>
        <v>30</v>
      </c>
      <c r="V225" s="9" t="str">
        <f>IFERROR(VLOOKUP(I225,#REF!,2,0),"Sinalização")</f>
        <v>Sinalização</v>
      </c>
    </row>
    <row r="226" spans="1:22" x14ac:dyDescent="0.25">
      <c r="A226" s="3" t="s">
        <v>22</v>
      </c>
      <c r="B226" s="4">
        <v>23518525</v>
      </c>
      <c r="C226" s="5" t="s">
        <v>23</v>
      </c>
      <c r="D226" s="6" t="s">
        <v>806</v>
      </c>
      <c r="E226" s="6" t="s">
        <v>25</v>
      </c>
      <c r="F226" s="11">
        <v>46169</v>
      </c>
      <c r="G226" s="6" t="s">
        <v>1079</v>
      </c>
      <c r="H226" s="7"/>
      <c r="I226" s="7" t="s">
        <v>272</v>
      </c>
      <c r="J226" s="7" t="s">
        <v>807</v>
      </c>
      <c r="K226" s="7" t="s">
        <v>29</v>
      </c>
      <c r="L226" s="3" t="str">
        <f>E226&amp;D226</f>
        <v>E.SP.IPAEE_INS_SEG_C_I_MAQ CHAVE MOLA_0030</v>
      </c>
      <c r="M226" s="3" t="str">
        <f>IFERROR(MID(D226,SEARCH("S_I_",D226,1),3),"")</f>
        <v/>
      </c>
      <c r="N226" s="3" t="str">
        <f>IFERROR(MID(D226,SEARCH("C_I_",D226,1),3),"")</f>
        <v>C_I</v>
      </c>
      <c r="O226" s="3" t="str">
        <f>IF(AND(M226="",N226=""),"Extra","")</f>
        <v/>
      </c>
      <c r="P226" s="3" t="str">
        <f>IF(Q226=0,"TERCEIRO","MRS")</f>
        <v>MRS</v>
      </c>
      <c r="Q226" s="8" t="str">
        <f>IFERROR(VLOOKUP(L226,#REF!,4,0),"0,00")</f>
        <v>0,00</v>
      </c>
      <c r="R226" s="9" t="s">
        <v>42</v>
      </c>
      <c r="S226" s="9">
        <f>COUNTIF(D226,"*_SEG_*")</f>
        <v>1</v>
      </c>
      <c r="T226" s="9">
        <f>COUNTIF(D226,"*_MAN_*")</f>
        <v>0</v>
      </c>
      <c r="U226" s="9">
        <f>(RIGHT(D226,4))*1</f>
        <v>30</v>
      </c>
      <c r="V226" s="9" t="str">
        <f>IFERROR(VLOOKUP(I226,#REF!,2,0),"Sinalização")</f>
        <v>Sinalização</v>
      </c>
    </row>
    <row r="227" spans="1:22" x14ac:dyDescent="0.25">
      <c r="A227" s="3" t="s">
        <v>22</v>
      </c>
      <c r="B227" s="4">
        <v>23518526</v>
      </c>
      <c r="C227" s="5" t="s">
        <v>23</v>
      </c>
      <c r="D227" s="6" t="s">
        <v>806</v>
      </c>
      <c r="E227" s="6" t="s">
        <v>25</v>
      </c>
      <c r="F227" s="11">
        <v>46169</v>
      </c>
      <c r="G227" s="6" t="s">
        <v>1079</v>
      </c>
      <c r="H227" s="7"/>
      <c r="I227" s="7" t="s">
        <v>1060</v>
      </c>
      <c r="J227" s="7" t="s">
        <v>807</v>
      </c>
      <c r="K227" s="7" t="s">
        <v>29</v>
      </c>
      <c r="L227" s="3" t="str">
        <f>E227&amp;D227</f>
        <v>E.SP.IPAEE_INS_SEG_C_I_MAQ CHAVE MOLA_0030</v>
      </c>
      <c r="M227" s="3" t="str">
        <f>IFERROR(MID(D227,SEARCH("S_I_",D227,1),3),"")</f>
        <v/>
      </c>
      <c r="N227" s="3" t="str">
        <f>IFERROR(MID(D227,SEARCH("C_I_",D227,1),3),"")</f>
        <v>C_I</v>
      </c>
      <c r="O227" s="3" t="str">
        <f>IF(AND(M227="",N227=""),"Extra","")</f>
        <v/>
      </c>
      <c r="P227" s="3" t="str">
        <f>IF(Q227=0,"TERCEIRO","MRS")</f>
        <v>MRS</v>
      </c>
      <c r="Q227" s="8" t="str">
        <f>IFERROR(VLOOKUP(L227,#REF!,4,0),"0,00")</f>
        <v>0,00</v>
      </c>
      <c r="R227" s="9" t="s">
        <v>42</v>
      </c>
      <c r="S227" s="9">
        <f>COUNTIF(D227,"*_SEG_*")</f>
        <v>1</v>
      </c>
      <c r="T227" s="9">
        <f>COUNTIF(D227,"*_MAN_*")</f>
        <v>0</v>
      </c>
      <c r="U227" s="9">
        <f>(RIGHT(D227,4))*1</f>
        <v>30</v>
      </c>
      <c r="V227" s="9" t="str">
        <f>IFERROR(VLOOKUP(I227,#REF!,2,0),"Sinalização")</f>
        <v>Sinalização</v>
      </c>
    </row>
    <row r="228" spans="1:22" x14ac:dyDescent="0.25">
      <c r="A228" s="3" t="s">
        <v>22</v>
      </c>
      <c r="B228" s="4">
        <v>23518527</v>
      </c>
      <c r="C228" s="5" t="s">
        <v>23</v>
      </c>
      <c r="D228" s="6" t="s">
        <v>806</v>
      </c>
      <c r="E228" s="6" t="s">
        <v>25</v>
      </c>
      <c r="F228" s="11">
        <v>46169</v>
      </c>
      <c r="G228" s="6" t="s">
        <v>1079</v>
      </c>
      <c r="H228" s="7"/>
      <c r="I228" s="7" t="s">
        <v>273</v>
      </c>
      <c r="J228" s="7" t="s">
        <v>807</v>
      </c>
      <c r="K228" s="7" t="s">
        <v>29</v>
      </c>
      <c r="L228" s="3" t="str">
        <f>E228&amp;D228</f>
        <v>E.SP.IPAEE_INS_SEG_C_I_MAQ CHAVE MOLA_0030</v>
      </c>
      <c r="M228" s="3" t="str">
        <f>IFERROR(MID(D228,SEARCH("S_I_",D228,1),3),"")</f>
        <v/>
      </c>
      <c r="N228" s="3" t="str">
        <f>IFERROR(MID(D228,SEARCH("C_I_",D228,1),3),"")</f>
        <v>C_I</v>
      </c>
      <c r="O228" s="3" t="str">
        <f>IF(AND(M228="",N228=""),"Extra","")</f>
        <v/>
      </c>
      <c r="P228" s="3" t="str">
        <f>IF(Q228=0,"TERCEIRO","MRS")</f>
        <v>MRS</v>
      </c>
      <c r="Q228" s="8" t="str">
        <f>IFERROR(VLOOKUP(L228,#REF!,4,0),"0,00")</f>
        <v>0,00</v>
      </c>
      <c r="R228" s="9" t="s">
        <v>42</v>
      </c>
      <c r="S228" s="9">
        <f>COUNTIF(D228,"*_SEG_*")</f>
        <v>1</v>
      </c>
      <c r="T228" s="9">
        <f>COUNTIF(D228,"*_MAN_*")</f>
        <v>0</v>
      </c>
      <c r="U228" s="9">
        <f>(RIGHT(D228,4))*1</f>
        <v>30</v>
      </c>
      <c r="V228" s="9" t="str">
        <f>IFERROR(VLOOKUP(I228,#REF!,2,0),"Sinalização")</f>
        <v>Sinalização</v>
      </c>
    </row>
    <row r="229" spans="1:22" x14ac:dyDescent="0.25">
      <c r="A229" s="3" t="s">
        <v>22</v>
      </c>
      <c r="B229" s="4">
        <v>23518528</v>
      </c>
      <c r="C229" s="5" t="s">
        <v>23</v>
      </c>
      <c r="D229" s="6" t="s">
        <v>806</v>
      </c>
      <c r="E229" s="6" t="s">
        <v>25</v>
      </c>
      <c r="F229" s="11">
        <v>46169</v>
      </c>
      <c r="G229" s="6" t="s">
        <v>1079</v>
      </c>
      <c r="H229" s="7"/>
      <c r="I229" s="7" t="s">
        <v>271</v>
      </c>
      <c r="J229" s="7" t="s">
        <v>807</v>
      </c>
      <c r="K229" s="7" t="s">
        <v>29</v>
      </c>
      <c r="L229" s="3" t="str">
        <f>E229&amp;D229</f>
        <v>E.SP.IPAEE_INS_SEG_C_I_MAQ CHAVE MOLA_0030</v>
      </c>
      <c r="M229" s="3" t="str">
        <f>IFERROR(MID(D229,SEARCH("S_I_",D229,1),3),"")</f>
        <v/>
      </c>
      <c r="N229" s="3" t="str">
        <f>IFERROR(MID(D229,SEARCH("C_I_",D229,1),3),"")</f>
        <v>C_I</v>
      </c>
      <c r="O229" s="3" t="str">
        <f>IF(AND(M229="",N229=""),"Extra","")</f>
        <v/>
      </c>
      <c r="P229" s="3" t="str">
        <f>IF(Q229=0,"TERCEIRO","MRS")</f>
        <v>MRS</v>
      </c>
      <c r="Q229" s="8" t="str">
        <f>IFERROR(VLOOKUP(L229,#REF!,4,0),"0,00")</f>
        <v>0,00</v>
      </c>
      <c r="R229" s="9" t="s">
        <v>42</v>
      </c>
      <c r="S229" s="9">
        <f>COUNTIF(D229,"*_SEG_*")</f>
        <v>1</v>
      </c>
      <c r="T229" s="9">
        <f>COUNTIF(D229,"*_MAN_*")</f>
        <v>0</v>
      </c>
      <c r="U229" s="9">
        <f>(RIGHT(D229,4))*1</f>
        <v>30</v>
      </c>
      <c r="V229" s="9" t="str">
        <f>IFERROR(VLOOKUP(I229,#REF!,2,0),"Sinalização")</f>
        <v>Sinalização</v>
      </c>
    </row>
    <row r="230" spans="1:22" x14ac:dyDescent="0.25">
      <c r="A230" s="3" t="s">
        <v>22</v>
      </c>
      <c r="B230" s="4">
        <v>23518538</v>
      </c>
      <c r="C230" s="5" t="s">
        <v>23</v>
      </c>
      <c r="D230" s="6" t="s">
        <v>917</v>
      </c>
      <c r="E230" s="6" t="s">
        <v>25</v>
      </c>
      <c r="F230" s="11">
        <v>46169</v>
      </c>
      <c r="G230" s="6" t="s">
        <v>1079</v>
      </c>
      <c r="H230" s="7"/>
      <c r="I230" s="7" t="s">
        <v>75</v>
      </c>
      <c r="J230" s="7" t="s">
        <v>910</v>
      </c>
      <c r="K230" s="7" t="s">
        <v>29</v>
      </c>
      <c r="L230" s="3" t="str">
        <f>E230&amp;D230</f>
        <v>E.SP.IPAEE_MAN_CONF_S_I_SINAL L UNIFO CONT_0030</v>
      </c>
      <c r="M230" s="3" t="str">
        <f>IFERROR(MID(D230,SEARCH("S_I_",D230,1),3),"")</f>
        <v>S_I</v>
      </c>
      <c r="N230" s="3" t="str">
        <f>IFERROR(MID(D230,SEARCH("C_I_",D230,1),3),"")</f>
        <v/>
      </c>
      <c r="O230" s="3" t="str">
        <f>IF(AND(M230="",N230=""),"Extra","")</f>
        <v/>
      </c>
      <c r="P230" s="3" t="str">
        <f>IF(Q230=0,"TERCEIRO","MRS")</f>
        <v>MRS</v>
      </c>
      <c r="Q230" s="8" t="str">
        <f>IFERROR(VLOOKUP(L230,#REF!,4,0),"0,00")</f>
        <v>0,00</v>
      </c>
      <c r="R230" s="9" t="s">
        <v>42</v>
      </c>
      <c r="S230" s="9">
        <f>COUNTIF(D230,"*_SEG_*")</f>
        <v>0</v>
      </c>
      <c r="T230" s="9">
        <f>COUNTIF(D230,"*_MAN_*")</f>
        <v>1</v>
      </c>
      <c r="U230" s="9">
        <f>(RIGHT(D230,4))*1</f>
        <v>30</v>
      </c>
      <c r="V230" s="9" t="str">
        <f>IFERROR(VLOOKUP(I230,#REF!,2,0),"Sinalização")</f>
        <v>Sinalização</v>
      </c>
    </row>
    <row r="231" spans="1:22" x14ac:dyDescent="0.25">
      <c r="A231" s="3" t="s">
        <v>22</v>
      </c>
      <c r="B231" s="4">
        <v>23518551</v>
      </c>
      <c r="C231" s="5" t="s">
        <v>23</v>
      </c>
      <c r="D231" s="6" t="s">
        <v>922</v>
      </c>
      <c r="E231" s="6" t="s">
        <v>25</v>
      </c>
      <c r="F231" s="11">
        <v>46169</v>
      </c>
      <c r="G231" s="6" t="s">
        <v>1079</v>
      </c>
      <c r="H231" s="7"/>
      <c r="I231" s="7" t="s">
        <v>730</v>
      </c>
      <c r="J231" s="7" t="s">
        <v>923</v>
      </c>
      <c r="K231" s="7" t="s">
        <v>29</v>
      </c>
      <c r="L231" s="3" t="str">
        <f>E231&amp;D231</f>
        <v>E.SP.IPAEE_INS_CONF_S_I_CDV DETETORA CA_0030</v>
      </c>
      <c r="M231" s="3" t="str">
        <f>IFERROR(MID(D231,SEARCH("S_I_",D231,1),3),"")</f>
        <v>S_I</v>
      </c>
      <c r="N231" s="3" t="str">
        <f>IFERROR(MID(D231,SEARCH("C_I_",D231,1),3),"")</f>
        <v/>
      </c>
      <c r="O231" s="3" t="str">
        <f>IF(AND(M231="",N231=""),"Extra","")</f>
        <v/>
      </c>
      <c r="P231" s="3" t="str">
        <f>IF(Q231=0,"TERCEIRO","MRS")</f>
        <v>MRS</v>
      </c>
      <c r="Q231" s="8" t="str">
        <f>IFERROR(VLOOKUP(L231,#REF!,4,0),"0,00")</f>
        <v>0,00</v>
      </c>
      <c r="R231" s="9" t="s">
        <v>42</v>
      </c>
      <c r="S231" s="9">
        <f>COUNTIF(D231,"*_SEG_*")</f>
        <v>0</v>
      </c>
      <c r="T231" s="9">
        <f>COUNTIF(D231,"*_MAN_*")</f>
        <v>0</v>
      </c>
      <c r="U231" s="9">
        <f>(RIGHT(D231,4))*1</f>
        <v>30</v>
      </c>
      <c r="V231" s="9" t="str">
        <f>IFERROR(VLOOKUP(I231,#REF!,2,0),"Sinalização")</f>
        <v>Sinalização</v>
      </c>
    </row>
    <row r="232" spans="1:22" x14ac:dyDescent="0.25">
      <c r="A232" s="3" t="s">
        <v>22</v>
      </c>
      <c r="B232" s="4">
        <v>23518552</v>
      </c>
      <c r="C232" s="5" t="s">
        <v>23</v>
      </c>
      <c r="D232" s="6" t="s">
        <v>922</v>
      </c>
      <c r="E232" s="6" t="s">
        <v>25</v>
      </c>
      <c r="F232" s="11">
        <v>46169</v>
      </c>
      <c r="G232" s="6" t="s">
        <v>1079</v>
      </c>
      <c r="H232" s="7"/>
      <c r="I232" s="7" t="s">
        <v>283</v>
      </c>
      <c r="J232" s="7" t="s">
        <v>923</v>
      </c>
      <c r="K232" s="7" t="s">
        <v>29</v>
      </c>
      <c r="L232" s="3" t="str">
        <f>E232&amp;D232</f>
        <v>E.SP.IPAEE_INS_CONF_S_I_CDV DETETORA CA_0030</v>
      </c>
      <c r="M232" s="3" t="str">
        <f>IFERROR(MID(D232,SEARCH("S_I_",D232,1),3),"")</f>
        <v>S_I</v>
      </c>
      <c r="N232" s="3" t="str">
        <f>IFERROR(MID(D232,SEARCH("C_I_",D232,1),3),"")</f>
        <v/>
      </c>
      <c r="O232" s="3" t="str">
        <f>IF(AND(M232="",N232=""),"Extra","")</f>
        <v/>
      </c>
      <c r="P232" s="3" t="str">
        <f>IF(Q232=0,"TERCEIRO","MRS")</f>
        <v>MRS</v>
      </c>
      <c r="Q232" s="8" t="str">
        <f>IFERROR(VLOOKUP(L232,#REF!,4,0),"0,00")</f>
        <v>0,00</v>
      </c>
      <c r="R232" s="9" t="s">
        <v>42</v>
      </c>
      <c r="S232" s="9">
        <f>COUNTIF(D232,"*_SEG_*")</f>
        <v>0</v>
      </c>
      <c r="T232" s="9">
        <f>COUNTIF(D232,"*_MAN_*")</f>
        <v>0</v>
      </c>
      <c r="U232" s="9">
        <f>(RIGHT(D232,4))*1</f>
        <v>30</v>
      </c>
      <c r="V232" s="9" t="str">
        <f>IFERROR(VLOOKUP(I232,#REF!,2,0),"Sinalização")</f>
        <v>Sinalização</v>
      </c>
    </row>
    <row r="233" spans="1:22" x14ac:dyDescent="0.25">
      <c r="A233" s="3" t="s">
        <v>22</v>
      </c>
      <c r="B233" s="4">
        <v>23518553</v>
      </c>
      <c r="C233" s="5" t="s">
        <v>23</v>
      </c>
      <c r="D233" s="6" t="s">
        <v>922</v>
      </c>
      <c r="E233" s="6" t="s">
        <v>25</v>
      </c>
      <c r="F233" s="11">
        <v>46169</v>
      </c>
      <c r="G233" s="6" t="s">
        <v>1079</v>
      </c>
      <c r="H233" s="7"/>
      <c r="I233" s="7" t="s">
        <v>753</v>
      </c>
      <c r="J233" s="7" t="s">
        <v>923</v>
      </c>
      <c r="K233" s="7" t="s">
        <v>29</v>
      </c>
      <c r="L233" s="3" t="str">
        <f>E233&amp;D233</f>
        <v>E.SP.IPAEE_INS_CONF_S_I_CDV DETETORA CA_0030</v>
      </c>
      <c r="M233" s="3" t="str">
        <f>IFERROR(MID(D233,SEARCH("S_I_",D233,1),3),"")</f>
        <v>S_I</v>
      </c>
      <c r="N233" s="3" t="str">
        <f>IFERROR(MID(D233,SEARCH("C_I_",D233,1),3),"")</f>
        <v/>
      </c>
      <c r="O233" s="3" t="str">
        <f>IF(AND(M233="",N233=""),"Extra","")</f>
        <v/>
      </c>
      <c r="P233" s="3" t="str">
        <f>IF(Q233=0,"TERCEIRO","MRS")</f>
        <v>MRS</v>
      </c>
      <c r="Q233" s="8" t="str">
        <f>IFERROR(VLOOKUP(L233,#REF!,4,0),"0,00")</f>
        <v>0,00</v>
      </c>
      <c r="R233" s="9" t="s">
        <v>42</v>
      </c>
      <c r="S233" s="9">
        <f>COUNTIF(D233,"*_SEG_*")</f>
        <v>0</v>
      </c>
      <c r="T233" s="9">
        <f>COUNTIF(D233,"*_MAN_*")</f>
        <v>0</v>
      </c>
      <c r="U233" s="9">
        <f>(RIGHT(D233,4))*1</f>
        <v>30</v>
      </c>
      <c r="V233" s="9" t="str">
        <f>IFERROR(VLOOKUP(I233,#REF!,2,0),"Sinalização")</f>
        <v>Sinalização</v>
      </c>
    </row>
    <row r="234" spans="1:22" x14ac:dyDescent="0.25">
      <c r="A234" s="3" t="s">
        <v>22</v>
      </c>
      <c r="B234" s="4">
        <v>23518554</v>
      </c>
      <c r="C234" s="5" t="s">
        <v>23</v>
      </c>
      <c r="D234" s="6" t="s">
        <v>922</v>
      </c>
      <c r="E234" s="6" t="s">
        <v>25</v>
      </c>
      <c r="F234" s="11">
        <v>46169</v>
      </c>
      <c r="G234" s="6" t="s">
        <v>1079</v>
      </c>
      <c r="H234" s="7"/>
      <c r="I234" s="7" t="s">
        <v>754</v>
      </c>
      <c r="J234" s="7" t="s">
        <v>923</v>
      </c>
      <c r="K234" s="7" t="s">
        <v>29</v>
      </c>
      <c r="L234" s="3" t="str">
        <f>E234&amp;D234</f>
        <v>E.SP.IPAEE_INS_CONF_S_I_CDV DETETORA CA_0030</v>
      </c>
      <c r="M234" s="3" t="str">
        <f>IFERROR(MID(D234,SEARCH("S_I_",D234,1),3),"")</f>
        <v>S_I</v>
      </c>
      <c r="N234" s="3" t="str">
        <f>IFERROR(MID(D234,SEARCH("C_I_",D234,1),3),"")</f>
        <v/>
      </c>
      <c r="O234" s="3" t="str">
        <f>IF(AND(M234="",N234=""),"Extra","")</f>
        <v/>
      </c>
      <c r="P234" s="3" t="str">
        <f>IF(Q234=0,"TERCEIRO","MRS")</f>
        <v>MRS</v>
      </c>
      <c r="Q234" s="8" t="str">
        <f>IFERROR(VLOOKUP(L234,#REF!,4,0),"0,00")</f>
        <v>0,00</v>
      </c>
      <c r="R234" s="9" t="s">
        <v>42</v>
      </c>
      <c r="S234" s="9">
        <f>COUNTIF(D234,"*_SEG_*")</f>
        <v>0</v>
      </c>
      <c r="T234" s="9">
        <f>COUNTIF(D234,"*_MAN_*")</f>
        <v>0</v>
      </c>
      <c r="U234" s="9">
        <f>(RIGHT(D234,4))*1</f>
        <v>30</v>
      </c>
      <c r="V234" s="9" t="str">
        <f>IFERROR(VLOOKUP(I234,#REF!,2,0),"Sinalização")</f>
        <v>Sinalização</v>
      </c>
    </row>
    <row r="235" spans="1:22" x14ac:dyDescent="0.25">
      <c r="A235" s="3" t="s">
        <v>22</v>
      </c>
      <c r="B235" s="4">
        <v>23518555</v>
      </c>
      <c r="C235" s="5" t="s">
        <v>23</v>
      </c>
      <c r="D235" s="6" t="s">
        <v>922</v>
      </c>
      <c r="E235" s="6" t="s">
        <v>25</v>
      </c>
      <c r="F235" s="11">
        <v>46169</v>
      </c>
      <c r="G235" s="6" t="s">
        <v>1079</v>
      </c>
      <c r="H235" s="7" t="s">
        <v>26</v>
      </c>
      <c r="I235" s="7" t="s">
        <v>691</v>
      </c>
      <c r="J235" s="7" t="s">
        <v>923</v>
      </c>
      <c r="K235" s="7" t="s">
        <v>29</v>
      </c>
      <c r="L235" s="3" t="str">
        <f>E235&amp;D235</f>
        <v>E.SP.IPAEE_INS_CONF_S_I_CDV DETETORA CA_0030</v>
      </c>
      <c r="M235" s="3" t="str">
        <f>IFERROR(MID(D235,SEARCH("S_I_",D235,1),3),"")</f>
        <v>S_I</v>
      </c>
      <c r="N235" s="3" t="str">
        <f>IFERROR(MID(D235,SEARCH("C_I_",D235,1),3),"")</f>
        <v/>
      </c>
      <c r="O235" s="3" t="str">
        <f>IF(AND(M235="",N235=""),"Extra","")</f>
        <v/>
      </c>
      <c r="P235" s="3" t="str">
        <f>IF(Q235=0,"TERCEIRO","MRS")</f>
        <v>MRS</v>
      </c>
      <c r="Q235" s="8" t="str">
        <f>IFERROR(VLOOKUP(L235,#REF!,4,0),"0,00")</f>
        <v>0,00</v>
      </c>
      <c r="R235" s="9" t="s">
        <v>42</v>
      </c>
      <c r="S235" s="9">
        <f>COUNTIF(D235,"*_SEG_*")</f>
        <v>0</v>
      </c>
      <c r="T235" s="9">
        <f>COUNTIF(D235,"*_MAN_*")</f>
        <v>0</v>
      </c>
      <c r="U235" s="9">
        <f>(RIGHT(D235,4))*1</f>
        <v>30</v>
      </c>
      <c r="V235" s="9" t="str">
        <f>IFERROR(VLOOKUP(I235,#REF!,2,0),"Sinalização")</f>
        <v>Sinalização</v>
      </c>
    </row>
    <row r="236" spans="1:22" x14ac:dyDescent="0.25">
      <c r="A236" s="3" t="s">
        <v>22</v>
      </c>
      <c r="B236" s="4">
        <v>23518556</v>
      </c>
      <c r="C236" s="5" t="s">
        <v>23</v>
      </c>
      <c r="D236" s="6" t="s">
        <v>922</v>
      </c>
      <c r="E236" s="6" t="s">
        <v>25</v>
      </c>
      <c r="F236" s="11">
        <v>46169</v>
      </c>
      <c r="G236" s="6" t="s">
        <v>1079</v>
      </c>
      <c r="H236" s="7" t="s">
        <v>26</v>
      </c>
      <c r="I236" s="7" t="s">
        <v>405</v>
      </c>
      <c r="J236" s="7" t="s">
        <v>923</v>
      </c>
      <c r="K236" s="7" t="s">
        <v>29</v>
      </c>
      <c r="L236" s="3" t="str">
        <f>E236&amp;D236</f>
        <v>E.SP.IPAEE_INS_CONF_S_I_CDV DETETORA CA_0030</v>
      </c>
      <c r="M236" s="3" t="str">
        <f>IFERROR(MID(D236,SEARCH("S_I_",D236,1),3),"")</f>
        <v>S_I</v>
      </c>
      <c r="N236" s="3" t="str">
        <f>IFERROR(MID(D236,SEARCH("C_I_",D236,1),3),"")</f>
        <v/>
      </c>
      <c r="O236" s="3" t="str">
        <f>IF(AND(M236="",N236=""),"Extra","")</f>
        <v/>
      </c>
      <c r="P236" s="3" t="str">
        <f>IF(Q236=0,"TERCEIRO","MRS")</f>
        <v>MRS</v>
      </c>
      <c r="Q236" s="8" t="str">
        <f>IFERROR(VLOOKUP(L236,#REF!,4,0),"0,00")</f>
        <v>0,00</v>
      </c>
      <c r="R236" s="9" t="s">
        <v>42</v>
      </c>
      <c r="S236" s="9">
        <f>COUNTIF(D236,"*_SEG_*")</f>
        <v>0</v>
      </c>
      <c r="T236" s="9">
        <f>COUNTIF(D236,"*_MAN_*")</f>
        <v>0</v>
      </c>
      <c r="U236" s="9">
        <f>(RIGHT(D236,4))*1</f>
        <v>30</v>
      </c>
      <c r="V236" s="9" t="str">
        <f>IFERROR(VLOOKUP(I236,#REF!,2,0),"Sinalização")</f>
        <v>Sinalização</v>
      </c>
    </row>
    <row r="237" spans="1:22" x14ac:dyDescent="0.25">
      <c r="A237" s="3" t="s">
        <v>22</v>
      </c>
      <c r="B237" s="4">
        <v>23518557</v>
      </c>
      <c r="C237" s="5" t="s">
        <v>23</v>
      </c>
      <c r="D237" s="6" t="s">
        <v>922</v>
      </c>
      <c r="E237" s="6" t="s">
        <v>25</v>
      </c>
      <c r="F237" s="11">
        <v>46169</v>
      </c>
      <c r="G237" s="6" t="s">
        <v>1079</v>
      </c>
      <c r="H237" s="7" t="s">
        <v>32</v>
      </c>
      <c r="I237" s="7" t="s">
        <v>400</v>
      </c>
      <c r="J237" s="7" t="s">
        <v>923</v>
      </c>
      <c r="K237" s="7" t="s">
        <v>29</v>
      </c>
      <c r="L237" s="3" t="str">
        <f>E237&amp;D237</f>
        <v>E.SP.IPAEE_INS_CONF_S_I_CDV DETETORA CA_0030</v>
      </c>
      <c r="M237" s="3" t="str">
        <f>IFERROR(MID(D237,SEARCH("S_I_",D237,1),3),"")</f>
        <v>S_I</v>
      </c>
      <c r="N237" s="3" t="str">
        <f>IFERROR(MID(D237,SEARCH("C_I_",D237,1),3),"")</f>
        <v/>
      </c>
      <c r="O237" s="3" t="str">
        <f>IF(AND(M237="",N237=""),"Extra","")</f>
        <v/>
      </c>
      <c r="P237" s="3" t="str">
        <f>IF(Q237=0,"TERCEIRO","MRS")</f>
        <v>MRS</v>
      </c>
      <c r="Q237" s="8" t="str">
        <f>IFERROR(VLOOKUP(L237,#REF!,4,0),"0,00")</f>
        <v>0,00</v>
      </c>
      <c r="R237" s="9" t="s">
        <v>42</v>
      </c>
      <c r="S237" s="9">
        <f>COUNTIF(D237,"*_SEG_*")</f>
        <v>0</v>
      </c>
      <c r="T237" s="9">
        <f>COUNTIF(D237,"*_MAN_*")</f>
        <v>0</v>
      </c>
      <c r="U237" s="9">
        <f>(RIGHT(D237,4))*1</f>
        <v>30</v>
      </c>
      <c r="V237" s="9" t="str">
        <f>IFERROR(VLOOKUP(I237,#REF!,2,0),"Sinalização")</f>
        <v>Sinalização</v>
      </c>
    </row>
    <row r="238" spans="1:22" x14ac:dyDescent="0.25">
      <c r="A238" s="3" t="s">
        <v>22</v>
      </c>
      <c r="B238" s="4">
        <v>23518559</v>
      </c>
      <c r="C238" s="5" t="s">
        <v>23</v>
      </c>
      <c r="D238" s="6" t="s">
        <v>922</v>
      </c>
      <c r="E238" s="6" t="s">
        <v>25</v>
      </c>
      <c r="F238" s="11">
        <v>46169</v>
      </c>
      <c r="G238" s="6" t="s">
        <v>1079</v>
      </c>
      <c r="H238" s="7" t="s">
        <v>32</v>
      </c>
      <c r="I238" s="7" t="s">
        <v>692</v>
      </c>
      <c r="J238" s="7" t="s">
        <v>923</v>
      </c>
      <c r="K238" s="7" t="s">
        <v>29</v>
      </c>
      <c r="L238" s="3" t="str">
        <f>E238&amp;D238</f>
        <v>E.SP.IPAEE_INS_CONF_S_I_CDV DETETORA CA_0030</v>
      </c>
      <c r="M238" s="3" t="str">
        <f>IFERROR(MID(D238,SEARCH("S_I_",D238,1),3),"")</f>
        <v>S_I</v>
      </c>
      <c r="N238" s="3" t="str">
        <f>IFERROR(MID(D238,SEARCH("C_I_",D238,1),3),"")</f>
        <v/>
      </c>
      <c r="O238" s="3" t="str">
        <f>IF(AND(M238="",N238=""),"Extra","")</f>
        <v/>
      </c>
      <c r="P238" s="3" t="str">
        <f>IF(Q238=0,"TERCEIRO","MRS")</f>
        <v>MRS</v>
      </c>
      <c r="Q238" s="8" t="str">
        <f>IFERROR(VLOOKUP(L238,#REF!,4,0),"0,00")</f>
        <v>0,00</v>
      </c>
      <c r="R238" s="9" t="s">
        <v>42</v>
      </c>
      <c r="S238" s="9">
        <f>COUNTIF(D238,"*_SEG_*")</f>
        <v>0</v>
      </c>
      <c r="T238" s="9">
        <f>COUNTIF(D238,"*_MAN_*")</f>
        <v>0</v>
      </c>
      <c r="U238" s="9">
        <f>(RIGHT(D238,4))*1</f>
        <v>30</v>
      </c>
      <c r="V238" s="9" t="str">
        <f>IFERROR(VLOOKUP(I238,#REF!,2,0),"Sinalização")</f>
        <v>Sinalização</v>
      </c>
    </row>
    <row r="239" spans="1:22" x14ac:dyDescent="0.25">
      <c r="A239" s="3" t="s">
        <v>22</v>
      </c>
      <c r="B239" s="4">
        <v>23518560</v>
      </c>
      <c r="C239" s="5" t="s">
        <v>23</v>
      </c>
      <c r="D239" s="6" t="s">
        <v>922</v>
      </c>
      <c r="E239" s="6" t="s">
        <v>25</v>
      </c>
      <c r="F239" s="11">
        <v>46169</v>
      </c>
      <c r="G239" s="6" t="s">
        <v>1079</v>
      </c>
      <c r="H239" s="7" t="s">
        <v>26</v>
      </c>
      <c r="I239" s="7" t="s">
        <v>1061</v>
      </c>
      <c r="J239" s="7" t="s">
        <v>923</v>
      </c>
      <c r="K239" s="7" t="s">
        <v>29</v>
      </c>
      <c r="L239" s="3" t="str">
        <f>E239&amp;D239</f>
        <v>E.SP.IPAEE_INS_CONF_S_I_CDV DETETORA CA_0030</v>
      </c>
      <c r="M239" s="3" t="str">
        <f>IFERROR(MID(D239,SEARCH("S_I_",D239,1),3),"")</f>
        <v>S_I</v>
      </c>
      <c r="N239" s="3" t="str">
        <f>IFERROR(MID(D239,SEARCH("C_I_",D239,1),3),"")</f>
        <v/>
      </c>
      <c r="O239" s="3" t="str">
        <f>IF(AND(M239="",N239=""),"Extra","")</f>
        <v/>
      </c>
      <c r="P239" s="3" t="str">
        <f>IF(Q239=0,"TERCEIRO","MRS")</f>
        <v>MRS</v>
      </c>
      <c r="Q239" s="8" t="str">
        <f>IFERROR(VLOOKUP(L239,#REF!,4,0),"0,00")</f>
        <v>0,00</v>
      </c>
      <c r="R239" s="9" t="s">
        <v>42</v>
      </c>
      <c r="S239" s="9">
        <f>COUNTIF(D239,"*_SEG_*")</f>
        <v>0</v>
      </c>
      <c r="T239" s="9">
        <f>COUNTIF(D239,"*_MAN_*")</f>
        <v>0</v>
      </c>
      <c r="U239" s="9">
        <f>(RIGHT(D239,4))*1</f>
        <v>30</v>
      </c>
      <c r="V239" s="9" t="str">
        <f>IFERROR(VLOOKUP(I239,#REF!,2,0),"Sinalização")</f>
        <v>Sinalização</v>
      </c>
    </row>
    <row r="240" spans="1:22" x14ac:dyDescent="0.25">
      <c r="A240" s="3" t="s">
        <v>22</v>
      </c>
      <c r="B240" s="4">
        <v>23518563</v>
      </c>
      <c r="C240" s="5" t="s">
        <v>23</v>
      </c>
      <c r="D240" s="6" t="s">
        <v>922</v>
      </c>
      <c r="E240" s="6" t="s">
        <v>25</v>
      </c>
      <c r="F240" s="11">
        <v>46169</v>
      </c>
      <c r="G240" s="6" t="s">
        <v>1079</v>
      </c>
      <c r="H240" s="7" t="s">
        <v>26</v>
      </c>
      <c r="I240" s="7" t="s">
        <v>731</v>
      </c>
      <c r="J240" s="7" t="s">
        <v>923</v>
      </c>
      <c r="K240" s="7" t="s">
        <v>29</v>
      </c>
      <c r="L240" s="3" t="str">
        <f>E240&amp;D240</f>
        <v>E.SP.IPAEE_INS_CONF_S_I_CDV DETETORA CA_0030</v>
      </c>
      <c r="M240" s="3" t="str">
        <f>IFERROR(MID(D240,SEARCH("S_I_",D240,1),3),"")</f>
        <v>S_I</v>
      </c>
      <c r="N240" s="3" t="str">
        <f>IFERROR(MID(D240,SEARCH("C_I_",D240,1),3),"")</f>
        <v/>
      </c>
      <c r="O240" s="3" t="str">
        <f>IF(AND(M240="",N240=""),"Extra","")</f>
        <v/>
      </c>
      <c r="P240" s="3" t="str">
        <f>IF(Q240=0,"TERCEIRO","MRS")</f>
        <v>MRS</v>
      </c>
      <c r="Q240" s="8" t="str">
        <f>IFERROR(VLOOKUP(L240,#REF!,4,0),"0,00")</f>
        <v>0,00</v>
      </c>
      <c r="R240" s="9" t="s">
        <v>42</v>
      </c>
      <c r="S240" s="9">
        <f>COUNTIF(D240,"*_SEG_*")</f>
        <v>0</v>
      </c>
      <c r="T240" s="9">
        <f>COUNTIF(D240,"*_MAN_*")</f>
        <v>0</v>
      </c>
      <c r="U240" s="9">
        <f>(RIGHT(D240,4))*1</f>
        <v>30</v>
      </c>
      <c r="V240" s="9" t="str">
        <f>IFERROR(VLOOKUP(I240,#REF!,2,0),"Sinalização")</f>
        <v>Sinalização</v>
      </c>
    </row>
    <row r="241" spans="1:22" x14ac:dyDescent="0.25">
      <c r="A241" s="3" t="s">
        <v>22</v>
      </c>
      <c r="B241" s="4">
        <v>23518665</v>
      </c>
      <c r="C241" s="5" t="s">
        <v>23</v>
      </c>
      <c r="D241" s="6" t="s">
        <v>928</v>
      </c>
      <c r="E241" s="6" t="s">
        <v>25</v>
      </c>
      <c r="F241" s="11">
        <v>46169</v>
      </c>
      <c r="G241" s="6" t="s">
        <v>1079</v>
      </c>
      <c r="H241" s="7" t="s">
        <v>32</v>
      </c>
      <c r="I241" s="7" t="s">
        <v>401</v>
      </c>
      <c r="J241" s="7" t="s">
        <v>910</v>
      </c>
      <c r="K241" s="7" t="s">
        <v>29</v>
      </c>
      <c r="L241" s="3" t="str">
        <f>E241&amp;D241</f>
        <v>E.SP.IPAEE_MAN_CONF_S_I_SINAL L UNIFO AUT_0030</v>
      </c>
      <c r="M241" s="3" t="str">
        <f>IFERROR(MID(D241,SEARCH("S_I_",D241,1),3),"")</f>
        <v>S_I</v>
      </c>
      <c r="N241" s="3" t="str">
        <f>IFERROR(MID(D241,SEARCH("C_I_",D241,1),3),"")</f>
        <v/>
      </c>
      <c r="O241" s="3" t="str">
        <f>IF(AND(M241="",N241=""),"Extra","")</f>
        <v/>
      </c>
      <c r="P241" s="3" t="str">
        <f>IF(Q241=0,"TERCEIRO","MRS")</f>
        <v>MRS</v>
      </c>
      <c r="Q241" s="8" t="str">
        <f>IFERROR(VLOOKUP(L241,#REF!,4,0),"0,00")</f>
        <v>0,00</v>
      </c>
      <c r="R241" s="9" t="s">
        <v>42</v>
      </c>
      <c r="S241" s="9">
        <f>COUNTIF(D241,"*_SEG_*")</f>
        <v>0</v>
      </c>
      <c r="T241" s="9">
        <f>COUNTIF(D241,"*_MAN_*")</f>
        <v>1</v>
      </c>
      <c r="U241" s="9">
        <f>(RIGHT(D241,4))*1</f>
        <v>30</v>
      </c>
      <c r="V241" s="9" t="str">
        <f>IFERROR(VLOOKUP(I241,#REF!,2,0),"Sinalização")</f>
        <v>Sinalização</v>
      </c>
    </row>
    <row r="242" spans="1:22" x14ac:dyDescent="0.25">
      <c r="A242" s="3" t="s">
        <v>22</v>
      </c>
      <c r="B242" s="4">
        <v>23518666</v>
      </c>
      <c r="C242" s="5" t="s">
        <v>23</v>
      </c>
      <c r="D242" s="6" t="s">
        <v>928</v>
      </c>
      <c r="E242" s="6" t="s">
        <v>25</v>
      </c>
      <c r="F242" s="11">
        <v>46169</v>
      </c>
      <c r="G242" s="6" t="s">
        <v>1079</v>
      </c>
      <c r="H242" s="7" t="s">
        <v>32</v>
      </c>
      <c r="I242" s="7" t="s">
        <v>402</v>
      </c>
      <c r="J242" s="7" t="s">
        <v>910</v>
      </c>
      <c r="K242" s="7" t="s">
        <v>29</v>
      </c>
      <c r="L242" s="3" t="str">
        <f>E242&amp;D242</f>
        <v>E.SP.IPAEE_MAN_CONF_S_I_SINAL L UNIFO AUT_0030</v>
      </c>
      <c r="M242" s="3" t="str">
        <f>IFERROR(MID(D242,SEARCH("S_I_",D242,1),3),"")</f>
        <v>S_I</v>
      </c>
      <c r="N242" s="3" t="str">
        <f>IFERROR(MID(D242,SEARCH("C_I_",D242,1),3),"")</f>
        <v/>
      </c>
      <c r="O242" s="3" t="str">
        <f>IF(AND(M242="",N242=""),"Extra","")</f>
        <v/>
      </c>
      <c r="P242" s="3" t="str">
        <f>IF(Q242=0,"TERCEIRO","MRS")</f>
        <v>MRS</v>
      </c>
      <c r="Q242" s="8" t="str">
        <f>IFERROR(VLOOKUP(L242,#REF!,4,0),"0,00")</f>
        <v>0,00</v>
      </c>
      <c r="R242" s="9" t="s">
        <v>42</v>
      </c>
      <c r="S242" s="9">
        <f>COUNTIF(D242,"*_SEG_*")</f>
        <v>0</v>
      </c>
      <c r="T242" s="9">
        <f>COUNTIF(D242,"*_MAN_*")</f>
        <v>1</v>
      </c>
      <c r="U242" s="9">
        <f>(RIGHT(D242,4))*1</f>
        <v>30</v>
      </c>
      <c r="V242" s="9" t="str">
        <f>IFERROR(VLOOKUP(I242,#REF!,2,0),"Sinalização")</f>
        <v>Sinalização</v>
      </c>
    </row>
    <row r="243" spans="1:22" x14ac:dyDescent="0.25">
      <c r="A243" s="3" t="s">
        <v>22</v>
      </c>
      <c r="B243" s="4">
        <v>23518667</v>
      </c>
      <c r="C243" s="5" t="s">
        <v>23</v>
      </c>
      <c r="D243" s="6" t="s">
        <v>928</v>
      </c>
      <c r="E243" s="6" t="s">
        <v>25</v>
      </c>
      <c r="F243" s="11">
        <v>46169</v>
      </c>
      <c r="G243" s="6" t="s">
        <v>1079</v>
      </c>
      <c r="H243" s="7" t="s">
        <v>26</v>
      </c>
      <c r="I243" s="7" t="s">
        <v>403</v>
      </c>
      <c r="J243" s="7" t="s">
        <v>910</v>
      </c>
      <c r="K243" s="7" t="s">
        <v>29</v>
      </c>
      <c r="L243" s="3" t="str">
        <f>E243&amp;D243</f>
        <v>E.SP.IPAEE_MAN_CONF_S_I_SINAL L UNIFO AUT_0030</v>
      </c>
      <c r="M243" s="3" t="str">
        <f>IFERROR(MID(D243,SEARCH("S_I_",D243,1),3),"")</f>
        <v>S_I</v>
      </c>
      <c r="N243" s="3" t="str">
        <f>IFERROR(MID(D243,SEARCH("C_I_",D243,1),3),"")</f>
        <v/>
      </c>
      <c r="O243" s="3" t="str">
        <f>IF(AND(M243="",N243=""),"Extra","")</f>
        <v/>
      </c>
      <c r="P243" s="3" t="str">
        <f>IF(Q243=0,"TERCEIRO","MRS")</f>
        <v>MRS</v>
      </c>
      <c r="Q243" s="8" t="str">
        <f>IFERROR(VLOOKUP(L243,#REF!,4,0),"0,00")</f>
        <v>0,00</v>
      </c>
      <c r="R243" s="9" t="s">
        <v>42</v>
      </c>
      <c r="S243" s="9">
        <f>COUNTIF(D243,"*_SEG_*")</f>
        <v>0</v>
      </c>
      <c r="T243" s="9">
        <f>COUNTIF(D243,"*_MAN_*")</f>
        <v>1</v>
      </c>
      <c r="U243" s="9">
        <f>(RIGHT(D243,4))*1</f>
        <v>30</v>
      </c>
      <c r="V243" s="9" t="str">
        <f>IFERROR(VLOOKUP(I243,#REF!,2,0),"Sinalização")</f>
        <v>Sinalização</v>
      </c>
    </row>
    <row r="244" spans="1:22" x14ac:dyDescent="0.25">
      <c r="A244" s="3" t="s">
        <v>22</v>
      </c>
      <c r="B244" s="4">
        <v>23518668</v>
      </c>
      <c r="C244" s="5" t="s">
        <v>23</v>
      </c>
      <c r="D244" s="6" t="s">
        <v>928</v>
      </c>
      <c r="E244" s="6" t="s">
        <v>25</v>
      </c>
      <c r="F244" s="11">
        <v>46169</v>
      </c>
      <c r="G244" s="6" t="s">
        <v>1079</v>
      </c>
      <c r="H244" s="7" t="s">
        <v>26</v>
      </c>
      <c r="I244" s="7" t="s">
        <v>404</v>
      </c>
      <c r="J244" s="7" t="s">
        <v>910</v>
      </c>
      <c r="K244" s="7" t="s">
        <v>29</v>
      </c>
      <c r="L244" s="3" t="str">
        <f>E244&amp;D244</f>
        <v>E.SP.IPAEE_MAN_CONF_S_I_SINAL L UNIFO AUT_0030</v>
      </c>
      <c r="M244" s="3" t="str">
        <f>IFERROR(MID(D244,SEARCH("S_I_",D244,1),3),"")</f>
        <v>S_I</v>
      </c>
      <c r="N244" s="3" t="str">
        <f>IFERROR(MID(D244,SEARCH("C_I_",D244,1),3),"")</f>
        <v/>
      </c>
      <c r="O244" s="3" t="str">
        <f>IF(AND(M244="",N244=""),"Extra","")</f>
        <v/>
      </c>
      <c r="P244" s="3" t="str">
        <f>IF(Q244=0,"TERCEIRO","MRS")</f>
        <v>MRS</v>
      </c>
      <c r="Q244" s="8" t="str">
        <f>IFERROR(VLOOKUP(L244,#REF!,4,0),"0,00")</f>
        <v>0,00</v>
      </c>
      <c r="R244" s="9" t="s">
        <v>42</v>
      </c>
      <c r="S244" s="9">
        <f>COUNTIF(D244,"*_SEG_*")</f>
        <v>0</v>
      </c>
      <c r="T244" s="9">
        <f>COUNTIF(D244,"*_MAN_*")</f>
        <v>1</v>
      </c>
      <c r="U244" s="9">
        <f>(RIGHT(D244,4))*1</f>
        <v>30</v>
      </c>
      <c r="V244" s="9" t="str">
        <f>IFERROR(VLOOKUP(I244,#REF!,2,0),"Sinalização")</f>
        <v>Sinalização</v>
      </c>
    </row>
    <row r="245" spans="1:22" x14ac:dyDescent="0.25">
      <c r="A245" s="3" t="s">
        <v>22</v>
      </c>
      <c r="B245" s="4">
        <v>23518723</v>
      </c>
      <c r="C245" s="5" t="s">
        <v>23</v>
      </c>
      <c r="D245" s="6" t="s">
        <v>1062</v>
      </c>
      <c r="E245" s="6" t="s">
        <v>25</v>
      </c>
      <c r="F245" s="11">
        <v>46169</v>
      </c>
      <c r="G245" s="6" t="s">
        <v>1079</v>
      </c>
      <c r="H245" s="7" t="s">
        <v>32</v>
      </c>
      <c r="I245" s="7" t="s">
        <v>306</v>
      </c>
      <c r="J245" s="7" t="s">
        <v>1063</v>
      </c>
      <c r="K245" s="7" t="s">
        <v>29</v>
      </c>
      <c r="L245" s="3" t="str">
        <f>E245&amp;D245</f>
        <v>E.SP.IPAEE_INS_CONF_S_I_MAQ CHAVE M2/M3_0030</v>
      </c>
      <c r="M245" s="3" t="str">
        <f>IFERROR(MID(D245,SEARCH("S_I_",D245,1),3),"")</f>
        <v>S_I</v>
      </c>
      <c r="N245" s="3" t="str">
        <f>IFERROR(MID(D245,SEARCH("C_I_",D245,1),3),"")</f>
        <v/>
      </c>
      <c r="O245" s="3" t="str">
        <f>IF(AND(M245="",N245=""),"Extra","")</f>
        <v/>
      </c>
      <c r="P245" s="3" t="str">
        <f>IF(Q245=0,"TERCEIRO","MRS")</f>
        <v>MRS</v>
      </c>
      <c r="Q245" s="8" t="str">
        <f>IFERROR(VLOOKUP(L245,#REF!,4,0),"0,00")</f>
        <v>0,00</v>
      </c>
      <c r="R245" s="9" t="s">
        <v>42</v>
      </c>
      <c r="S245" s="9">
        <f>COUNTIF(D245,"*_SEG_*")</f>
        <v>0</v>
      </c>
      <c r="T245" s="9">
        <f>COUNTIF(D245,"*_MAN_*")</f>
        <v>0</v>
      </c>
      <c r="U245" s="9">
        <f>(RIGHT(D245,4))*1</f>
        <v>30</v>
      </c>
      <c r="V245" s="9" t="str">
        <f>IFERROR(VLOOKUP(I245,#REF!,2,0),"Sinalização")</f>
        <v>Sinalização</v>
      </c>
    </row>
    <row r="246" spans="1:22" x14ac:dyDescent="0.25">
      <c r="A246" s="3" t="s">
        <v>22</v>
      </c>
      <c r="B246" s="4">
        <v>23518725</v>
      </c>
      <c r="C246" s="5" t="s">
        <v>23</v>
      </c>
      <c r="D246" s="6" t="s">
        <v>1062</v>
      </c>
      <c r="E246" s="6" t="s">
        <v>25</v>
      </c>
      <c r="F246" s="11">
        <v>46169</v>
      </c>
      <c r="G246" s="6" t="s">
        <v>1079</v>
      </c>
      <c r="H246" s="7" t="s">
        <v>32</v>
      </c>
      <c r="I246" s="7" t="s">
        <v>80</v>
      </c>
      <c r="J246" s="7" t="s">
        <v>1063</v>
      </c>
      <c r="K246" s="7" t="s">
        <v>29</v>
      </c>
      <c r="L246" s="3" t="str">
        <f>E246&amp;D246</f>
        <v>E.SP.IPAEE_INS_CONF_S_I_MAQ CHAVE M2/M3_0030</v>
      </c>
      <c r="M246" s="3" t="str">
        <f>IFERROR(MID(D246,SEARCH("S_I_",D246,1),3),"")</f>
        <v>S_I</v>
      </c>
      <c r="N246" s="3" t="str">
        <f>IFERROR(MID(D246,SEARCH("C_I_",D246,1),3),"")</f>
        <v/>
      </c>
      <c r="O246" s="3" t="str">
        <f>IF(AND(M246="",N246=""),"Extra","")</f>
        <v/>
      </c>
      <c r="P246" s="3" t="str">
        <f>IF(Q246=0,"TERCEIRO","MRS")</f>
        <v>MRS</v>
      </c>
      <c r="Q246" s="8" t="str">
        <f>IFERROR(VLOOKUP(L246,#REF!,4,0),"0,00")</f>
        <v>0,00</v>
      </c>
      <c r="R246" s="9" t="s">
        <v>42</v>
      </c>
      <c r="S246" s="9">
        <f>COUNTIF(D246,"*_SEG_*")</f>
        <v>0</v>
      </c>
      <c r="T246" s="9">
        <f>COUNTIF(D246,"*_MAN_*")</f>
        <v>0</v>
      </c>
      <c r="U246" s="9">
        <f>(RIGHT(D246,4))*1</f>
        <v>30</v>
      </c>
      <c r="V246" s="9" t="str">
        <f>IFERROR(VLOOKUP(I246,#REF!,2,0),"Sinalização")</f>
        <v>Sinalização</v>
      </c>
    </row>
    <row r="247" spans="1:22" x14ac:dyDescent="0.25">
      <c r="A247" s="3" t="s">
        <v>22</v>
      </c>
      <c r="B247" s="4">
        <v>23518726</v>
      </c>
      <c r="C247" s="5" t="s">
        <v>23</v>
      </c>
      <c r="D247" s="6" t="s">
        <v>1062</v>
      </c>
      <c r="E247" s="6" t="s">
        <v>25</v>
      </c>
      <c r="F247" s="11">
        <v>46169</v>
      </c>
      <c r="G247" s="6" t="s">
        <v>1079</v>
      </c>
      <c r="H247" s="7" t="s">
        <v>26</v>
      </c>
      <c r="I247" s="7" t="s">
        <v>123</v>
      </c>
      <c r="J247" s="7" t="s">
        <v>1063</v>
      </c>
      <c r="K247" s="7" t="s">
        <v>29</v>
      </c>
      <c r="L247" s="3" t="str">
        <f>E247&amp;D247</f>
        <v>E.SP.IPAEE_INS_CONF_S_I_MAQ CHAVE M2/M3_0030</v>
      </c>
      <c r="M247" s="3" t="str">
        <f>IFERROR(MID(D247,SEARCH("S_I_",D247,1),3),"")</f>
        <v>S_I</v>
      </c>
      <c r="N247" s="3" t="str">
        <f>IFERROR(MID(D247,SEARCH("C_I_",D247,1),3),"")</f>
        <v/>
      </c>
      <c r="O247" s="3" t="str">
        <f>IF(AND(M247="",N247=""),"Extra","")</f>
        <v/>
      </c>
      <c r="P247" s="3" t="str">
        <f>IF(Q247=0,"TERCEIRO","MRS")</f>
        <v>MRS</v>
      </c>
      <c r="Q247" s="8" t="str">
        <f>IFERROR(VLOOKUP(L247,#REF!,4,0),"0,00")</f>
        <v>0,00</v>
      </c>
      <c r="R247" s="9" t="s">
        <v>42</v>
      </c>
      <c r="S247" s="9">
        <f>COUNTIF(D247,"*_SEG_*")</f>
        <v>0</v>
      </c>
      <c r="T247" s="9">
        <f>COUNTIF(D247,"*_MAN_*")</f>
        <v>0</v>
      </c>
      <c r="U247" s="9">
        <f>(RIGHT(D247,4))*1</f>
        <v>30</v>
      </c>
      <c r="V247" s="9" t="str">
        <f>IFERROR(VLOOKUP(I247,#REF!,2,0),"Sinalização")</f>
        <v>Sinalização</v>
      </c>
    </row>
    <row r="248" spans="1:22" x14ac:dyDescent="0.25">
      <c r="A248" s="3" t="s">
        <v>22</v>
      </c>
      <c r="B248" s="4">
        <v>23518727</v>
      </c>
      <c r="C248" s="5" t="s">
        <v>23</v>
      </c>
      <c r="D248" s="6" t="s">
        <v>1062</v>
      </c>
      <c r="E248" s="6" t="s">
        <v>25</v>
      </c>
      <c r="F248" s="11">
        <v>46169</v>
      </c>
      <c r="G248" s="6" t="s">
        <v>1079</v>
      </c>
      <c r="H248" s="7" t="s">
        <v>26</v>
      </c>
      <c r="I248" s="7" t="s">
        <v>633</v>
      </c>
      <c r="J248" s="7" t="s">
        <v>1063</v>
      </c>
      <c r="K248" s="7" t="s">
        <v>29</v>
      </c>
      <c r="L248" s="3" t="str">
        <f>E248&amp;D248</f>
        <v>E.SP.IPAEE_INS_CONF_S_I_MAQ CHAVE M2/M3_0030</v>
      </c>
      <c r="M248" s="3" t="str">
        <f>IFERROR(MID(D248,SEARCH("S_I_",D248,1),3),"")</f>
        <v>S_I</v>
      </c>
      <c r="N248" s="3" t="str">
        <f>IFERROR(MID(D248,SEARCH("C_I_",D248,1),3),"")</f>
        <v/>
      </c>
      <c r="O248" s="3" t="str">
        <f>IF(AND(M248="",N248=""),"Extra","")</f>
        <v/>
      </c>
      <c r="P248" s="3" t="str">
        <f>IF(Q248=0,"TERCEIRO","MRS")</f>
        <v>MRS</v>
      </c>
      <c r="Q248" s="8" t="str">
        <f>IFERROR(VLOOKUP(L248,#REF!,4,0),"0,00")</f>
        <v>0,00</v>
      </c>
      <c r="R248" s="9" t="s">
        <v>42</v>
      </c>
      <c r="S248" s="9">
        <f>COUNTIF(D248,"*_SEG_*")</f>
        <v>0</v>
      </c>
      <c r="T248" s="9">
        <f>COUNTIF(D248,"*_MAN_*")</f>
        <v>0</v>
      </c>
      <c r="U248" s="9">
        <f>(RIGHT(D248,4))*1</f>
        <v>30</v>
      </c>
      <c r="V248" s="9" t="str">
        <f>IFERROR(VLOOKUP(I248,#REF!,2,0),"Sinalização")</f>
        <v>Sinalização</v>
      </c>
    </row>
    <row r="249" spans="1:22" x14ac:dyDescent="0.25">
      <c r="A249" s="3" t="s">
        <v>22</v>
      </c>
      <c r="B249" s="4">
        <v>23518728</v>
      </c>
      <c r="C249" s="5" t="s">
        <v>23</v>
      </c>
      <c r="D249" s="6" t="s">
        <v>1062</v>
      </c>
      <c r="E249" s="6" t="s">
        <v>25</v>
      </c>
      <c r="F249" s="11">
        <v>46169</v>
      </c>
      <c r="G249" s="6" t="s">
        <v>1079</v>
      </c>
      <c r="H249" s="7" t="s">
        <v>32</v>
      </c>
      <c r="I249" s="7" t="s">
        <v>175</v>
      </c>
      <c r="J249" s="7" t="s">
        <v>1063</v>
      </c>
      <c r="K249" s="7" t="s">
        <v>29</v>
      </c>
      <c r="L249" s="3" t="str">
        <f>E249&amp;D249</f>
        <v>E.SP.IPAEE_INS_CONF_S_I_MAQ CHAVE M2/M3_0030</v>
      </c>
      <c r="M249" s="3" t="str">
        <f>IFERROR(MID(D249,SEARCH("S_I_",D249,1),3),"")</f>
        <v>S_I</v>
      </c>
      <c r="N249" s="3" t="str">
        <f>IFERROR(MID(D249,SEARCH("C_I_",D249,1),3),"")</f>
        <v/>
      </c>
      <c r="O249" s="3" t="str">
        <f>IF(AND(M249="",N249=""),"Extra","")</f>
        <v/>
      </c>
      <c r="P249" s="3" t="str">
        <f>IF(Q249=0,"TERCEIRO","MRS")</f>
        <v>MRS</v>
      </c>
      <c r="Q249" s="8" t="str">
        <f>IFERROR(VLOOKUP(L249,#REF!,4,0),"0,00")</f>
        <v>0,00</v>
      </c>
      <c r="R249" s="9" t="s">
        <v>42</v>
      </c>
      <c r="S249" s="9">
        <f>COUNTIF(D249,"*_SEG_*")</f>
        <v>0</v>
      </c>
      <c r="T249" s="9">
        <f>COUNTIF(D249,"*_MAN_*")</f>
        <v>0</v>
      </c>
      <c r="U249" s="9">
        <f>(RIGHT(D249,4))*1</f>
        <v>30</v>
      </c>
      <c r="V249" s="9" t="str">
        <f>IFERROR(VLOOKUP(I249,#REF!,2,0),"Sinalização")</f>
        <v>Sinalização</v>
      </c>
    </row>
    <row r="250" spans="1:22" x14ac:dyDescent="0.25">
      <c r="A250" s="3" t="s">
        <v>22</v>
      </c>
      <c r="B250" s="4">
        <v>23518732</v>
      </c>
      <c r="C250" s="5" t="s">
        <v>23</v>
      </c>
      <c r="D250" s="6" t="s">
        <v>1062</v>
      </c>
      <c r="E250" s="6" t="s">
        <v>25</v>
      </c>
      <c r="F250" s="11">
        <v>46169</v>
      </c>
      <c r="G250" s="6" t="s">
        <v>1079</v>
      </c>
      <c r="H250" s="7" t="s">
        <v>32</v>
      </c>
      <c r="I250" s="7" t="s">
        <v>304</v>
      </c>
      <c r="J250" s="7" t="s">
        <v>1063</v>
      </c>
      <c r="K250" s="7" t="s">
        <v>29</v>
      </c>
      <c r="L250" s="3" t="str">
        <f>E250&amp;D250</f>
        <v>E.SP.IPAEE_INS_CONF_S_I_MAQ CHAVE M2/M3_0030</v>
      </c>
      <c r="M250" s="3" t="str">
        <f>IFERROR(MID(D250,SEARCH("S_I_",D250,1),3),"")</f>
        <v>S_I</v>
      </c>
      <c r="N250" s="3" t="str">
        <f>IFERROR(MID(D250,SEARCH("C_I_",D250,1),3),"")</f>
        <v/>
      </c>
      <c r="O250" s="3" t="str">
        <f>IF(AND(M250="",N250=""),"Extra","")</f>
        <v/>
      </c>
      <c r="P250" s="3" t="str">
        <f>IF(Q250=0,"TERCEIRO","MRS")</f>
        <v>MRS</v>
      </c>
      <c r="Q250" s="8" t="str">
        <f>IFERROR(VLOOKUP(L250,#REF!,4,0),"0,00")</f>
        <v>0,00</v>
      </c>
      <c r="R250" s="9" t="s">
        <v>42</v>
      </c>
      <c r="S250" s="9">
        <f>COUNTIF(D250,"*_SEG_*")</f>
        <v>0</v>
      </c>
      <c r="T250" s="9">
        <f>COUNTIF(D250,"*_MAN_*")</f>
        <v>0</v>
      </c>
      <c r="U250" s="9">
        <f>(RIGHT(D250,4))*1</f>
        <v>30</v>
      </c>
      <c r="V250" s="9" t="str">
        <f>IFERROR(VLOOKUP(I250,#REF!,2,0),"Sinalização")</f>
        <v>Sinalização</v>
      </c>
    </row>
    <row r="251" spans="1:22" x14ac:dyDescent="0.25">
      <c r="A251" s="3" t="s">
        <v>22</v>
      </c>
      <c r="B251" s="4">
        <v>23518733</v>
      </c>
      <c r="C251" s="5" t="s">
        <v>23</v>
      </c>
      <c r="D251" s="6" t="s">
        <v>1062</v>
      </c>
      <c r="E251" s="6" t="s">
        <v>25</v>
      </c>
      <c r="F251" s="11">
        <v>46169</v>
      </c>
      <c r="G251" s="6" t="s">
        <v>1079</v>
      </c>
      <c r="H251" s="7" t="s">
        <v>26</v>
      </c>
      <c r="I251" s="7" t="s">
        <v>305</v>
      </c>
      <c r="J251" s="7" t="s">
        <v>1063</v>
      </c>
      <c r="K251" s="7" t="s">
        <v>29</v>
      </c>
      <c r="L251" s="3" t="str">
        <f>E251&amp;D251</f>
        <v>E.SP.IPAEE_INS_CONF_S_I_MAQ CHAVE M2/M3_0030</v>
      </c>
      <c r="M251" s="3" t="str">
        <f>IFERROR(MID(D251,SEARCH("S_I_",D251,1),3),"")</f>
        <v>S_I</v>
      </c>
      <c r="N251" s="3" t="str">
        <f>IFERROR(MID(D251,SEARCH("C_I_",D251,1),3),"")</f>
        <v/>
      </c>
      <c r="O251" s="3" t="str">
        <f>IF(AND(M251="",N251=""),"Extra","")</f>
        <v/>
      </c>
      <c r="P251" s="3" t="str">
        <f>IF(Q251=0,"TERCEIRO","MRS")</f>
        <v>MRS</v>
      </c>
      <c r="Q251" s="8" t="str">
        <f>IFERROR(VLOOKUP(L251,#REF!,4,0),"0,00")</f>
        <v>0,00</v>
      </c>
      <c r="R251" s="9" t="s">
        <v>42</v>
      </c>
      <c r="S251" s="9">
        <f>COUNTIF(D251,"*_SEG_*")</f>
        <v>0</v>
      </c>
      <c r="T251" s="9">
        <f>COUNTIF(D251,"*_MAN_*")</f>
        <v>0</v>
      </c>
      <c r="U251" s="9">
        <f>(RIGHT(D251,4))*1</f>
        <v>30</v>
      </c>
      <c r="V251" s="9" t="str">
        <f>IFERROR(VLOOKUP(I251,#REF!,2,0),"Sinalização")</f>
        <v>Sinalização</v>
      </c>
    </row>
    <row r="252" spans="1:22" x14ac:dyDescent="0.25">
      <c r="A252" s="3" t="s">
        <v>22</v>
      </c>
      <c r="B252" s="4">
        <v>23518774</v>
      </c>
      <c r="C252" s="5" t="s">
        <v>23</v>
      </c>
      <c r="D252" s="6" t="s">
        <v>808</v>
      </c>
      <c r="E252" s="6" t="s">
        <v>25</v>
      </c>
      <c r="F252" s="11">
        <v>46169</v>
      </c>
      <c r="G252" s="6" t="s">
        <v>1079</v>
      </c>
      <c r="H252" s="7" t="s">
        <v>26</v>
      </c>
      <c r="I252" s="7" t="s">
        <v>306</v>
      </c>
      <c r="J252" s="7" t="s">
        <v>810</v>
      </c>
      <c r="K252" s="7" t="s">
        <v>29</v>
      </c>
      <c r="L252" s="3" t="str">
        <f>E252&amp;D252</f>
        <v>E.SP.IPAEE_MAN_CONF_C_I_MAQ CHAVE M2/M3_0030</v>
      </c>
      <c r="M252" s="3" t="str">
        <f>IFERROR(MID(D252,SEARCH("S_I_",D252,1),3),"")</f>
        <v/>
      </c>
      <c r="N252" s="3" t="str">
        <f>IFERROR(MID(D252,SEARCH("C_I_",D252,1),3),"")</f>
        <v>C_I</v>
      </c>
      <c r="O252" s="3" t="str">
        <f>IF(AND(M252="",N252=""),"Extra","")</f>
        <v/>
      </c>
      <c r="P252" s="3" t="str">
        <f>IF(Q252=0,"TERCEIRO","MRS")</f>
        <v>MRS</v>
      </c>
      <c r="Q252" s="8" t="str">
        <f>IFERROR(VLOOKUP(L252,#REF!,4,0),"0,00")</f>
        <v>0,00</v>
      </c>
      <c r="R252" s="9" t="s">
        <v>42</v>
      </c>
      <c r="S252" s="9">
        <f>COUNTIF(D252,"*_SEG_*")</f>
        <v>0</v>
      </c>
      <c r="T252" s="9">
        <f>COUNTIF(D252,"*_MAN_*")</f>
        <v>1</v>
      </c>
      <c r="U252" s="9">
        <f>(RIGHT(D252,4))*1</f>
        <v>30</v>
      </c>
      <c r="V252" s="9" t="str">
        <f>IFERROR(VLOOKUP(I252,#REF!,2,0),"Sinalização")</f>
        <v>Sinalização</v>
      </c>
    </row>
    <row r="253" spans="1:22" x14ac:dyDescent="0.25">
      <c r="A253" s="3" t="s">
        <v>22</v>
      </c>
      <c r="B253" s="4">
        <v>23518775</v>
      </c>
      <c r="C253" s="5" t="s">
        <v>23</v>
      </c>
      <c r="D253" s="6" t="s">
        <v>808</v>
      </c>
      <c r="E253" s="6" t="s">
        <v>25</v>
      </c>
      <c r="F253" s="11">
        <v>46169</v>
      </c>
      <c r="G253" s="6" t="s">
        <v>1079</v>
      </c>
      <c r="H253" s="7" t="s">
        <v>32</v>
      </c>
      <c r="I253" s="7" t="s">
        <v>305</v>
      </c>
      <c r="J253" s="7" t="s">
        <v>810</v>
      </c>
      <c r="K253" s="7" t="s">
        <v>29</v>
      </c>
      <c r="L253" s="3" t="str">
        <f>E253&amp;D253</f>
        <v>E.SP.IPAEE_MAN_CONF_C_I_MAQ CHAVE M2/M3_0030</v>
      </c>
      <c r="M253" s="3" t="str">
        <f>IFERROR(MID(D253,SEARCH("S_I_",D253,1),3),"")</f>
        <v/>
      </c>
      <c r="N253" s="3" t="str">
        <f>IFERROR(MID(D253,SEARCH("C_I_",D253,1),3),"")</f>
        <v>C_I</v>
      </c>
      <c r="O253" s="3" t="str">
        <f>IF(AND(M253="",N253=""),"Extra","")</f>
        <v/>
      </c>
      <c r="P253" s="3" t="str">
        <f>IF(Q253=0,"TERCEIRO","MRS")</f>
        <v>MRS</v>
      </c>
      <c r="Q253" s="8" t="str">
        <f>IFERROR(VLOOKUP(L253,#REF!,4,0),"0,00")</f>
        <v>0,00</v>
      </c>
      <c r="R253" s="9" t="s">
        <v>42</v>
      </c>
      <c r="S253" s="9">
        <f>COUNTIF(D253,"*_SEG_*")</f>
        <v>0</v>
      </c>
      <c r="T253" s="9">
        <f>COUNTIF(D253,"*_MAN_*")</f>
        <v>1</v>
      </c>
      <c r="U253" s="9">
        <f>(RIGHT(D253,4))*1</f>
        <v>30</v>
      </c>
      <c r="V253" s="9" t="str">
        <f>IFERROR(VLOOKUP(I253,#REF!,2,0),"Sinalização")</f>
        <v>Sinalização</v>
      </c>
    </row>
    <row r="254" spans="1:22" x14ac:dyDescent="0.25">
      <c r="A254" s="3" t="s">
        <v>22</v>
      </c>
      <c r="B254" s="4">
        <v>23518777</v>
      </c>
      <c r="C254" s="5" t="s">
        <v>23</v>
      </c>
      <c r="D254" s="6" t="s">
        <v>808</v>
      </c>
      <c r="E254" s="6" t="s">
        <v>25</v>
      </c>
      <c r="F254" s="11">
        <v>46169</v>
      </c>
      <c r="G254" s="6" t="s">
        <v>1079</v>
      </c>
      <c r="H254" s="7" t="s">
        <v>32</v>
      </c>
      <c r="I254" s="7" t="s">
        <v>304</v>
      </c>
      <c r="J254" s="7" t="s">
        <v>810</v>
      </c>
      <c r="K254" s="7" t="s">
        <v>29</v>
      </c>
      <c r="L254" s="3" t="str">
        <f>E254&amp;D254</f>
        <v>E.SP.IPAEE_MAN_CONF_C_I_MAQ CHAVE M2/M3_0030</v>
      </c>
      <c r="M254" s="3" t="str">
        <f>IFERROR(MID(D254,SEARCH("S_I_",D254,1),3),"")</f>
        <v/>
      </c>
      <c r="N254" s="3" t="str">
        <f>IFERROR(MID(D254,SEARCH("C_I_",D254,1),3),"")</f>
        <v>C_I</v>
      </c>
      <c r="O254" s="3" t="str">
        <f>IF(AND(M254="",N254=""),"Extra","")</f>
        <v/>
      </c>
      <c r="P254" s="3" t="str">
        <f>IF(Q254=0,"TERCEIRO","MRS")</f>
        <v>MRS</v>
      </c>
      <c r="Q254" s="8" t="str">
        <f>IFERROR(VLOOKUP(L254,#REF!,4,0),"0,00")</f>
        <v>0,00</v>
      </c>
      <c r="R254" s="9" t="s">
        <v>42</v>
      </c>
      <c r="S254" s="9">
        <f>COUNTIF(D254,"*_SEG_*")</f>
        <v>0</v>
      </c>
      <c r="T254" s="9">
        <f>COUNTIF(D254,"*_MAN_*")</f>
        <v>1</v>
      </c>
      <c r="U254" s="9">
        <f>(RIGHT(D254,4))*1</f>
        <v>30</v>
      </c>
      <c r="V254" s="9" t="str">
        <f>IFERROR(VLOOKUP(I254,#REF!,2,0),"Sinalização")</f>
        <v>Sinalização</v>
      </c>
    </row>
    <row r="255" spans="1:22" x14ac:dyDescent="0.25">
      <c r="A255" s="3" t="s">
        <v>22</v>
      </c>
      <c r="B255" s="4">
        <v>23518782</v>
      </c>
      <c r="C255" s="5" t="s">
        <v>23</v>
      </c>
      <c r="D255" s="6" t="s">
        <v>812</v>
      </c>
      <c r="E255" s="6" t="s">
        <v>25</v>
      </c>
      <c r="F255" s="11">
        <v>46169</v>
      </c>
      <c r="G255" s="6" t="s">
        <v>1079</v>
      </c>
      <c r="H255" s="7" t="s">
        <v>26</v>
      </c>
      <c r="I255" s="7" t="s">
        <v>272</v>
      </c>
      <c r="J255" s="7" t="s">
        <v>813</v>
      </c>
      <c r="K255" s="7" t="s">
        <v>29</v>
      </c>
      <c r="L255" s="3" t="str">
        <f>E255&amp;D255</f>
        <v>E.SP.IPAEE_INS_SEG_S_I_MAQ CHAVE MOLA_0030</v>
      </c>
      <c r="M255" s="3" t="str">
        <f>IFERROR(MID(D255,SEARCH("S_I_",D255,1),3),"")</f>
        <v>S_I</v>
      </c>
      <c r="N255" s="3" t="str">
        <f>IFERROR(MID(D255,SEARCH("C_I_",D255,1),3),"")</f>
        <v/>
      </c>
      <c r="O255" s="3" t="str">
        <f>IF(AND(M255="",N255=""),"Extra","")</f>
        <v/>
      </c>
      <c r="P255" s="3" t="str">
        <f>IF(Q255=0,"TERCEIRO","MRS")</f>
        <v>MRS</v>
      </c>
      <c r="Q255" s="8" t="str">
        <f>IFERROR(VLOOKUP(L255,#REF!,4,0),"0,00")</f>
        <v>0,00</v>
      </c>
      <c r="R255" s="9" t="s">
        <v>42</v>
      </c>
      <c r="S255" s="9">
        <f>COUNTIF(D255,"*_SEG_*")</f>
        <v>1</v>
      </c>
      <c r="T255" s="9">
        <f>COUNTIF(D255,"*_MAN_*")</f>
        <v>0</v>
      </c>
      <c r="U255" s="9">
        <f>(RIGHT(D255,4))*1</f>
        <v>30</v>
      </c>
      <c r="V255" s="9" t="str">
        <f>IFERROR(VLOOKUP(I255,#REF!,2,0),"Sinalização")</f>
        <v>Sinalização</v>
      </c>
    </row>
    <row r="256" spans="1:22" x14ac:dyDescent="0.25">
      <c r="A256" s="3" t="s">
        <v>22</v>
      </c>
      <c r="B256" s="4">
        <v>23518783</v>
      </c>
      <c r="C256" s="5" t="s">
        <v>23</v>
      </c>
      <c r="D256" s="6" t="s">
        <v>812</v>
      </c>
      <c r="E256" s="6" t="s">
        <v>25</v>
      </c>
      <c r="F256" s="11">
        <v>46169</v>
      </c>
      <c r="G256" s="6" t="s">
        <v>1079</v>
      </c>
      <c r="H256" s="7" t="s">
        <v>26</v>
      </c>
      <c r="I256" s="7" t="s">
        <v>1060</v>
      </c>
      <c r="J256" s="7" t="s">
        <v>813</v>
      </c>
      <c r="K256" s="7" t="s">
        <v>29</v>
      </c>
      <c r="L256" s="3" t="str">
        <f>E256&amp;D256</f>
        <v>E.SP.IPAEE_INS_SEG_S_I_MAQ CHAVE MOLA_0030</v>
      </c>
      <c r="M256" s="3" t="str">
        <f>IFERROR(MID(D256,SEARCH("S_I_",D256,1),3),"")</f>
        <v>S_I</v>
      </c>
      <c r="N256" s="3" t="str">
        <f>IFERROR(MID(D256,SEARCH("C_I_",D256,1),3),"")</f>
        <v/>
      </c>
      <c r="O256" s="3" t="str">
        <f>IF(AND(M256="",N256=""),"Extra","")</f>
        <v/>
      </c>
      <c r="P256" s="3" t="str">
        <f>IF(Q256=0,"TERCEIRO","MRS")</f>
        <v>MRS</v>
      </c>
      <c r="Q256" s="8" t="str">
        <f>IFERROR(VLOOKUP(L256,#REF!,4,0),"0,00")</f>
        <v>0,00</v>
      </c>
      <c r="R256" s="9" t="s">
        <v>42</v>
      </c>
      <c r="S256" s="9">
        <f>COUNTIF(D256,"*_SEG_*")</f>
        <v>1</v>
      </c>
      <c r="T256" s="9">
        <f>COUNTIF(D256,"*_MAN_*")</f>
        <v>0</v>
      </c>
      <c r="U256" s="9">
        <f>(RIGHT(D256,4))*1</f>
        <v>30</v>
      </c>
      <c r="V256" s="9" t="str">
        <f>IFERROR(VLOOKUP(I256,#REF!,2,0),"Sinalização")</f>
        <v>Sinalização</v>
      </c>
    </row>
    <row r="257" spans="1:22" x14ac:dyDescent="0.25">
      <c r="A257" s="3" t="s">
        <v>22</v>
      </c>
      <c r="B257" s="4">
        <v>23518784</v>
      </c>
      <c r="C257" s="5" t="s">
        <v>23</v>
      </c>
      <c r="D257" s="6" t="s">
        <v>812</v>
      </c>
      <c r="E257" s="6" t="s">
        <v>25</v>
      </c>
      <c r="F257" s="11">
        <v>46169</v>
      </c>
      <c r="G257" s="6" t="s">
        <v>1079</v>
      </c>
      <c r="H257" s="7" t="s">
        <v>32</v>
      </c>
      <c r="I257" s="7" t="s">
        <v>273</v>
      </c>
      <c r="J257" s="7" t="s">
        <v>813</v>
      </c>
      <c r="K257" s="7" t="s">
        <v>29</v>
      </c>
      <c r="L257" s="3" t="str">
        <f>E257&amp;D257</f>
        <v>E.SP.IPAEE_INS_SEG_S_I_MAQ CHAVE MOLA_0030</v>
      </c>
      <c r="M257" s="3" t="str">
        <f>IFERROR(MID(D257,SEARCH("S_I_",D257,1),3),"")</f>
        <v>S_I</v>
      </c>
      <c r="N257" s="3" t="str">
        <f>IFERROR(MID(D257,SEARCH("C_I_",D257,1),3),"")</f>
        <v/>
      </c>
      <c r="O257" s="3" t="str">
        <f>IF(AND(M257="",N257=""),"Extra","")</f>
        <v/>
      </c>
      <c r="P257" s="3" t="str">
        <f>IF(Q257=0,"TERCEIRO","MRS")</f>
        <v>MRS</v>
      </c>
      <c r="Q257" s="8" t="str">
        <f>IFERROR(VLOOKUP(L257,#REF!,4,0),"0,00")</f>
        <v>0,00</v>
      </c>
      <c r="R257" s="9" t="s">
        <v>42</v>
      </c>
      <c r="S257" s="9">
        <f>COUNTIF(D257,"*_SEG_*")</f>
        <v>1</v>
      </c>
      <c r="T257" s="9">
        <f>COUNTIF(D257,"*_MAN_*")</f>
        <v>0</v>
      </c>
      <c r="U257" s="9">
        <f>(RIGHT(D257,4))*1</f>
        <v>30</v>
      </c>
      <c r="V257" s="9" t="str">
        <f>IFERROR(VLOOKUP(I257,#REF!,2,0),"Sinalização")</f>
        <v>Sinalização</v>
      </c>
    </row>
    <row r="258" spans="1:22" x14ac:dyDescent="0.25">
      <c r="A258" s="3" t="s">
        <v>22</v>
      </c>
      <c r="B258" s="4">
        <v>23518785</v>
      </c>
      <c r="C258" s="5" t="s">
        <v>23</v>
      </c>
      <c r="D258" s="6" t="s">
        <v>812</v>
      </c>
      <c r="E258" s="6" t="s">
        <v>25</v>
      </c>
      <c r="F258" s="11">
        <v>46169</v>
      </c>
      <c r="G258" s="6" t="s">
        <v>1079</v>
      </c>
      <c r="H258" s="7" t="s">
        <v>32</v>
      </c>
      <c r="I258" s="7" t="s">
        <v>271</v>
      </c>
      <c r="J258" s="7" t="s">
        <v>813</v>
      </c>
      <c r="K258" s="7" t="s">
        <v>29</v>
      </c>
      <c r="L258" s="3" t="str">
        <f>E258&amp;D258</f>
        <v>E.SP.IPAEE_INS_SEG_S_I_MAQ CHAVE MOLA_0030</v>
      </c>
      <c r="M258" s="3" t="str">
        <f>IFERROR(MID(D258,SEARCH("S_I_",D258,1),3),"")</f>
        <v>S_I</v>
      </c>
      <c r="N258" s="3" t="str">
        <f>IFERROR(MID(D258,SEARCH("C_I_",D258,1),3),"")</f>
        <v/>
      </c>
      <c r="O258" s="3" t="str">
        <f>IF(AND(M258="",N258=""),"Extra","")</f>
        <v/>
      </c>
      <c r="P258" s="3" t="str">
        <f>IF(Q258=0,"TERCEIRO","MRS")</f>
        <v>MRS</v>
      </c>
      <c r="Q258" s="8" t="str">
        <f>IFERROR(VLOOKUP(L258,#REF!,4,0),"0,00")</f>
        <v>0,00</v>
      </c>
      <c r="R258" s="9" t="s">
        <v>42</v>
      </c>
      <c r="S258" s="9">
        <f>COUNTIF(D258,"*_SEG_*")</f>
        <v>1</v>
      </c>
      <c r="T258" s="9">
        <f>COUNTIF(D258,"*_MAN_*")</f>
        <v>0</v>
      </c>
      <c r="U258" s="9">
        <f>(RIGHT(D258,4))*1</f>
        <v>30</v>
      </c>
      <c r="V258" s="9" t="str">
        <f>IFERROR(VLOOKUP(I258,#REF!,2,0),"Sinalização")</f>
        <v>Sinalização</v>
      </c>
    </row>
    <row r="259" spans="1:22" x14ac:dyDescent="0.25">
      <c r="A259" s="3" t="s">
        <v>22</v>
      </c>
      <c r="B259" s="4">
        <v>23518852</v>
      </c>
      <c r="C259" s="5" t="s">
        <v>23</v>
      </c>
      <c r="D259" s="6" t="s">
        <v>929</v>
      </c>
      <c r="E259" s="6" t="s">
        <v>25</v>
      </c>
      <c r="F259" s="11">
        <v>46169</v>
      </c>
      <c r="G259" s="6" t="s">
        <v>1079</v>
      </c>
      <c r="H259" s="7" t="s">
        <v>26</v>
      </c>
      <c r="I259" s="7" t="s">
        <v>298</v>
      </c>
      <c r="J259" s="7" t="s">
        <v>810</v>
      </c>
      <c r="K259" s="7" t="s">
        <v>29</v>
      </c>
      <c r="L259" s="3" t="str">
        <f>E259&amp;D259</f>
        <v>E.SP.IPAEE_MAN_CONF_C_I_MCH 110VCC GRS 55BR_0030</v>
      </c>
      <c r="M259" s="3" t="str">
        <f>IFERROR(MID(D259,SEARCH("S_I_",D259,1),3),"")</f>
        <v/>
      </c>
      <c r="N259" s="3" t="str">
        <f>IFERROR(MID(D259,SEARCH("C_I_",D259,1),3),"")</f>
        <v>C_I</v>
      </c>
      <c r="O259" s="3" t="str">
        <f>IF(AND(M259="",N259=""),"Extra","")</f>
        <v/>
      </c>
      <c r="P259" s="3" t="str">
        <f>IF(Q259=0,"TERCEIRO","MRS")</f>
        <v>MRS</v>
      </c>
      <c r="Q259" s="8" t="str">
        <f>IFERROR(VLOOKUP(L259,#REF!,4,0),"0,00")</f>
        <v>0,00</v>
      </c>
      <c r="R259" s="9" t="s">
        <v>42</v>
      </c>
      <c r="S259" s="9">
        <f>COUNTIF(D259,"*_SEG_*")</f>
        <v>0</v>
      </c>
      <c r="T259" s="9">
        <f>COUNTIF(D259,"*_MAN_*")</f>
        <v>1</v>
      </c>
      <c r="U259" s="9">
        <f>(RIGHT(D259,4))*1</f>
        <v>30</v>
      </c>
      <c r="V259" s="9" t="str">
        <f>IFERROR(VLOOKUP(I259,#REF!,2,0),"Sinalização")</f>
        <v>Sinalização</v>
      </c>
    </row>
    <row r="260" spans="1:22" x14ac:dyDescent="0.25">
      <c r="A260" s="3" t="s">
        <v>22</v>
      </c>
      <c r="B260" s="4">
        <v>23518853</v>
      </c>
      <c r="C260" s="5" t="s">
        <v>23</v>
      </c>
      <c r="D260" s="6" t="s">
        <v>929</v>
      </c>
      <c r="E260" s="6" t="s">
        <v>25</v>
      </c>
      <c r="F260" s="11">
        <v>46169</v>
      </c>
      <c r="G260" s="6" t="s">
        <v>1079</v>
      </c>
      <c r="H260" s="7" t="s">
        <v>26</v>
      </c>
      <c r="I260" s="7" t="s">
        <v>297</v>
      </c>
      <c r="J260" s="7" t="s">
        <v>810</v>
      </c>
      <c r="K260" s="7" t="s">
        <v>29</v>
      </c>
      <c r="L260" s="3" t="str">
        <f>E260&amp;D260</f>
        <v>E.SP.IPAEE_MAN_CONF_C_I_MCH 110VCC GRS 55BR_0030</v>
      </c>
      <c r="M260" s="3" t="str">
        <f>IFERROR(MID(D260,SEARCH("S_I_",D260,1),3),"")</f>
        <v/>
      </c>
      <c r="N260" s="3" t="str">
        <f>IFERROR(MID(D260,SEARCH("C_I_",D260,1),3),"")</f>
        <v>C_I</v>
      </c>
      <c r="O260" s="3" t="str">
        <f>IF(AND(M260="",N260=""),"Extra","")</f>
        <v/>
      </c>
      <c r="P260" s="3" t="str">
        <f>IF(Q260=0,"TERCEIRO","MRS")</f>
        <v>MRS</v>
      </c>
      <c r="Q260" s="8" t="str">
        <f>IFERROR(VLOOKUP(L260,#REF!,4,0),"0,00")</f>
        <v>0,00</v>
      </c>
      <c r="R260" s="9" t="s">
        <v>42</v>
      </c>
      <c r="S260" s="9">
        <f>COUNTIF(D260,"*_SEG_*")</f>
        <v>0</v>
      </c>
      <c r="T260" s="9">
        <f>COUNTIF(D260,"*_MAN_*")</f>
        <v>1</v>
      </c>
      <c r="U260" s="9">
        <f>(RIGHT(D260,4))*1</f>
        <v>30</v>
      </c>
      <c r="V260" s="9" t="str">
        <f>IFERROR(VLOOKUP(I260,#REF!,2,0),"Sinalização")</f>
        <v>Sinalização</v>
      </c>
    </row>
    <row r="261" spans="1:22" x14ac:dyDescent="0.25">
      <c r="A261" s="3" t="s">
        <v>22</v>
      </c>
      <c r="B261" s="4">
        <v>23518854</v>
      </c>
      <c r="C261" s="5" t="s">
        <v>23</v>
      </c>
      <c r="D261" s="6" t="s">
        <v>929</v>
      </c>
      <c r="E261" s="6" t="s">
        <v>25</v>
      </c>
      <c r="F261" s="11">
        <v>46169</v>
      </c>
      <c r="G261" s="6" t="s">
        <v>1079</v>
      </c>
      <c r="H261" s="7" t="s">
        <v>32</v>
      </c>
      <c r="I261" s="7" t="s">
        <v>299</v>
      </c>
      <c r="J261" s="7" t="s">
        <v>810</v>
      </c>
      <c r="K261" s="7" t="s">
        <v>29</v>
      </c>
      <c r="L261" s="3" t="str">
        <f>E261&amp;D261</f>
        <v>E.SP.IPAEE_MAN_CONF_C_I_MCH 110VCC GRS 55BR_0030</v>
      </c>
      <c r="M261" s="3" t="str">
        <f>IFERROR(MID(D261,SEARCH("S_I_",D261,1),3),"")</f>
        <v/>
      </c>
      <c r="N261" s="3" t="str">
        <f>IFERROR(MID(D261,SEARCH("C_I_",D261,1),3),"")</f>
        <v>C_I</v>
      </c>
      <c r="O261" s="3" t="str">
        <f>IF(AND(M261="",N261=""),"Extra","")</f>
        <v/>
      </c>
      <c r="P261" s="3" t="str">
        <f>IF(Q261=0,"TERCEIRO","MRS")</f>
        <v>MRS</v>
      </c>
      <c r="Q261" s="8" t="str">
        <f>IFERROR(VLOOKUP(L261,#REF!,4,0),"0,00")</f>
        <v>0,00</v>
      </c>
      <c r="R261" s="9" t="s">
        <v>42</v>
      </c>
      <c r="S261" s="9">
        <f>COUNTIF(D261,"*_SEG_*")</f>
        <v>0</v>
      </c>
      <c r="T261" s="9">
        <f>COUNTIF(D261,"*_MAN_*")</f>
        <v>1</v>
      </c>
      <c r="U261" s="9">
        <f>(RIGHT(D261,4))*1</f>
        <v>30</v>
      </c>
      <c r="V261" s="9" t="str">
        <f>IFERROR(VLOOKUP(I261,#REF!,2,0),"Sinalização")</f>
        <v>Sinalização</v>
      </c>
    </row>
    <row r="262" spans="1:22" x14ac:dyDescent="0.25">
      <c r="A262" s="3" t="s">
        <v>22</v>
      </c>
      <c r="B262" s="4">
        <v>23518897</v>
      </c>
      <c r="C262" s="5" t="s">
        <v>23</v>
      </c>
      <c r="D262" s="6" t="s">
        <v>1064</v>
      </c>
      <c r="E262" s="6" t="s">
        <v>25</v>
      </c>
      <c r="F262" s="11">
        <v>46169</v>
      </c>
      <c r="G262" s="6" t="s">
        <v>1079</v>
      </c>
      <c r="H262" s="7" t="s">
        <v>32</v>
      </c>
      <c r="I262" s="7" t="s">
        <v>243</v>
      </c>
      <c r="J262" s="7" t="s">
        <v>1065</v>
      </c>
      <c r="K262" s="7" t="s">
        <v>29</v>
      </c>
      <c r="L262" s="3" t="str">
        <f>E262&amp;D262</f>
        <v>E.SP.IPAEE_INS_CONF_S_I_P.N. AUT MD S BARRE_0030</v>
      </c>
      <c r="M262" s="3" t="str">
        <f>IFERROR(MID(D262,SEARCH("S_I_",D262,1),3),"")</f>
        <v>S_I</v>
      </c>
      <c r="N262" s="3" t="str">
        <f>IFERROR(MID(D262,SEARCH("C_I_",D262,1),3),"")</f>
        <v/>
      </c>
      <c r="O262" s="3" t="str">
        <f>IF(AND(M262="",N262=""),"Extra","")</f>
        <v/>
      </c>
      <c r="P262" s="3" t="str">
        <f>IF(Q262=0,"TERCEIRO","MRS")</f>
        <v>MRS</v>
      </c>
      <c r="Q262" s="8" t="str">
        <f>IFERROR(VLOOKUP(L262,#REF!,4,0),"0,00")</f>
        <v>0,00</v>
      </c>
      <c r="R262" s="9" t="s">
        <v>42</v>
      </c>
      <c r="S262" s="9">
        <f>COUNTIF(D262,"*_SEG_*")</f>
        <v>0</v>
      </c>
      <c r="T262" s="9">
        <f>COUNTIF(D262,"*_MAN_*")</f>
        <v>0</v>
      </c>
      <c r="U262" s="9">
        <f>(RIGHT(D262,4))*1</f>
        <v>30</v>
      </c>
      <c r="V262" s="9" t="str">
        <f>IFERROR(VLOOKUP(I262,#REF!,2,0),"Sinalização")</f>
        <v>Sinalização</v>
      </c>
    </row>
    <row r="263" spans="1:22" x14ac:dyDescent="0.25">
      <c r="A263" s="3" t="s">
        <v>22</v>
      </c>
      <c r="B263" s="4">
        <v>23518973</v>
      </c>
      <c r="C263" s="5" t="s">
        <v>23</v>
      </c>
      <c r="D263" s="6" t="s">
        <v>930</v>
      </c>
      <c r="E263" s="6" t="s">
        <v>25</v>
      </c>
      <c r="F263" s="11">
        <v>46169</v>
      </c>
      <c r="G263" s="6" t="s">
        <v>1079</v>
      </c>
      <c r="H263" s="7" t="s">
        <v>26</v>
      </c>
      <c r="I263" s="7" t="s">
        <v>601</v>
      </c>
      <c r="J263" s="7" t="s">
        <v>832</v>
      </c>
      <c r="K263" s="7" t="s">
        <v>29</v>
      </c>
      <c r="L263" s="3" t="str">
        <f>E263&amp;D263</f>
        <v>E.SP.IPAEE_INS_SEG_C_I_CIRCUITO VIA CC_1_0030</v>
      </c>
      <c r="M263" s="3" t="str">
        <f>IFERROR(MID(D263,SEARCH("S_I_",D263,1),3),"")</f>
        <v/>
      </c>
      <c r="N263" s="3" t="str">
        <f>IFERROR(MID(D263,SEARCH("C_I_",D263,1),3),"")</f>
        <v>C_I</v>
      </c>
      <c r="O263" s="3" t="str">
        <f>IF(AND(M263="",N263=""),"Extra","")</f>
        <v/>
      </c>
      <c r="P263" s="3" t="str">
        <f>IF(Q263=0,"TERCEIRO","MRS")</f>
        <v>MRS</v>
      </c>
      <c r="Q263" s="8" t="str">
        <f>IFERROR(VLOOKUP(L263,#REF!,4,0),"0,00")</f>
        <v>0,00</v>
      </c>
      <c r="R263" s="9" t="s">
        <v>42</v>
      </c>
      <c r="S263" s="9">
        <f>COUNTIF(D263,"*_SEG_*")</f>
        <v>1</v>
      </c>
      <c r="T263" s="9">
        <f>COUNTIF(D263,"*_MAN_*")</f>
        <v>0</v>
      </c>
      <c r="U263" s="9">
        <f>(RIGHT(D263,4))*1</f>
        <v>30</v>
      </c>
      <c r="V263" s="9" t="str">
        <f>IFERROR(VLOOKUP(I263,#REF!,2,0),"Sinalização")</f>
        <v>Sinalização</v>
      </c>
    </row>
    <row r="264" spans="1:22" x14ac:dyDescent="0.25">
      <c r="A264" s="3" t="s">
        <v>22</v>
      </c>
      <c r="B264" s="4">
        <v>23518977</v>
      </c>
      <c r="C264" s="5" t="s">
        <v>23</v>
      </c>
      <c r="D264" s="6" t="s">
        <v>931</v>
      </c>
      <c r="E264" s="6" t="s">
        <v>25</v>
      </c>
      <c r="F264" s="11">
        <v>46169</v>
      </c>
      <c r="G264" s="6" t="s">
        <v>1079</v>
      </c>
      <c r="H264" s="7" t="s">
        <v>26</v>
      </c>
      <c r="I264" s="7" t="s">
        <v>730</v>
      </c>
      <c r="J264" s="7" t="s">
        <v>932</v>
      </c>
      <c r="K264" s="7" t="s">
        <v>29</v>
      </c>
      <c r="L264" s="3" t="str">
        <f>E264&amp;D264</f>
        <v>E.SP.IPAEE_INS_SEG_C_I_CDV DETETORA CA_0030</v>
      </c>
      <c r="M264" s="3" t="str">
        <f>IFERROR(MID(D264,SEARCH("S_I_",D264,1),3),"")</f>
        <v/>
      </c>
      <c r="N264" s="3" t="str">
        <f>IFERROR(MID(D264,SEARCH("C_I_",D264,1),3),"")</f>
        <v>C_I</v>
      </c>
      <c r="O264" s="3" t="str">
        <f>IF(AND(M264="",N264=""),"Extra","")</f>
        <v/>
      </c>
      <c r="P264" s="3" t="str">
        <f>IF(Q264=0,"TERCEIRO","MRS")</f>
        <v>MRS</v>
      </c>
      <c r="Q264" s="8" t="str">
        <f>IFERROR(VLOOKUP(L264,#REF!,4,0),"0,00")</f>
        <v>0,00</v>
      </c>
      <c r="R264" s="9" t="s">
        <v>42</v>
      </c>
      <c r="S264" s="9">
        <f>COUNTIF(D264,"*_SEG_*")</f>
        <v>1</v>
      </c>
      <c r="T264" s="9">
        <f>COUNTIF(D264,"*_MAN_*")</f>
        <v>0</v>
      </c>
      <c r="U264" s="9">
        <f>(RIGHT(D264,4))*1</f>
        <v>30</v>
      </c>
      <c r="V264" s="9" t="str">
        <f>IFERROR(VLOOKUP(I264,#REF!,2,0),"Sinalização")</f>
        <v>Sinalização</v>
      </c>
    </row>
    <row r="265" spans="1:22" x14ac:dyDescent="0.25">
      <c r="A265" s="3" t="s">
        <v>22</v>
      </c>
      <c r="B265" s="4">
        <v>23518978</v>
      </c>
      <c r="C265" s="5" t="s">
        <v>23</v>
      </c>
      <c r="D265" s="6" t="s">
        <v>931</v>
      </c>
      <c r="E265" s="6" t="s">
        <v>25</v>
      </c>
      <c r="F265" s="11">
        <v>46169</v>
      </c>
      <c r="G265" s="6" t="s">
        <v>1079</v>
      </c>
      <c r="H265" s="7" t="s">
        <v>32</v>
      </c>
      <c r="I265" s="7" t="s">
        <v>753</v>
      </c>
      <c r="J265" s="7" t="s">
        <v>932</v>
      </c>
      <c r="K265" s="7" t="s">
        <v>29</v>
      </c>
      <c r="L265" s="3" t="str">
        <f>E265&amp;D265</f>
        <v>E.SP.IPAEE_INS_SEG_C_I_CDV DETETORA CA_0030</v>
      </c>
      <c r="M265" s="3" t="str">
        <f>IFERROR(MID(D265,SEARCH("S_I_",D265,1),3),"")</f>
        <v/>
      </c>
      <c r="N265" s="3" t="str">
        <f>IFERROR(MID(D265,SEARCH("C_I_",D265,1),3),"")</f>
        <v>C_I</v>
      </c>
      <c r="O265" s="3" t="str">
        <f>IF(AND(M265="",N265=""),"Extra","")</f>
        <v/>
      </c>
      <c r="P265" s="3" t="str">
        <f>IF(Q265=0,"TERCEIRO","MRS")</f>
        <v>MRS</v>
      </c>
      <c r="Q265" s="8" t="str">
        <f>IFERROR(VLOOKUP(L265,#REF!,4,0),"0,00")</f>
        <v>0,00</v>
      </c>
      <c r="R265" s="9" t="s">
        <v>42</v>
      </c>
      <c r="S265" s="9">
        <f>COUNTIF(D265,"*_SEG_*")</f>
        <v>1</v>
      </c>
      <c r="T265" s="9">
        <f>COUNTIF(D265,"*_MAN_*")</f>
        <v>0</v>
      </c>
      <c r="U265" s="9">
        <f>(RIGHT(D265,4))*1</f>
        <v>30</v>
      </c>
      <c r="V265" s="9" t="str">
        <f>IFERROR(VLOOKUP(I265,#REF!,2,0),"Sinalização")</f>
        <v>Sinalização</v>
      </c>
    </row>
    <row r="266" spans="1:22" x14ac:dyDescent="0.25">
      <c r="A266" s="3" t="s">
        <v>22</v>
      </c>
      <c r="B266" s="4">
        <v>23518979</v>
      </c>
      <c r="C266" s="5" t="s">
        <v>23</v>
      </c>
      <c r="D266" s="6" t="s">
        <v>931</v>
      </c>
      <c r="E266" s="6" t="s">
        <v>25</v>
      </c>
      <c r="F266" s="11">
        <v>46169</v>
      </c>
      <c r="G266" s="6" t="s">
        <v>1079</v>
      </c>
      <c r="H266" s="7" t="s">
        <v>32</v>
      </c>
      <c r="I266" s="7" t="s">
        <v>754</v>
      </c>
      <c r="J266" s="7" t="s">
        <v>932</v>
      </c>
      <c r="K266" s="7" t="s">
        <v>29</v>
      </c>
      <c r="L266" s="3" t="str">
        <f>E266&amp;D266</f>
        <v>E.SP.IPAEE_INS_SEG_C_I_CDV DETETORA CA_0030</v>
      </c>
      <c r="M266" s="3" t="str">
        <f>IFERROR(MID(D266,SEARCH("S_I_",D266,1),3),"")</f>
        <v/>
      </c>
      <c r="N266" s="3" t="str">
        <f>IFERROR(MID(D266,SEARCH("C_I_",D266,1),3),"")</f>
        <v>C_I</v>
      </c>
      <c r="O266" s="3" t="str">
        <f>IF(AND(M266="",N266=""),"Extra","")</f>
        <v/>
      </c>
      <c r="P266" s="3" t="str">
        <f>IF(Q266=0,"TERCEIRO","MRS")</f>
        <v>MRS</v>
      </c>
      <c r="Q266" s="8" t="str">
        <f>IFERROR(VLOOKUP(L266,#REF!,4,0),"0,00")</f>
        <v>0,00</v>
      </c>
      <c r="R266" s="9" t="s">
        <v>42</v>
      </c>
      <c r="S266" s="9">
        <f>COUNTIF(D266,"*_SEG_*")</f>
        <v>1</v>
      </c>
      <c r="T266" s="9">
        <f>COUNTIF(D266,"*_MAN_*")</f>
        <v>0</v>
      </c>
      <c r="U266" s="9">
        <f>(RIGHT(D266,4))*1</f>
        <v>30</v>
      </c>
      <c r="V266" s="9" t="str">
        <f>IFERROR(VLOOKUP(I266,#REF!,2,0),"Sinalização")</f>
        <v>Sinalização</v>
      </c>
    </row>
    <row r="267" spans="1:22" x14ac:dyDescent="0.25">
      <c r="A267" s="3" t="s">
        <v>22</v>
      </c>
      <c r="B267" s="4">
        <v>23518980</v>
      </c>
      <c r="C267" s="5" t="s">
        <v>23</v>
      </c>
      <c r="D267" s="6" t="s">
        <v>931</v>
      </c>
      <c r="E267" s="6" t="s">
        <v>25</v>
      </c>
      <c r="F267" s="11">
        <v>46169</v>
      </c>
      <c r="G267" s="6" t="s">
        <v>1079</v>
      </c>
      <c r="H267" s="7" t="s">
        <v>26</v>
      </c>
      <c r="I267" s="7" t="s">
        <v>691</v>
      </c>
      <c r="J267" s="7" t="s">
        <v>932</v>
      </c>
      <c r="K267" s="7" t="s">
        <v>29</v>
      </c>
      <c r="L267" s="3" t="str">
        <f>E267&amp;D267</f>
        <v>E.SP.IPAEE_INS_SEG_C_I_CDV DETETORA CA_0030</v>
      </c>
      <c r="M267" s="3" t="str">
        <f>IFERROR(MID(D267,SEARCH("S_I_",D267,1),3),"")</f>
        <v/>
      </c>
      <c r="N267" s="3" t="str">
        <f>IFERROR(MID(D267,SEARCH("C_I_",D267,1),3),"")</f>
        <v>C_I</v>
      </c>
      <c r="O267" s="3" t="str">
        <f>IF(AND(M267="",N267=""),"Extra","")</f>
        <v/>
      </c>
      <c r="P267" s="3" t="str">
        <f>IF(Q267=0,"TERCEIRO","MRS")</f>
        <v>MRS</v>
      </c>
      <c r="Q267" s="8" t="str">
        <f>IFERROR(VLOOKUP(L267,#REF!,4,0),"0,00")</f>
        <v>0,00</v>
      </c>
      <c r="R267" s="9" t="s">
        <v>42</v>
      </c>
      <c r="S267" s="9">
        <f>COUNTIF(D267,"*_SEG_*")</f>
        <v>1</v>
      </c>
      <c r="T267" s="9">
        <f>COUNTIF(D267,"*_MAN_*")</f>
        <v>0</v>
      </c>
      <c r="U267" s="9">
        <f>(RIGHT(D267,4))*1</f>
        <v>30</v>
      </c>
      <c r="V267" s="9" t="str">
        <f>IFERROR(VLOOKUP(I267,#REF!,2,0),"Sinalização")</f>
        <v>Sinalização</v>
      </c>
    </row>
    <row r="268" spans="1:22" x14ac:dyDescent="0.25">
      <c r="A268" s="3" t="s">
        <v>22</v>
      </c>
      <c r="B268" s="4">
        <v>23518981</v>
      </c>
      <c r="C268" s="5" t="s">
        <v>23</v>
      </c>
      <c r="D268" s="6" t="s">
        <v>931</v>
      </c>
      <c r="E268" s="6" t="s">
        <v>25</v>
      </c>
      <c r="F268" s="11">
        <v>46169</v>
      </c>
      <c r="G268" s="6" t="s">
        <v>1079</v>
      </c>
      <c r="H268" s="7" t="s">
        <v>26</v>
      </c>
      <c r="I268" s="7" t="s">
        <v>405</v>
      </c>
      <c r="J268" s="7" t="s">
        <v>932</v>
      </c>
      <c r="K268" s="7" t="s">
        <v>29</v>
      </c>
      <c r="L268" s="3" t="str">
        <f>E268&amp;D268</f>
        <v>E.SP.IPAEE_INS_SEG_C_I_CDV DETETORA CA_0030</v>
      </c>
      <c r="M268" s="3" t="str">
        <f>IFERROR(MID(D268,SEARCH("S_I_",D268,1),3),"")</f>
        <v/>
      </c>
      <c r="N268" s="3" t="str">
        <f>IFERROR(MID(D268,SEARCH("C_I_",D268,1),3),"")</f>
        <v>C_I</v>
      </c>
      <c r="O268" s="3" t="str">
        <f>IF(AND(M268="",N268=""),"Extra","")</f>
        <v/>
      </c>
      <c r="P268" s="3" t="str">
        <f>IF(Q268=0,"TERCEIRO","MRS")</f>
        <v>MRS</v>
      </c>
      <c r="Q268" s="8" t="str">
        <f>IFERROR(VLOOKUP(L268,#REF!,4,0),"0,00")</f>
        <v>0,00</v>
      </c>
      <c r="R268" s="9" t="s">
        <v>42</v>
      </c>
      <c r="S268" s="9">
        <f>COUNTIF(D268,"*_SEG_*")</f>
        <v>1</v>
      </c>
      <c r="T268" s="9">
        <f>COUNTIF(D268,"*_MAN_*")</f>
        <v>0</v>
      </c>
      <c r="U268" s="9">
        <f>(RIGHT(D268,4))*1</f>
        <v>30</v>
      </c>
      <c r="V268" s="9" t="str">
        <f>IFERROR(VLOOKUP(I268,#REF!,2,0),"Sinalização")</f>
        <v>Sinalização</v>
      </c>
    </row>
    <row r="269" spans="1:22" x14ac:dyDescent="0.25">
      <c r="A269" s="3" t="s">
        <v>22</v>
      </c>
      <c r="B269" s="4">
        <v>23518982</v>
      </c>
      <c r="C269" s="5" t="s">
        <v>23</v>
      </c>
      <c r="D269" s="6" t="s">
        <v>931</v>
      </c>
      <c r="E269" s="6" t="s">
        <v>25</v>
      </c>
      <c r="F269" s="11">
        <v>46169</v>
      </c>
      <c r="G269" s="6" t="s">
        <v>1079</v>
      </c>
      <c r="H269" s="7" t="s">
        <v>32</v>
      </c>
      <c r="I269" s="7" t="s">
        <v>400</v>
      </c>
      <c r="J269" s="7" t="s">
        <v>932</v>
      </c>
      <c r="K269" s="7" t="s">
        <v>29</v>
      </c>
      <c r="L269" s="3" t="str">
        <f>E269&amp;D269</f>
        <v>E.SP.IPAEE_INS_SEG_C_I_CDV DETETORA CA_0030</v>
      </c>
      <c r="M269" s="3" t="str">
        <f>IFERROR(MID(D269,SEARCH("S_I_",D269,1),3),"")</f>
        <v/>
      </c>
      <c r="N269" s="3" t="str">
        <f>IFERROR(MID(D269,SEARCH("C_I_",D269,1),3),"")</f>
        <v>C_I</v>
      </c>
      <c r="O269" s="3" t="str">
        <f>IF(AND(M269="",N269=""),"Extra","")</f>
        <v/>
      </c>
      <c r="P269" s="3" t="str">
        <f>IF(Q269=0,"TERCEIRO","MRS")</f>
        <v>MRS</v>
      </c>
      <c r="Q269" s="8" t="str">
        <f>IFERROR(VLOOKUP(L269,#REF!,4,0),"0,00")</f>
        <v>0,00</v>
      </c>
      <c r="R269" s="9" t="s">
        <v>42</v>
      </c>
      <c r="S269" s="9">
        <f>COUNTIF(D269,"*_SEG_*")</f>
        <v>1</v>
      </c>
      <c r="T269" s="9">
        <f>COUNTIF(D269,"*_MAN_*")</f>
        <v>0</v>
      </c>
      <c r="U269" s="9">
        <f>(RIGHT(D269,4))*1</f>
        <v>30</v>
      </c>
      <c r="V269" s="9" t="str">
        <f>IFERROR(VLOOKUP(I269,#REF!,2,0),"Sinalização")</f>
        <v>Sinalização</v>
      </c>
    </row>
    <row r="270" spans="1:22" x14ac:dyDescent="0.25">
      <c r="A270" s="3" t="s">
        <v>22</v>
      </c>
      <c r="B270" s="4">
        <v>23518983</v>
      </c>
      <c r="C270" s="5" t="s">
        <v>23</v>
      </c>
      <c r="D270" s="6" t="s">
        <v>931</v>
      </c>
      <c r="E270" s="6" t="s">
        <v>25</v>
      </c>
      <c r="F270" s="11">
        <v>46169</v>
      </c>
      <c r="G270" s="6" t="s">
        <v>1079</v>
      </c>
      <c r="H270" s="7" t="s">
        <v>32</v>
      </c>
      <c r="I270" s="7" t="s">
        <v>1061</v>
      </c>
      <c r="J270" s="7" t="s">
        <v>932</v>
      </c>
      <c r="K270" s="7" t="s">
        <v>29</v>
      </c>
      <c r="L270" s="3" t="str">
        <f>E270&amp;D270</f>
        <v>E.SP.IPAEE_INS_SEG_C_I_CDV DETETORA CA_0030</v>
      </c>
      <c r="M270" s="3" t="str">
        <f>IFERROR(MID(D270,SEARCH("S_I_",D270,1),3),"")</f>
        <v/>
      </c>
      <c r="N270" s="3" t="str">
        <f>IFERROR(MID(D270,SEARCH("C_I_",D270,1),3),"")</f>
        <v>C_I</v>
      </c>
      <c r="O270" s="3" t="str">
        <f>IF(AND(M270="",N270=""),"Extra","")</f>
        <v/>
      </c>
      <c r="P270" s="3" t="str">
        <f>IF(Q270=0,"TERCEIRO","MRS")</f>
        <v>MRS</v>
      </c>
      <c r="Q270" s="8" t="str">
        <f>IFERROR(VLOOKUP(L270,#REF!,4,0),"0,00")</f>
        <v>0,00</v>
      </c>
      <c r="R270" s="9" t="s">
        <v>42</v>
      </c>
      <c r="S270" s="9">
        <f>COUNTIF(D270,"*_SEG_*")</f>
        <v>1</v>
      </c>
      <c r="T270" s="9">
        <f>COUNTIF(D270,"*_MAN_*")</f>
        <v>0</v>
      </c>
      <c r="U270" s="9">
        <f>(RIGHT(D270,4))*1</f>
        <v>30</v>
      </c>
      <c r="V270" s="9" t="str">
        <f>IFERROR(VLOOKUP(I270,#REF!,2,0),"Sinalização")</f>
        <v>Sinalização</v>
      </c>
    </row>
    <row r="271" spans="1:22" x14ac:dyDescent="0.25">
      <c r="A271" s="3" t="s">
        <v>22</v>
      </c>
      <c r="B271" s="4">
        <v>23518984</v>
      </c>
      <c r="C271" s="5" t="s">
        <v>23</v>
      </c>
      <c r="D271" s="6" t="s">
        <v>931</v>
      </c>
      <c r="E271" s="6" t="s">
        <v>25</v>
      </c>
      <c r="F271" s="11">
        <v>46169</v>
      </c>
      <c r="G271" s="6" t="s">
        <v>1079</v>
      </c>
      <c r="H271" s="7" t="s">
        <v>26</v>
      </c>
      <c r="I271" s="7" t="s">
        <v>692</v>
      </c>
      <c r="J271" s="7" t="s">
        <v>932</v>
      </c>
      <c r="K271" s="7" t="s">
        <v>29</v>
      </c>
      <c r="L271" s="3" t="str">
        <f>E271&amp;D271</f>
        <v>E.SP.IPAEE_INS_SEG_C_I_CDV DETETORA CA_0030</v>
      </c>
      <c r="M271" s="3" t="str">
        <f>IFERROR(MID(D271,SEARCH("S_I_",D271,1),3),"")</f>
        <v/>
      </c>
      <c r="N271" s="3" t="str">
        <f>IFERROR(MID(D271,SEARCH("C_I_",D271,1),3),"")</f>
        <v>C_I</v>
      </c>
      <c r="O271" s="3" t="str">
        <f>IF(AND(M271="",N271=""),"Extra","")</f>
        <v/>
      </c>
      <c r="P271" s="3" t="str">
        <f>IF(Q271=0,"TERCEIRO","MRS")</f>
        <v>MRS</v>
      </c>
      <c r="Q271" s="8" t="str">
        <f>IFERROR(VLOOKUP(L271,#REF!,4,0),"0,00")</f>
        <v>0,00</v>
      </c>
      <c r="R271" s="9" t="s">
        <v>42</v>
      </c>
      <c r="S271" s="9">
        <f>COUNTIF(D271,"*_SEG_*")</f>
        <v>1</v>
      </c>
      <c r="T271" s="9">
        <f>COUNTIF(D271,"*_MAN_*")</f>
        <v>0</v>
      </c>
      <c r="U271" s="9">
        <f>(RIGHT(D271,4))*1</f>
        <v>30</v>
      </c>
      <c r="V271" s="9" t="str">
        <f>IFERROR(VLOOKUP(I271,#REF!,2,0),"Sinalização")</f>
        <v>Sinalização</v>
      </c>
    </row>
    <row r="272" spans="1:22" x14ac:dyDescent="0.25">
      <c r="A272" s="3" t="s">
        <v>22</v>
      </c>
      <c r="B272" s="4">
        <v>23518985</v>
      </c>
      <c r="C272" s="5" t="s">
        <v>23</v>
      </c>
      <c r="D272" s="6" t="s">
        <v>931</v>
      </c>
      <c r="E272" s="6" t="s">
        <v>25</v>
      </c>
      <c r="F272" s="11">
        <v>46169</v>
      </c>
      <c r="G272" s="6" t="s">
        <v>1079</v>
      </c>
      <c r="H272" s="7" t="s">
        <v>26</v>
      </c>
      <c r="I272" s="7" t="s">
        <v>375</v>
      </c>
      <c r="J272" s="7" t="s">
        <v>932</v>
      </c>
      <c r="K272" s="7" t="s">
        <v>29</v>
      </c>
      <c r="L272" s="3" t="str">
        <f>E272&amp;D272</f>
        <v>E.SP.IPAEE_INS_SEG_C_I_CDV DETETORA CA_0030</v>
      </c>
      <c r="M272" s="3" t="str">
        <f>IFERROR(MID(D272,SEARCH("S_I_",D272,1),3),"")</f>
        <v/>
      </c>
      <c r="N272" s="3" t="str">
        <f>IFERROR(MID(D272,SEARCH("C_I_",D272,1),3),"")</f>
        <v>C_I</v>
      </c>
      <c r="O272" s="3" t="str">
        <f>IF(AND(M272="",N272=""),"Extra","")</f>
        <v/>
      </c>
      <c r="P272" s="3" t="str">
        <f>IF(Q272=0,"TERCEIRO","MRS")</f>
        <v>MRS</v>
      </c>
      <c r="Q272" s="8" t="str">
        <f>IFERROR(VLOOKUP(L272,#REF!,4,0),"0,00")</f>
        <v>0,00</v>
      </c>
      <c r="R272" s="9" t="s">
        <v>42</v>
      </c>
      <c r="S272" s="9">
        <f>COUNTIF(D272,"*_SEG_*")</f>
        <v>1</v>
      </c>
      <c r="T272" s="9">
        <f>COUNTIF(D272,"*_MAN_*")</f>
        <v>0</v>
      </c>
      <c r="U272" s="9">
        <f>(RIGHT(D272,4))*1</f>
        <v>30</v>
      </c>
      <c r="V272" s="9" t="str">
        <f>IFERROR(VLOOKUP(I272,#REF!,2,0),"Sinalização")</f>
        <v>Sinalização</v>
      </c>
    </row>
    <row r="273" spans="1:22" x14ac:dyDescent="0.25">
      <c r="A273" s="3" t="s">
        <v>22</v>
      </c>
      <c r="B273" s="4">
        <v>23518986</v>
      </c>
      <c r="C273" s="5" t="s">
        <v>23</v>
      </c>
      <c r="D273" s="6" t="s">
        <v>931</v>
      </c>
      <c r="E273" s="6" t="s">
        <v>25</v>
      </c>
      <c r="F273" s="11">
        <v>46169</v>
      </c>
      <c r="G273" s="6" t="s">
        <v>1079</v>
      </c>
      <c r="H273" s="7" t="s">
        <v>32</v>
      </c>
      <c r="I273" s="7" t="s">
        <v>302</v>
      </c>
      <c r="J273" s="7" t="s">
        <v>932</v>
      </c>
      <c r="K273" s="7" t="s">
        <v>29</v>
      </c>
      <c r="L273" s="3" t="str">
        <f>E273&amp;D273</f>
        <v>E.SP.IPAEE_INS_SEG_C_I_CDV DETETORA CA_0030</v>
      </c>
      <c r="M273" s="3" t="str">
        <f>IFERROR(MID(D273,SEARCH("S_I_",D273,1),3),"")</f>
        <v/>
      </c>
      <c r="N273" s="3" t="str">
        <f>IFERROR(MID(D273,SEARCH("C_I_",D273,1),3),"")</f>
        <v>C_I</v>
      </c>
      <c r="O273" s="3" t="str">
        <f>IF(AND(M273="",N273=""),"Extra","")</f>
        <v/>
      </c>
      <c r="P273" s="3" t="str">
        <f>IF(Q273=0,"TERCEIRO","MRS")</f>
        <v>MRS</v>
      </c>
      <c r="Q273" s="8" t="str">
        <f>IFERROR(VLOOKUP(L273,#REF!,4,0),"0,00")</f>
        <v>0,00</v>
      </c>
      <c r="R273" s="9" t="s">
        <v>42</v>
      </c>
      <c r="S273" s="9">
        <f>COUNTIF(D273,"*_SEG_*")</f>
        <v>1</v>
      </c>
      <c r="T273" s="9">
        <f>COUNTIF(D273,"*_MAN_*")</f>
        <v>0</v>
      </c>
      <c r="U273" s="9">
        <f>(RIGHT(D273,4))*1</f>
        <v>30</v>
      </c>
      <c r="V273" s="9" t="str">
        <f>IFERROR(VLOOKUP(I273,#REF!,2,0),"Sinalização")</f>
        <v>Sinalização</v>
      </c>
    </row>
    <row r="274" spans="1:22" x14ac:dyDescent="0.25">
      <c r="A274" s="3" t="s">
        <v>22</v>
      </c>
      <c r="B274" s="4">
        <v>23518987</v>
      </c>
      <c r="C274" s="5" t="s">
        <v>23</v>
      </c>
      <c r="D274" s="6" t="s">
        <v>931</v>
      </c>
      <c r="E274" s="6" t="s">
        <v>25</v>
      </c>
      <c r="F274" s="11">
        <v>46169</v>
      </c>
      <c r="G274" s="6" t="s">
        <v>1079</v>
      </c>
      <c r="H274" s="7" t="s">
        <v>32</v>
      </c>
      <c r="I274" s="7" t="s">
        <v>301</v>
      </c>
      <c r="J274" s="7" t="s">
        <v>932</v>
      </c>
      <c r="K274" s="7" t="s">
        <v>29</v>
      </c>
      <c r="L274" s="3" t="str">
        <f>E274&amp;D274</f>
        <v>E.SP.IPAEE_INS_SEG_C_I_CDV DETETORA CA_0030</v>
      </c>
      <c r="M274" s="3" t="str">
        <f>IFERROR(MID(D274,SEARCH("S_I_",D274,1),3),"")</f>
        <v/>
      </c>
      <c r="N274" s="3" t="str">
        <f>IFERROR(MID(D274,SEARCH("C_I_",D274,1),3),"")</f>
        <v>C_I</v>
      </c>
      <c r="O274" s="3" t="str">
        <f>IF(AND(M274="",N274=""),"Extra","")</f>
        <v/>
      </c>
      <c r="P274" s="3" t="str">
        <f>IF(Q274=0,"TERCEIRO","MRS")</f>
        <v>MRS</v>
      </c>
      <c r="Q274" s="8" t="str">
        <f>IFERROR(VLOOKUP(L274,#REF!,4,0),"0,00")</f>
        <v>0,00</v>
      </c>
      <c r="R274" s="9" t="s">
        <v>42</v>
      </c>
      <c r="S274" s="9">
        <f>COUNTIF(D274,"*_SEG_*")</f>
        <v>1</v>
      </c>
      <c r="T274" s="9">
        <f>COUNTIF(D274,"*_MAN_*")</f>
        <v>0</v>
      </c>
      <c r="U274" s="9">
        <f>(RIGHT(D274,4))*1</f>
        <v>30</v>
      </c>
      <c r="V274" s="9" t="str">
        <f>IFERROR(VLOOKUP(I274,#REF!,2,0),"Sinalização")</f>
        <v>Sinalização</v>
      </c>
    </row>
    <row r="275" spans="1:22" x14ac:dyDescent="0.25">
      <c r="A275" s="3" t="s">
        <v>22</v>
      </c>
      <c r="B275" s="4">
        <v>23518988</v>
      </c>
      <c r="C275" s="5" t="s">
        <v>23</v>
      </c>
      <c r="D275" s="6" t="s">
        <v>931</v>
      </c>
      <c r="E275" s="6" t="s">
        <v>25</v>
      </c>
      <c r="F275" s="11">
        <v>46169</v>
      </c>
      <c r="G275" s="6" t="s">
        <v>1079</v>
      </c>
      <c r="H275" s="7" t="s">
        <v>26</v>
      </c>
      <c r="I275" s="7" t="s">
        <v>283</v>
      </c>
      <c r="J275" s="7" t="s">
        <v>932</v>
      </c>
      <c r="K275" s="7" t="s">
        <v>29</v>
      </c>
      <c r="L275" s="3" t="str">
        <f>E275&amp;D275</f>
        <v>E.SP.IPAEE_INS_SEG_C_I_CDV DETETORA CA_0030</v>
      </c>
      <c r="M275" s="3" t="str">
        <f>IFERROR(MID(D275,SEARCH("S_I_",D275,1),3),"")</f>
        <v/>
      </c>
      <c r="N275" s="3" t="str">
        <f>IFERROR(MID(D275,SEARCH("C_I_",D275,1),3),"")</f>
        <v>C_I</v>
      </c>
      <c r="O275" s="3" t="str">
        <f>IF(AND(M275="",N275=""),"Extra","")</f>
        <v/>
      </c>
      <c r="P275" s="3" t="str">
        <f>IF(Q275=0,"TERCEIRO","MRS")</f>
        <v>MRS</v>
      </c>
      <c r="Q275" s="8" t="str">
        <f>IFERROR(VLOOKUP(L275,#REF!,4,0),"0,00")</f>
        <v>0,00</v>
      </c>
      <c r="R275" s="9" t="s">
        <v>42</v>
      </c>
      <c r="S275" s="9">
        <f>COUNTIF(D275,"*_SEG_*")</f>
        <v>1</v>
      </c>
      <c r="T275" s="9">
        <f>COUNTIF(D275,"*_MAN_*")</f>
        <v>0</v>
      </c>
      <c r="U275" s="9">
        <f>(RIGHT(D275,4))*1</f>
        <v>30</v>
      </c>
      <c r="V275" s="9" t="str">
        <f>IFERROR(VLOOKUP(I275,#REF!,2,0),"Sinalização")</f>
        <v>Sinalização</v>
      </c>
    </row>
    <row r="276" spans="1:22" x14ac:dyDescent="0.25">
      <c r="A276" s="3" t="s">
        <v>22</v>
      </c>
      <c r="B276" s="4">
        <v>23518990</v>
      </c>
      <c r="C276" s="5" t="s">
        <v>23</v>
      </c>
      <c r="D276" s="6" t="s">
        <v>931</v>
      </c>
      <c r="E276" s="6" t="s">
        <v>25</v>
      </c>
      <c r="F276" s="11">
        <v>46169</v>
      </c>
      <c r="G276" s="6" t="s">
        <v>1079</v>
      </c>
      <c r="H276" s="7" t="s">
        <v>26</v>
      </c>
      <c r="I276" s="7" t="s">
        <v>731</v>
      </c>
      <c r="J276" s="7" t="s">
        <v>932</v>
      </c>
      <c r="K276" s="7" t="s">
        <v>29</v>
      </c>
      <c r="L276" s="3" t="str">
        <f>E276&amp;D276</f>
        <v>E.SP.IPAEE_INS_SEG_C_I_CDV DETETORA CA_0030</v>
      </c>
      <c r="M276" s="3" t="str">
        <f>IFERROR(MID(D276,SEARCH("S_I_",D276,1),3),"")</f>
        <v/>
      </c>
      <c r="N276" s="3" t="str">
        <f>IFERROR(MID(D276,SEARCH("C_I_",D276,1),3),"")</f>
        <v>C_I</v>
      </c>
      <c r="O276" s="3" t="str">
        <f>IF(AND(M276="",N276=""),"Extra","")</f>
        <v/>
      </c>
      <c r="P276" s="3" t="str">
        <f>IF(Q276=0,"TERCEIRO","MRS")</f>
        <v>MRS</v>
      </c>
      <c r="Q276" s="8" t="str">
        <f>IFERROR(VLOOKUP(L276,#REF!,4,0),"0,00")</f>
        <v>0,00</v>
      </c>
      <c r="R276" s="9" t="s">
        <v>42</v>
      </c>
      <c r="S276" s="9">
        <f>COUNTIF(D276,"*_SEG_*")</f>
        <v>1</v>
      </c>
      <c r="T276" s="9">
        <f>COUNTIF(D276,"*_MAN_*")</f>
        <v>0</v>
      </c>
      <c r="U276" s="9">
        <f>(RIGHT(D276,4))*1</f>
        <v>30</v>
      </c>
      <c r="V276" s="9" t="str">
        <f>IFERROR(VLOOKUP(I276,#REF!,2,0),"Sinalização")</f>
        <v>Sinalização</v>
      </c>
    </row>
    <row r="277" spans="1:22" x14ac:dyDescent="0.25">
      <c r="A277" s="3" t="s">
        <v>22</v>
      </c>
      <c r="B277" s="4">
        <v>23519106</v>
      </c>
      <c r="C277" s="5" t="s">
        <v>23</v>
      </c>
      <c r="D277" s="6" t="s">
        <v>934</v>
      </c>
      <c r="E277" s="6" t="s">
        <v>25</v>
      </c>
      <c r="F277" s="11">
        <v>46169</v>
      </c>
      <c r="G277" s="6" t="s">
        <v>1079</v>
      </c>
      <c r="H277" s="7" t="s">
        <v>32</v>
      </c>
      <c r="I277" s="7" t="s">
        <v>601</v>
      </c>
      <c r="J277" s="7" t="s">
        <v>816</v>
      </c>
      <c r="K277" s="7" t="s">
        <v>29</v>
      </c>
      <c r="L277" s="3" t="str">
        <f>E277&amp;D277</f>
        <v>E.SP.IPAEE_INS_SEG_C_I_CIRCUITO VIA CC_0030</v>
      </c>
      <c r="M277" s="3" t="str">
        <f>IFERROR(MID(D277,SEARCH("S_I_",D277,1),3),"")</f>
        <v/>
      </c>
      <c r="N277" s="3" t="str">
        <f>IFERROR(MID(D277,SEARCH("C_I_",D277,1),3),"")</f>
        <v>C_I</v>
      </c>
      <c r="O277" s="3" t="str">
        <f>IF(AND(M277="",N277=""),"Extra","")</f>
        <v/>
      </c>
      <c r="P277" s="3" t="str">
        <f>IF(Q277=0,"TERCEIRO","MRS")</f>
        <v>MRS</v>
      </c>
      <c r="Q277" s="8" t="str">
        <f>IFERROR(VLOOKUP(L277,#REF!,4,0),"0,00")</f>
        <v>0,00</v>
      </c>
      <c r="R277" s="9" t="s">
        <v>42</v>
      </c>
      <c r="S277" s="9">
        <f>COUNTIF(D277,"*_SEG_*")</f>
        <v>1</v>
      </c>
      <c r="T277" s="9">
        <f>COUNTIF(D277,"*_MAN_*")</f>
        <v>0</v>
      </c>
      <c r="U277" s="9">
        <f>(RIGHT(D277,4))*1</f>
        <v>30</v>
      </c>
      <c r="V277" s="9" t="str">
        <f>IFERROR(VLOOKUP(I277,#REF!,2,0),"Sinalização")</f>
        <v>Sinalização</v>
      </c>
    </row>
    <row r="278" spans="1:22" x14ac:dyDescent="0.25">
      <c r="A278" s="3" t="s">
        <v>22</v>
      </c>
      <c r="B278" s="4">
        <v>23519152</v>
      </c>
      <c r="C278" s="5" t="s">
        <v>23</v>
      </c>
      <c r="D278" s="6" t="s">
        <v>935</v>
      </c>
      <c r="E278" s="6" t="s">
        <v>25</v>
      </c>
      <c r="F278" s="11">
        <v>46169</v>
      </c>
      <c r="G278" s="6" t="s">
        <v>1079</v>
      </c>
      <c r="H278" s="7" t="s">
        <v>32</v>
      </c>
      <c r="I278" s="7" t="s">
        <v>298</v>
      </c>
      <c r="J278" s="7" t="s">
        <v>834</v>
      </c>
      <c r="K278" s="7" t="s">
        <v>29</v>
      </c>
      <c r="L278" s="3" t="str">
        <f>E278&amp;D278</f>
        <v>E.SP.IPAEE_INS_CONF_S_I_MCH 110VCC GRS 55BR_0030</v>
      </c>
      <c r="M278" s="3" t="str">
        <f>IFERROR(MID(D278,SEARCH("S_I_",D278,1),3),"")</f>
        <v>S_I</v>
      </c>
      <c r="N278" s="3" t="str">
        <f>IFERROR(MID(D278,SEARCH("C_I_",D278,1),3),"")</f>
        <v/>
      </c>
      <c r="O278" s="3" t="str">
        <f>IF(AND(M278="",N278=""),"Extra","")</f>
        <v/>
      </c>
      <c r="P278" s="3" t="str">
        <f>IF(Q278=0,"TERCEIRO","MRS")</f>
        <v>MRS</v>
      </c>
      <c r="Q278" s="8" t="str">
        <f>IFERROR(VLOOKUP(L278,#REF!,4,0),"0,00")</f>
        <v>0,00</v>
      </c>
      <c r="R278" s="9" t="s">
        <v>42</v>
      </c>
      <c r="S278" s="9">
        <f>COUNTIF(D278,"*_SEG_*")</f>
        <v>0</v>
      </c>
      <c r="T278" s="9">
        <f>COUNTIF(D278,"*_MAN_*")</f>
        <v>0</v>
      </c>
      <c r="U278" s="9">
        <f>(RIGHT(D278,4))*1</f>
        <v>30</v>
      </c>
      <c r="V278" s="9" t="str">
        <f>IFERROR(VLOOKUP(I278,#REF!,2,0),"Sinalização")</f>
        <v>Sinalização</v>
      </c>
    </row>
    <row r="279" spans="1:22" x14ac:dyDescent="0.25">
      <c r="A279" s="3" t="s">
        <v>22</v>
      </c>
      <c r="B279" s="4">
        <v>23519153</v>
      </c>
      <c r="C279" s="5" t="s">
        <v>23</v>
      </c>
      <c r="D279" s="6" t="s">
        <v>935</v>
      </c>
      <c r="E279" s="6" t="s">
        <v>25</v>
      </c>
      <c r="F279" s="11">
        <v>46169</v>
      </c>
      <c r="G279" s="6" t="s">
        <v>1079</v>
      </c>
      <c r="H279" s="7" t="s">
        <v>26</v>
      </c>
      <c r="I279" s="7" t="s">
        <v>299</v>
      </c>
      <c r="J279" s="7" t="s">
        <v>834</v>
      </c>
      <c r="K279" s="7" t="s">
        <v>29</v>
      </c>
      <c r="L279" s="3" t="str">
        <f>E279&amp;D279</f>
        <v>E.SP.IPAEE_INS_CONF_S_I_MCH 110VCC GRS 55BR_0030</v>
      </c>
      <c r="M279" s="3" t="str">
        <f>IFERROR(MID(D279,SEARCH("S_I_",D279,1),3),"")</f>
        <v>S_I</v>
      </c>
      <c r="N279" s="3" t="str">
        <f>IFERROR(MID(D279,SEARCH("C_I_",D279,1),3),"")</f>
        <v/>
      </c>
      <c r="O279" s="3" t="str">
        <f>IF(AND(M279="",N279=""),"Extra","")</f>
        <v/>
      </c>
      <c r="P279" s="3" t="str">
        <f>IF(Q279=0,"TERCEIRO","MRS")</f>
        <v>MRS</v>
      </c>
      <c r="Q279" s="8" t="str">
        <f>IFERROR(VLOOKUP(L279,#REF!,4,0),"0,00")</f>
        <v>0,00</v>
      </c>
      <c r="R279" s="9" t="s">
        <v>42</v>
      </c>
      <c r="S279" s="9">
        <f>COUNTIF(D279,"*_SEG_*")</f>
        <v>0</v>
      </c>
      <c r="T279" s="9">
        <f>COUNTIF(D279,"*_MAN_*")</f>
        <v>0</v>
      </c>
      <c r="U279" s="9">
        <f>(RIGHT(D279,4))*1</f>
        <v>30</v>
      </c>
      <c r="V279" s="9" t="str">
        <f>IFERROR(VLOOKUP(I279,#REF!,2,0),"Sinalização")</f>
        <v>Sinalização</v>
      </c>
    </row>
    <row r="280" spans="1:22" x14ac:dyDescent="0.25">
      <c r="A280" s="3" t="s">
        <v>22</v>
      </c>
      <c r="B280" s="4">
        <v>23519154</v>
      </c>
      <c r="C280" s="5" t="s">
        <v>23</v>
      </c>
      <c r="D280" s="6" t="s">
        <v>935</v>
      </c>
      <c r="E280" s="6" t="s">
        <v>25</v>
      </c>
      <c r="F280" s="11">
        <v>46169</v>
      </c>
      <c r="G280" s="6" t="s">
        <v>1079</v>
      </c>
      <c r="H280" s="7" t="s">
        <v>26</v>
      </c>
      <c r="I280" s="7" t="s">
        <v>297</v>
      </c>
      <c r="J280" s="7" t="s">
        <v>834</v>
      </c>
      <c r="K280" s="7" t="s">
        <v>29</v>
      </c>
      <c r="L280" s="3" t="str">
        <f>E280&amp;D280</f>
        <v>E.SP.IPAEE_INS_CONF_S_I_MCH 110VCC GRS 55BR_0030</v>
      </c>
      <c r="M280" s="3" t="str">
        <f>IFERROR(MID(D280,SEARCH("S_I_",D280,1),3),"")</f>
        <v>S_I</v>
      </c>
      <c r="N280" s="3" t="str">
        <f>IFERROR(MID(D280,SEARCH("C_I_",D280,1),3),"")</f>
        <v/>
      </c>
      <c r="O280" s="3" t="str">
        <f>IF(AND(M280="",N280=""),"Extra","")</f>
        <v/>
      </c>
      <c r="P280" s="3" t="str">
        <f>IF(Q280=0,"TERCEIRO","MRS")</f>
        <v>MRS</v>
      </c>
      <c r="Q280" s="8" t="str">
        <f>IFERROR(VLOOKUP(L280,#REF!,4,0),"0,00")</f>
        <v>0,00</v>
      </c>
      <c r="R280" s="9" t="s">
        <v>42</v>
      </c>
      <c r="S280" s="9">
        <f>COUNTIF(D280,"*_SEG_*")</f>
        <v>0</v>
      </c>
      <c r="T280" s="9">
        <f>COUNTIF(D280,"*_MAN_*")</f>
        <v>0</v>
      </c>
      <c r="U280" s="9">
        <f>(RIGHT(D280,4))*1</f>
        <v>30</v>
      </c>
      <c r="V280" s="9" t="str">
        <f>IFERROR(VLOOKUP(I280,#REF!,2,0),"Sinalização")</f>
        <v>Sinalização</v>
      </c>
    </row>
    <row r="281" spans="1:22" x14ac:dyDescent="0.25">
      <c r="A281" s="3" t="s">
        <v>22</v>
      </c>
      <c r="B281" s="4">
        <v>23519360</v>
      </c>
      <c r="C281" s="5" t="s">
        <v>23</v>
      </c>
      <c r="D281" s="6" t="s">
        <v>1066</v>
      </c>
      <c r="E281" s="6" t="s">
        <v>25</v>
      </c>
      <c r="F281" s="11">
        <v>46169</v>
      </c>
      <c r="G281" s="6" t="s">
        <v>1079</v>
      </c>
      <c r="H281" s="7" t="s">
        <v>32</v>
      </c>
      <c r="I281" s="7" t="s">
        <v>306</v>
      </c>
      <c r="J281" s="7" t="s">
        <v>958</v>
      </c>
      <c r="K281" s="7" t="s">
        <v>29</v>
      </c>
      <c r="L281" s="3" t="str">
        <f>E281&amp;D281</f>
        <v>E.SP.IPAEE_INS_SEG_C_I_MAQ CHAVE M2/M3_0030</v>
      </c>
      <c r="M281" s="3" t="str">
        <f>IFERROR(MID(D281,SEARCH("S_I_",D281,1),3),"")</f>
        <v/>
      </c>
      <c r="N281" s="3" t="str">
        <f>IFERROR(MID(D281,SEARCH("C_I_",D281,1),3),"")</f>
        <v>C_I</v>
      </c>
      <c r="O281" s="3" t="str">
        <f>IF(AND(M281="",N281=""),"Extra","")</f>
        <v/>
      </c>
      <c r="P281" s="3" t="str">
        <f>IF(Q281=0,"TERCEIRO","MRS")</f>
        <v>MRS</v>
      </c>
      <c r="Q281" s="8" t="str">
        <f>IFERROR(VLOOKUP(L281,#REF!,4,0),"0,00")</f>
        <v>0,00</v>
      </c>
      <c r="R281" s="9" t="s">
        <v>42</v>
      </c>
      <c r="S281" s="9">
        <f>COUNTIF(D281,"*_SEG_*")</f>
        <v>1</v>
      </c>
      <c r="T281" s="9">
        <f>COUNTIF(D281,"*_MAN_*")</f>
        <v>0</v>
      </c>
      <c r="U281" s="9">
        <f>(RIGHT(D281,4))*1</f>
        <v>30</v>
      </c>
      <c r="V281" s="9" t="str">
        <f>IFERROR(VLOOKUP(I281,#REF!,2,0),"Sinalização")</f>
        <v>Sinalização</v>
      </c>
    </row>
    <row r="282" spans="1:22" x14ac:dyDescent="0.25">
      <c r="A282" s="3" t="s">
        <v>22</v>
      </c>
      <c r="B282" s="4">
        <v>23519361</v>
      </c>
      <c r="C282" s="5" t="s">
        <v>23</v>
      </c>
      <c r="D282" s="6" t="s">
        <v>1066</v>
      </c>
      <c r="E282" s="6" t="s">
        <v>25</v>
      </c>
      <c r="F282" s="11">
        <v>46169</v>
      </c>
      <c r="G282" s="6" t="s">
        <v>1079</v>
      </c>
      <c r="H282" s="7" t="s">
        <v>32</v>
      </c>
      <c r="I282" s="7" t="s">
        <v>305</v>
      </c>
      <c r="J282" s="7" t="s">
        <v>958</v>
      </c>
      <c r="K282" s="7" t="s">
        <v>29</v>
      </c>
      <c r="L282" s="3" t="str">
        <f>E282&amp;D282</f>
        <v>E.SP.IPAEE_INS_SEG_C_I_MAQ CHAVE M2/M3_0030</v>
      </c>
      <c r="M282" s="3" t="str">
        <f>IFERROR(MID(D282,SEARCH("S_I_",D282,1),3),"")</f>
        <v/>
      </c>
      <c r="N282" s="3" t="str">
        <f>IFERROR(MID(D282,SEARCH("C_I_",D282,1),3),"")</f>
        <v>C_I</v>
      </c>
      <c r="O282" s="3" t="str">
        <f>IF(AND(M282="",N282=""),"Extra","")</f>
        <v/>
      </c>
      <c r="P282" s="3" t="str">
        <f>IF(Q282=0,"TERCEIRO","MRS")</f>
        <v>MRS</v>
      </c>
      <c r="Q282" s="8" t="str">
        <f>IFERROR(VLOOKUP(L282,#REF!,4,0),"0,00")</f>
        <v>0,00</v>
      </c>
      <c r="R282" s="9" t="s">
        <v>42</v>
      </c>
      <c r="S282" s="9">
        <f>COUNTIF(D282,"*_SEG_*")</f>
        <v>1</v>
      </c>
      <c r="T282" s="9">
        <f>COUNTIF(D282,"*_MAN_*")</f>
        <v>0</v>
      </c>
      <c r="U282" s="9">
        <f>(RIGHT(D282,4))*1</f>
        <v>30</v>
      </c>
      <c r="V282" s="9" t="str">
        <f>IFERROR(VLOOKUP(I282,#REF!,2,0),"Sinalização")</f>
        <v>Sinalização</v>
      </c>
    </row>
    <row r="283" spans="1:22" x14ac:dyDescent="0.25">
      <c r="A283" s="3" t="s">
        <v>22</v>
      </c>
      <c r="B283" s="4">
        <v>23519362</v>
      </c>
      <c r="C283" s="5" t="s">
        <v>23</v>
      </c>
      <c r="D283" s="6" t="s">
        <v>1066</v>
      </c>
      <c r="E283" s="6" t="s">
        <v>25</v>
      </c>
      <c r="F283" s="11">
        <v>46169</v>
      </c>
      <c r="G283" s="6" t="s">
        <v>1079</v>
      </c>
      <c r="H283" s="7" t="s">
        <v>26</v>
      </c>
      <c r="I283" s="7" t="s">
        <v>304</v>
      </c>
      <c r="J283" s="7" t="s">
        <v>958</v>
      </c>
      <c r="K283" s="7" t="s">
        <v>29</v>
      </c>
      <c r="L283" s="3" t="str">
        <f>E283&amp;D283</f>
        <v>E.SP.IPAEE_INS_SEG_C_I_MAQ CHAVE M2/M3_0030</v>
      </c>
      <c r="M283" s="3" t="str">
        <f>IFERROR(MID(D283,SEARCH("S_I_",D283,1),3),"")</f>
        <v/>
      </c>
      <c r="N283" s="3" t="str">
        <f>IFERROR(MID(D283,SEARCH("C_I_",D283,1),3),"")</f>
        <v>C_I</v>
      </c>
      <c r="O283" s="3" t="str">
        <f>IF(AND(M283="",N283=""),"Extra","")</f>
        <v/>
      </c>
      <c r="P283" s="3" t="str">
        <f>IF(Q283=0,"TERCEIRO","MRS")</f>
        <v>MRS</v>
      </c>
      <c r="Q283" s="8" t="str">
        <f>IFERROR(VLOOKUP(L283,#REF!,4,0),"0,00")</f>
        <v>0,00</v>
      </c>
      <c r="R283" s="9" t="s">
        <v>42</v>
      </c>
      <c r="S283" s="9">
        <f>COUNTIF(D283,"*_SEG_*")</f>
        <v>1</v>
      </c>
      <c r="T283" s="9">
        <f>COUNTIF(D283,"*_MAN_*")</f>
        <v>0</v>
      </c>
      <c r="U283" s="9">
        <f>(RIGHT(D283,4))*1</f>
        <v>30</v>
      </c>
      <c r="V283" s="9" t="str">
        <f>IFERROR(VLOOKUP(I283,#REF!,2,0),"Sinalização")</f>
        <v>Sinalização</v>
      </c>
    </row>
    <row r="284" spans="1:22" x14ac:dyDescent="0.25">
      <c r="A284" s="3" t="s">
        <v>22</v>
      </c>
      <c r="B284" s="4">
        <v>23519377</v>
      </c>
      <c r="C284" s="5" t="s">
        <v>23</v>
      </c>
      <c r="D284" s="6" t="s">
        <v>945</v>
      </c>
      <c r="E284" s="6" t="s">
        <v>25</v>
      </c>
      <c r="F284" s="11">
        <v>46169</v>
      </c>
      <c r="G284" s="6" t="s">
        <v>1079</v>
      </c>
      <c r="H284" s="7" t="s">
        <v>26</v>
      </c>
      <c r="I284" s="7" t="s">
        <v>737</v>
      </c>
      <c r="J284" s="7" t="s">
        <v>946</v>
      </c>
      <c r="K284" s="7" t="s">
        <v>29</v>
      </c>
      <c r="L284" s="3" t="str">
        <f>E284&amp;D284</f>
        <v>E.SP.IPAT_EE_INS_CONF_S_I_COM ENE CHAN OVER_0030</v>
      </c>
      <c r="M284" s="3" t="str">
        <f>IFERROR(MID(D284,SEARCH("S_I_",D284,1),3),"")</f>
        <v>S_I</v>
      </c>
      <c r="N284" s="3" t="str">
        <f>IFERROR(MID(D284,SEARCH("C_I_",D284,1),3),"")</f>
        <v/>
      </c>
      <c r="O284" s="3" t="str">
        <f>IF(AND(M284="",N284=""),"Extra","")</f>
        <v/>
      </c>
      <c r="P284" s="3" t="str">
        <f>IF(Q284=0,"TERCEIRO","MRS")</f>
        <v>MRS</v>
      </c>
      <c r="Q284" s="8" t="str">
        <f>IFERROR(VLOOKUP(L284,#REF!,4,0),"0,00")</f>
        <v>0,00</v>
      </c>
      <c r="R284" s="9" t="s">
        <v>42</v>
      </c>
      <c r="S284" s="9">
        <f>COUNTIF(D284,"*_SEG_*")</f>
        <v>0</v>
      </c>
      <c r="T284" s="9">
        <f>COUNTIF(D284,"*_MAN_*")</f>
        <v>0</v>
      </c>
      <c r="U284" s="9">
        <f>(RIGHT(D284,4))*1</f>
        <v>30</v>
      </c>
      <c r="V284" s="9" t="str">
        <f>IFERROR(VLOOKUP(I284,#REF!,2,0),"Sinalização")</f>
        <v>Sinalização</v>
      </c>
    </row>
    <row r="285" spans="1:22" x14ac:dyDescent="0.25">
      <c r="A285" s="3" t="s">
        <v>22</v>
      </c>
      <c r="B285" s="4">
        <v>23519378</v>
      </c>
      <c r="C285" s="5" t="s">
        <v>23</v>
      </c>
      <c r="D285" s="6" t="s">
        <v>945</v>
      </c>
      <c r="E285" s="6" t="s">
        <v>25</v>
      </c>
      <c r="F285" s="11">
        <v>46169</v>
      </c>
      <c r="G285" s="6" t="s">
        <v>1079</v>
      </c>
      <c r="H285" s="7" t="s">
        <v>32</v>
      </c>
      <c r="I285" s="7" t="s">
        <v>738</v>
      </c>
      <c r="J285" s="7" t="s">
        <v>946</v>
      </c>
      <c r="K285" s="7" t="s">
        <v>29</v>
      </c>
      <c r="L285" s="3" t="str">
        <f>E285&amp;D285</f>
        <v>E.SP.IPAT_EE_INS_CONF_S_I_COM ENE CHAN OVER_0030</v>
      </c>
      <c r="M285" s="3" t="str">
        <f>IFERROR(MID(D285,SEARCH("S_I_",D285,1),3),"")</f>
        <v>S_I</v>
      </c>
      <c r="N285" s="3" t="str">
        <f>IFERROR(MID(D285,SEARCH("C_I_",D285,1),3),"")</f>
        <v/>
      </c>
      <c r="O285" s="3" t="str">
        <f>IF(AND(M285="",N285=""),"Extra","")</f>
        <v/>
      </c>
      <c r="P285" s="3" t="str">
        <f>IF(Q285=0,"TERCEIRO","MRS")</f>
        <v>MRS</v>
      </c>
      <c r="Q285" s="8" t="str">
        <f>IFERROR(VLOOKUP(L285,#REF!,4,0),"0,00")</f>
        <v>0,00</v>
      </c>
      <c r="R285" s="9" t="s">
        <v>42</v>
      </c>
      <c r="S285" s="9">
        <f>COUNTIF(D285,"*_SEG_*")</f>
        <v>0</v>
      </c>
      <c r="T285" s="9">
        <f>COUNTIF(D285,"*_MAN_*")</f>
        <v>0</v>
      </c>
      <c r="U285" s="9">
        <f>(RIGHT(D285,4))*1</f>
        <v>30</v>
      </c>
      <c r="V285" s="9" t="str">
        <f>IFERROR(VLOOKUP(I285,#REF!,2,0),"Sinalização")</f>
        <v>Sinalização</v>
      </c>
    </row>
    <row r="286" spans="1:22" x14ac:dyDescent="0.25">
      <c r="A286" s="3" t="s">
        <v>22</v>
      </c>
      <c r="B286" s="4">
        <v>23519379</v>
      </c>
      <c r="C286" s="5" t="s">
        <v>23</v>
      </c>
      <c r="D286" s="6" t="s">
        <v>945</v>
      </c>
      <c r="E286" s="6" t="s">
        <v>25</v>
      </c>
      <c r="F286" s="11">
        <v>46169</v>
      </c>
      <c r="G286" s="6" t="s">
        <v>1079</v>
      </c>
      <c r="H286" s="7" t="s">
        <v>32</v>
      </c>
      <c r="I286" s="7" t="s">
        <v>1067</v>
      </c>
      <c r="J286" s="7" t="s">
        <v>946</v>
      </c>
      <c r="K286" s="7" t="s">
        <v>29</v>
      </c>
      <c r="L286" s="3" t="str">
        <f>E286&amp;D286</f>
        <v>E.SP.IPAT_EE_INS_CONF_S_I_COM ENE CHAN OVER_0030</v>
      </c>
      <c r="M286" s="3" t="str">
        <f>IFERROR(MID(D286,SEARCH("S_I_",D286,1),3),"")</f>
        <v>S_I</v>
      </c>
      <c r="N286" s="3" t="str">
        <f>IFERROR(MID(D286,SEARCH("C_I_",D286,1),3),"")</f>
        <v/>
      </c>
      <c r="O286" s="3" t="str">
        <f>IF(AND(M286="",N286=""),"Extra","")</f>
        <v/>
      </c>
      <c r="P286" s="3" t="str">
        <f>IF(Q286=0,"TERCEIRO","MRS")</f>
        <v>MRS</v>
      </c>
      <c r="Q286" s="8" t="str">
        <f>IFERROR(VLOOKUP(L286,#REF!,4,0),"0,00")</f>
        <v>0,00</v>
      </c>
      <c r="R286" s="9" t="s">
        <v>42</v>
      </c>
      <c r="S286" s="9">
        <f>COUNTIF(D286,"*_SEG_*")</f>
        <v>0</v>
      </c>
      <c r="T286" s="9">
        <f>COUNTIF(D286,"*_MAN_*")</f>
        <v>0</v>
      </c>
      <c r="U286" s="9">
        <f>(RIGHT(D286,4))*1</f>
        <v>30</v>
      </c>
      <c r="V286" s="9" t="str">
        <f>IFERROR(VLOOKUP(I286,#REF!,2,0),"Sinalização")</f>
        <v>Sinalização</v>
      </c>
    </row>
    <row r="287" spans="1:22" x14ac:dyDescent="0.25">
      <c r="A287" s="3" t="s">
        <v>22</v>
      </c>
      <c r="B287" s="4">
        <v>23519380</v>
      </c>
      <c r="C287" s="5" t="s">
        <v>23</v>
      </c>
      <c r="D287" s="6" t="s">
        <v>945</v>
      </c>
      <c r="E287" s="6" t="s">
        <v>25</v>
      </c>
      <c r="F287" s="11">
        <v>46169</v>
      </c>
      <c r="G287" s="6" t="s">
        <v>1079</v>
      </c>
      <c r="H287" s="7" t="s">
        <v>26</v>
      </c>
      <c r="I287" s="7" t="s">
        <v>1068</v>
      </c>
      <c r="J287" s="7" t="s">
        <v>946</v>
      </c>
      <c r="K287" s="7" t="s">
        <v>29</v>
      </c>
      <c r="L287" s="3" t="str">
        <f>E287&amp;D287</f>
        <v>E.SP.IPAT_EE_INS_CONF_S_I_COM ENE CHAN OVER_0030</v>
      </c>
      <c r="M287" s="3" t="str">
        <f>IFERROR(MID(D287,SEARCH("S_I_",D287,1),3),"")</f>
        <v>S_I</v>
      </c>
      <c r="N287" s="3" t="str">
        <f>IFERROR(MID(D287,SEARCH("C_I_",D287,1),3),"")</f>
        <v/>
      </c>
      <c r="O287" s="3" t="str">
        <f>IF(AND(M287="",N287=""),"Extra","")</f>
        <v/>
      </c>
      <c r="P287" s="3" t="str">
        <f>IF(Q287=0,"TERCEIRO","MRS")</f>
        <v>MRS</v>
      </c>
      <c r="Q287" s="8" t="str">
        <f>IFERROR(VLOOKUP(L287,#REF!,4,0),"0,00")</f>
        <v>0,00</v>
      </c>
      <c r="R287" s="9" t="s">
        <v>42</v>
      </c>
      <c r="S287" s="9">
        <f>COUNTIF(D287,"*_SEG_*")</f>
        <v>0</v>
      </c>
      <c r="T287" s="9">
        <f>COUNTIF(D287,"*_MAN_*")</f>
        <v>0</v>
      </c>
      <c r="U287" s="9">
        <f>(RIGHT(D287,4))*1</f>
        <v>30</v>
      </c>
      <c r="V287" s="9" t="str">
        <f>IFERROR(VLOOKUP(I287,#REF!,2,0),"Sinalização")</f>
        <v>Sinalização</v>
      </c>
    </row>
    <row r="288" spans="1:22" x14ac:dyDescent="0.25">
      <c r="A288" s="3" t="s">
        <v>22</v>
      </c>
      <c r="B288" s="4">
        <v>23519381</v>
      </c>
      <c r="C288" s="5" t="s">
        <v>23</v>
      </c>
      <c r="D288" s="6" t="s">
        <v>945</v>
      </c>
      <c r="E288" s="6" t="s">
        <v>25</v>
      </c>
      <c r="F288" s="11">
        <v>46169</v>
      </c>
      <c r="G288" s="6" t="s">
        <v>1079</v>
      </c>
      <c r="H288" s="7" t="s">
        <v>26</v>
      </c>
      <c r="I288" s="7" t="s">
        <v>1069</v>
      </c>
      <c r="J288" s="7" t="s">
        <v>946</v>
      </c>
      <c r="K288" s="7" t="s">
        <v>29</v>
      </c>
      <c r="L288" s="3" t="str">
        <f>E288&amp;D288</f>
        <v>E.SP.IPAT_EE_INS_CONF_S_I_COM ENE CHAN OVER_0030</v>
      </c>
      <c r="M288" s="3" t="str">
        <f>IFERROR(MID(D288,SEARCH("S_I_",D288,1),3),"")</f>
        <v>S_I</v>
      </c>
      <c r="N288" s="3" t="str">
        <f>IFERROR(MID(D288,SEARCH("C_I_",D288,1),3),"")</f>
        <v/>
      </c>
      <c r="O288" s="3" t="str">
        <f>IF(AND(M288="",N288=""),"Extra","")</f>
        <v/>
      </c>
      <c r="P288" s="3" t="str">
        <f>IF(Q288=0,"TERCEIRO","MRS")</f>
        <v>MRS</v>
      </c>
      <c r="Q288" s="8" t="str">
        <f>IFERROR(VLOOKUP(L288,#REF!,4,0),"0,00")</f>
        <v>0,00</v>
      </c>
      <c r="R288" s="9" t="s">
        <v>42</v>
      </c>
      <c r="S288" s="9">
        <f>COUNTIF(D288,"*_SEG_*")</f>
        <v>0</v>
      </c>
      <c r="T288" s="9">
        <f>COUNTIF(D288,"*_MAN_*")</f>
        <v>0</v>
      </c>
      <c r="U288" s="9">
        <f>(RIGHT(D288,4))*1</f>
        <v>30</v>
      </c>
      <c r="V288" s="9" t="str">
        <f>IFERROR(VLOOKUP(I288,#REF!,2,0),"Sinalização")</f>
        <v>Sinalização</v>
      </c>
    </row>
    <row r="289" spans="1:22" x14ac:dyDescent="0.25">
      <c r="A289" s="3" t="s">
        <v>22</v>
      </c>
      <c r="B289" s="4">
        <v>23519382</v>
      </c>
      <c r="C289" s="5" t="s">
        <v>23</v>
      </c>
      <c r="D289" s="6" t="s">
        <v>945</v>
      </c>
      <c r="E289" s="6" t="s">
        <v>25</v>
      </c>
      <c r="F289" s="11">
        <v>46169</v>
      </c>
      <c r="G289" s="6" t="s">
        <v>1079</v>
      </c>
      <c r="H289" s="7" t="s">
        <v>32</v>
      </c>
      <c r="I289" s="7" t="s">
        <v>764</v>
      </c>
      <c r="J289" s="7" t="s">
        <v>946</v>
      </c>
      <c r="K289" s="7" t="s">
        <v>29</v>
      </c>
      <c r="L289" s="3" t="str">
        <f>E289&amp;D289</f>
        <v>E.SP.IPAT_EE_INS_CONF_S_I_COM ENE CHAN OVER_0030</v>
      </c>
      <c r="M289" s="3" t="str">
        <f>IFERROR(MID(D289,SEARCH("S_I_",D289,1),3),"")</f>
        <v>S_I</v>
      </c>
      <c r="N289" s="3" t="str">
        <f>IFERROR(MID(D289,SEARCH("C_I_",D289,1),3),"")</f>
        <v/>
      </c>
      <c r="O289" s="3" t="str">
        <f>IF(AND(M289="",N289=""),"Extra","")</f>
        <v/>
      </c>
      <c r="P289" s="3" t="str">
        <f>IF(Q289=0,"TERCEIRO","MRS")</f>
        <v>MRS</v>
      </c>
      <c r="Q289" s="8" t="str">
        <f>IFERROR(VLOOKUP(L289,#REF!,4,0),"0,00")</f>
        <v>0,00</v>
      </c>
      <c r="R289" s="9" t="s">
        <v>42</v>
      </c>
      <c r="S289" s="9">
        <f>COUNTIF(D289,"*_SEG_*")</f>
        <v>0</v>
      </c>
      <c r="T289" s="9">
        <f>COUNTIF(D289,"*_MAN_*")</f>
        <v>0</v>
      </c>
      <c r="U289" s="9">
        <f>(RIGHT(D289,4))*1</f>
        <v>30</v>
      </c>
      <c r="V289" s="9" t="str">
        <f>IFERROR(VLOOKUP(I289,#REF!,2,0),"Sinalização")</f>
        <v>Sinalização</v>
      </c>
    </row>
    <row r="290" spans="1:22" x14ac:dyDescent="0.25">
      <c r="A290" s="3" t="s">
        <v>22</v>
      </c>
      <c r="B290" s="4">
        <v>23519431</v>
      </c>
      <c r="C290" s="5" t="s">
        <v>23</v>
      </c>
      <c r="D290" s="6" t="s">
        <v>959</v>
      </c>
      <c r="E290" s="6" t="s">
        <v>25</v>
      </c>
      <c r="F290" s="11">
        <v>46169</v>
      </c>
      <c r="G290" s="6" t="s">
        <v>1079</v>
      </c>
      <c r="H290" s="7" t="s">
        <v>32</v>
      </c>
      <c r="I290" s="7" t="s">
        <v>730</v>
      </c>
      <c r="J290" s="7" t="s">
        <v>830</v>
      </c>
      <c r="K290" s="7" t="s">
        <v>29</v>
      </c>
      <c r="L290" s="3" t="str">
        <f>E290&amp;D290</f>
        <v>E.SP.IPAT_EE_INS_CONF_S_I_CDV DETETORA CA_0030</v>
      </c>
      <c r="M290" s="3" t="str">
        <f>IFERROR(MID(D290,SEARCH("S_I_",D290,1),3),"")</f>
        <v>S_I</v>
      </c>
      <c r="N290" s="3" t="str">
        <f>IFERROR(MID(D290,SEARCH("C_I_",D290,1),3),"")</f>
        <v/>
      </c>
      <c r="O290" s="3" t="str">
        <f>IF(AND(M290="",N290=""),"Extra","")</f>
        <v/>
      </c>
      <c r="P290" s="3" t="str">
        <f>IF(Q290=0,"TERCEIRO","MRS")</f>
        <v>MRS</v>
      </c>
      <c r="Q290" s="8" t="str">
        <f>IFERROR(VLOOKUP(L290,#REF!,4,0),"0,00")</f>
        <v>0,00</v>
      </c>
      <c r="R290" s="9" t="s">
        <v>42</v>
      </c>
      <c r="S290" s="9">
        <f>COUNTIF(D290,"*_SEG_*")</f>
        <v>0</v>
      </c>
      <c r="T290" s="9">
        <f>COUNTIF(D290,"*_MAN_*")</f>
        <v>0</v>
      </c>
      <c r="U290" s="9">
        <f>(RIGHT(D290,4))*1</f>
        <v>30</v>
      </c>
      <c r="V290" s="9" t="str">
        <f>IFERROR(VLOOKUP(I290,#REF!,2,0),"Sinalização")</f>
        <v>Sinalização</v>
      </c>
    </row>
    <row r="291" spans="1:22" x14ac:dyDescent="0.25">
      <c r="A291" s="3" t="s">
        <v>22</v>
      </c>
      <c r="B291" s="4">
        <v>23519432</v>
      </c>
      <c r="C291" s="5" t="s">
        <v>23</v>
      </c>
      <c r="D291" s="6" t="s">
        <v>959</v>
      </c>
      <c r="E291" s="6" t="s">
        <v>25</v>
      </c>
      <c r="F291" s="11">
        <v>46169</v>
      </c>
      <c r="G291" s="6" t="s">
        <v>1079</v>
      </c>
      <c r="H291" s="7" t="s">
        <v>26</v>
      </c>
      <c r="I291" s="7" t="s">
        <v>283</v>
      </c>
      <c r="J291" s="7" t="s">
        <v>830</v>
      </c>
      <c r="K291" s="7" t="s">
        <v>29</v>
      </c>
      <c r="L291" s="3" t="str">
        <f>E291&amp;D291</f>
        <v>E.SP.IPAT_EE_INS_CONF_S_I_CDV DETETORA CA_0030</v>
      </c>
      <c r="M291" s="3" t="str">
        <f>IFERROR(MID(D291,SEARCH("S_I_",D291,1),3),"")</f>
        <v>S_I</v>
      </c>
      <c r="N291" s="3" t="str">
        <f>IFERROR(MID(D291,SEARCH("C_I_",D291,1),3),"")</f>
        <v/>
      </c>
      <c r="O291" s="3" t="str">
        <f>IF(AND(M291="",N291=""),"Extra","")</f>
        <v/>
      </c>
      <c r="P291" s="3" t="str">
        <f>IF(Q291=0,"TERCEIRO","MRS")</f>
        <v>MRS</v>
      </c>
      <c r="Q291" s="8" t="str">
        <f>IFERROR(VLOOKUP(L291,#REF!,4,0),"0,00")</f>
        <v>0,00</v>
      </c>
      <c r="R291" s="9" t="s">
        <v>42</v>
      </c>
      <c r="S291" s="9">
        <f>COUNTIF(D291,"*_SEG_*")</f>
        <v>0</v>
      </c>
      <c r="T291" s="9">
        <f>COUNTIF(D291,"*_MAN_*")</f>
        <v>0</v>
      </c>
      <c r="U291" s="9">
        <f>(RIGHT(D291,4))*1</f>
        <v>30</v>
      </c>
      <c r="V291" s="9" t="str">
        <f>IFERROR(VLOOKUP(I291,#REF!,2,0),"Sinalização")</f>
        <v>Sinalização</v>
      </c>
    </row>
    <row r="292" spans="1:22" x14ac:dyDescent="0.25">
      <c r="A292" s="3" t="s">
        <v>22</v>
      </c>
      <c r="B292" s="4">
        <v>23519433</v>
      </c>
      <c r="C292" s="5" t="s">
        <v>23</v>
      </c>
      <c r="D292" s="6" t="s">
        <v>959</v>
      </c>
      <c r="E292" s="6" t="s">
        <v>25</v>
      </c>
      <c r="F292" s="11">
        <v>46169</v>
      </c>
      <c r="G292" s="6" t="s">
        <v>1079</v>
      </c>
      <c r="H292" s="7" t="s">
        <v>26</v>
      </c>
      <c r="I292" s="7" t="s">
        <v>753</v>
      </c>
      <c r="J292" s="7" t="s">
        <v>830</v>
      </c>
      <c r="K292" s="7" t="s">
        <v>29</v>
      </c>
      <c r="L292" s="3" t="str">
        <f>E292&amp;D292</f>
        <v>E.SP.IPAT_EE_INS_CONF_S_I_CDV DETETORA CA_0030</v>
      </c>
      <c r="M292" s="3" t="str">
        <f>IFERROR(MID(D292,SEARCH("S_I_",D292,1),3),"")</f>
        <v>S_I</v>
      </c>
      <c r="N292" s="3" t="str">
        <f>IFERROR(MID(D292,SEARCH("C_I_",D292,1),3),"")</f>
        <v/>
      </c>
      <c r="O292" s="3" t="str">
        <f>IF(AND(M292="",N292=""),"Extra","")</f>
        <v/>
      </c>
      <c r="P292" s="3" t="str">
        <f>IF(Q292=0,"TERCEIRO","MRS")</f>
        <v>MRS</v>
      </c>
      <c r="Q292" s="8" t="str">
        <f>IFERROR(VLOOKUP(L292,#REF!,4,0),"0,00")</f>
        <v>0,00</v>
      </c>
      <c r="R292" s="9" t="s">
        <v>42</v>
      </c>
      <c r="S292" s="9">
        <f>COUNTIF(D292,"*_SEG_*")</f>
        <v>0</v>
      </c>
      <c r="T292" s="9">
        <f>COUNTIF(D292,"*_MAN_*")</f>
        <v>0</v>
      </c>
      <c r="U292" s="9">
        <f>(RIGHT(D292,4))*1</f>
        <v>30</v>
      </c>
      <c r="V292" s="9" t="str">
        <f>IFERROR(VLOOKUP(I292,#REF!,2,0),"Sinalização")</f>
        <v>Sinalização</v>
      </c>
    </row>
    <row r="293" spans="1:22" x14ac:dyDescent="0.25">
      <c r="A293" s="3" t="s">
        <v>22</v>
      </c>
      <c r="B293" s="4">
        <v>23519434</v>
      </c>
      <c r="C293" s="5" t="s">
        <v>23</v>
      </c>
      <c r="D293" s="6" t="s">
        <v>959</v>
      </c>
      <c r="E293" s="6" t="s">
        <v>25</v>
      </c>
      <c r="F293" s="11">
        <v>46169</v>
      </c>
      <c r="G293" s="6" t="s">
        <v>1079</v>
      </c>
      <c r="H293" s="7" t="s">
        <v>32</v>
      </c>
      <c r="I293" s="7" t="s">
        <v>754</v>
      </c>
      <c r="J293" s="7" t="s">
        <v>830</v>
      </c>
      <c r="K293" s="7" t="s">
        <v>29</v>
      </c>
      <c r="L293" s="3" t="str">
        <f>E293&amp;D293</f>
        <v>E.SP.IPAT_EE_INS_CONF_S_I_CDV DETETORA CA_0030</v>
      </c>
      <c r="M293" s="3" t="str">
        <f>IFERROR(MID(D293,SEARCH("S_I_",D293,1),3),"")</f>
        <v>S_I</v>
      </c>
      <c r="N293" s="3" t="str">
        <f>IFERROR(MID(D293,SEARCH("C_I_",D293,1),3),"")</f>
        <v/>
      </c>
      <c r="O293" s="3" t="str">
        <f>IF(AND(M293="",N293=""),"Extra","")</f>
        <v/>
      </c>
      <c r="P293" s="3" t="str">
        <f>IF(Q293=0,"TERCEIRO","MRS")</f>
        <v>MRS</v>
      </c>
      <c r="Q293" s="8" t="str">
        <f>IFERROR(VLOOKUP(L293,#REF!,4,0),"0,00")</f>
        <v>0,00</v>
      </c>
      <c r="R293" s="9" t="s">
        <v>42</v>
      </c>
      <c r="S293" s="9">
        <f>COUNTIF(D293,"*_SEG_*")</f>
        <v>0</v>
      </c>
      <c r="T293" s="9">
        <f>COUNTIF(D293,"*_MAN_*")</f>
        <v>0</v>
      </c>
      <c r="U293" s="9">
        <f>(RIGHT(D293,4))*1</f>
        <v>30</v>
      </c>
      <c r="V293" s="9" t="str">
        <f>IFERROR(VLOOKUP(I293,#REF!,2,0),"Sinalização")</f>
        <v>Sinalização</v>
      </c>
    </row>
    <row r="294" spans="1:22" x14ac:dyDescent="0.25">
      <c r="A294" s="3" t="s">
        <v>22</v>
      </c>
      <c r="B294" s="4">
        <v>23519435</v>
      </c>
      <c r="C294" s="5" t="s">
        <v>23</v>
      </c>
      <c r="D294" s="6" t="s">
        <v>959</v>
      </c>
      <c r="E294" s="6" t="s">
        <v>25</v>
      </c>
      <c r="F294" s="11">
        <v>46169</v>
      </c>
      <c r="G294" s="6" t="s">
        <v>1079</v>
      </c>
      <c r="H294" s="7" t="s">
        <v>32</v>
      </c>
      <c r="I294" s="7" t="s">
        <v>691</v>
      </c>
      <c r="J294" s="7" t="s">
        <v>830</v>
      </c>
      <c r="K294" s="7" t="s">
        <v>29</v>
      </c>
      <c r="L294" s="3" t="str">
        <f>E294&amp;D294</f>
        <v>E.SP.IPAT_EE_INS_CONF_S_I_CDV DETETORA CA_0030</v>
      </c>
      <c r="M294" s="3" t="str">
        <f>IFERROR(MID(D294,SEARCH("S_I_",D294,1),3),"")</f>
        <v>S_I</v>
      </c>
      <c r="N294" s="3" t="str">
        <f>IFERROR(MID(D294,SEARCH("C_I_",D294,1),3),"")</f>
        <v/>
      </c>
      <c r="O294" s="3" t="str">
        <f>IF(AND(M294="",N294=""),"Extra","")</f>
        <v/>
      </c>
      <c r="P294" s="3" t="str">
        <f>IF(Q294=0,"TERCEIRO","MRS")</f>
        <v>MRS</v>
      </c>
      <c r="Q294" s="8" t="str">
        <f>IFERROR(VLOOKUP(L294,#REF!,4,0),"0,00")</f>
        <v>0,00</v>
      </c>
      <c r="R294" s="9" t="s">
        <v>42</v>
      </c>
      <c r="S294" s="9">
        <f>COUNTIF(D294,"*_SEG_*")</f>
        <v>0</v>
      </c>
      <c r="T294" s="9">
        <f>COUNTIF(D294,"*_MAN_*")</f>
        <v>0</v>
      </c>
      <c r="U294" s="9">
        <f>(RIGHT(D294,4))*1</f>
        <v>30</v>
      </c>
      <c r="V294" s="9" t="str">
        <f>IFERROR(VLOOKUP(I294,#REF!,2,0),"Sinalização")</f>
        <v>Sinalização</v>
      </c>
    </row>
    <row r="295" spans="1:22" x14ac:dyDescent="0.25">
      <c r="A295" s="3" t="s">
        <v>22</v>
      </c>
      <c r="B295" s="4">
        <v>23519436</v>
      </c>
      <c r="C295" s="5" t="s">
        <v>23</v>
      </c>
      <c r="D295" s="6" t="s">
        <v>959</v>
      </c>
      <c r="E295" s="6" t="s">
        <v>25</v>
      </c>
      <c r="F295" s="11">
        <v>46169</v>
      </c>
      <c r="G295" s="6" t="s">
        <v>1079</v>
      </c>
      <c r="H295" s="7" t="s">
        <v>26</v>
      </c>
      <c r="I295" s="7" t="s">
        <v>400</v>
      </c>
      <c r="J295" s="7" t="s">
        <v>830</v>
      </c>
      <c r="K295" s="7" t="s">
        <v>29</v>
      </c>
      <c r="L295" s="3" t="str">
        <f>E295&amp;D295</f>
        <v>E.SP.IPAT_EE_INS_CONF_S_I_CDV DETETORA CA_0030</v>
      </c>
      <c r="M295" s="3" t="str">
        <f>IFERROR(MID(D295,SEARCH("S_I_",D295,1),3),"")</f>
        <v>S_I</v>
      </c>
      <c r="N295" s="3" t="str">
        <f>IFERROR(MID(D295,SEARCH("C_I_",D295,1),3),"")</f>
        <v/>
      </c>
      <c r="O295" s="3" t="str">
        <f>IF(AND(M295="",N295=""),"Extra","")</f>
        <v/>
      </c>
      <c r="P295" s="3" t="str">
        <f>IF(Q295=0,"TERCEIRO","MRS")</f>
        <v>MRS</v>
      </c>
      <c r="Q295" s="8" t="str">
        <f>IFERROR(VLOOKUP(L295,#REF!,4,0),"0,00")</f>
        <v>0,00</v>
      </c>
      <c r="R295" s="9" t="s">
        <v>42</v>
      </c>
      <c r="S295" s="9">
        <f>COUNTIF(D295,"*_SEG_*")</f>
        <v>0</v>
      </c>
      <c r="T295" s="9">
        <f>COUNTIF(D295,"*_MAN_*")</f>
        <v>0</v>
      </c>
      <c r="U295" s="9">
        <f>(RIGHT(D295,4))*1</f>
        <v>30</v>
      </c>
      <c r="V295" s="9" t="str">
        <f>IFERROR(VLOOKUP(I295,#REF!,2,0),"Sinalização")</f>
        <v>Sinalização</v>
      </c>
    </row>
    <row r="296" spans="1:22" x14ac:dyDescent="0.25">
      <c r="A296" s="3" t="s">
        <v>22</v>
      </c>
      <c r="B296" s="4">
        <v>23519437</v>
      </c>
      <c r="C296" s="5" t="s">
        <v>23</v>
      </c>
      <c r="D296" s="6" t="s">
        <v>959</v>
      </c>
      <c r="E296" s="6" t="s">
        <v>25</v>
      </c>
      <c r="F296" s="11">
        <v>46169</v>
      </c>
      <c r="G296" s="6" t="s">
        <v>1079</v>
      </c>
      <c r="H296" s="7" t="s">
        <v>26</v>
      </c>
      <c r="I296" s="7" t="s">
        <v>405</v>
      </c>
      <c r="J296" s="7" t="s">
        <v>830</v>
      </c>
      <c r="K296" s="7" t="s">
        <v>29</v>
      </c>
      <c r="L296" s="3" t="str">
        <f>E296&amp;D296</f>
        <v>E.SP.IPAT_EE_INS_CONF_S_I_CDV DETETORA CA_0030</v>
      </c>
      <c r="M296" s="3" t="str">
        <f>IFERROR(MID(D296,SEARCH("S_I_",D296,1),3),"")</f>
        <v>S_I</v>
      </c>
      <c r="N296" s="3" t="str">
        <f>IFERROR(MID(D296,SEARCH("C_I_",D296,1),3),"")</f>
        <v/>
      </c>
      <c r="O296" s="3" t="str">
        <f>IF(AND(M296="",N296=""),"Extra","")</f>
        <v/>
      </c>
      <c r="P296" s="3" t="str">
        <f>IF(Q296=0,"TERCEIRO","MRS")</f>
        <v>MRS</v>
      </c>
      <c r="Q296" s="8" t="str">
        <f>IFERROR(VLOOKUP(L296,#REF!,4,0),"0,00")</f>
        <v>0,00</v>
      </c>
      <c r="R296" s="9" t="s">
        <v>42</v>
      </c>
      <c r="S296" s="9">
        <f>COUNTIF(D296,"*_SEG_*")</f>
        <v>0</v>
      </c>
      <c r="T296" s="9">
        <f>COUNTIF(D296,"*_MAN_*")</f>
        <v>0</v>
      </c>
      <c r="U296" s="9">
        <f>(RIGHT(D296,4))*1</f>
        <v>30</v>
      </c>
      <c r="V296" s="9" t="str">
        <f>IFERROR(VLOOKUP(I296,#REF!,2,0),"Sinalização")</f>
        <v>Sinalização</v>
      </c>
    </row>
    <row r="297" spans="1:22" x14ac:dyDescent="0.25">
      <c r="A297" s="3" t="s">
        <v>22</v>
      </c>
      <c r="B297" s="4">
        <v>23519438</v>
      </c>
      <c r="C297" s="5" t="s">
        <v>23</v>
      </c>
      <c r="D297" s="6" t="s">
        <v>959</v>
      </c>
      <c r="E297" s="6" t="s">
        <v>25</v>
      </c>
      <c r="F297" s="11">
        <v>46169</v>
      </c>
      <c r="G297" s="6" t="s">
        <v>1079</v>
      </c>
      <c r="H297" s="7" t="s">
        <v>32</v>
      </c>
      <c r="I297" s="7" t="s">
        <v>692</v>
      </c>
      <c r="J297" s="7" t="s">
        <v>830</v>
      </c>
      <c r="K297" s="7" t="s">
        <v>29</v>
      </c>
      <c r="L297" s="3" t="str">
        <f>E297&amp;D297</f>
        <v>E.SP.IPAT_EE_INS_CONF_S_I_CDV DETETORA CA_0030</v>
      </c>
      <c r="M297" s="3" t="str">
        <f>IFERROR(MID(D297,SEARCH("S_I_",D297,1),3),"")</f>
        <v>S_I</v>
      </c>
      <c r="N297" s="3" t="str">
        <f>IFERROR(MID(D297,SEARCH("C_I_",D297,1),3),"")</f>
        <v/>
      </c>
      <c r="O297" s="3" t="str">
        <f>IF(AND(M297="",N297=""),"Extra","")</f>
        <v/>
      </c>
      <c r="P297" s="3" t="str">
        <f>IF(Q297=0,"TERCEIRO","MRS")</f>
        <v>MRS</v>
      </c>
      <c r="Q297" s="8" t="str">
        <f>IFERROR(VLOOKUP(L297,#REF!,4,0),"0,00")</f>
        <v>0,00</v>
      </c>
      <c r="R297" s="9" t="s">
        <v>42</v>
      </c>
      <c r="S297" s="9">
        <f>COUNTIF(D297,"*_SEG_*")</f>
        <v>0</v>
      </c>
      <c r="T297" s="9">
        <f>COUNTIF(D297,"*_MAN_*")</f>
        <v>0</v>
      </c>
      <c r="U297" s="9">
        <f>(RIGHT(D297,4))*1</f>
        <v>30</v>
      </c>
      <c r="V297" s="9" t="str">
        <f>IFERROR(VLOOKUP(I297,#REF!,2,0),"Sinalização")</f>
        <v>Sinalização</v>
      </c>
    </row>
    <row r="298" spans="1:22" x14ac:dyDescent="0.25">
      <c r="A298" s="3" t="s">
        <v>22</v>
      </c>
      <c r="B298" s="4">
        <v>23519439</v>
      </c>
      <c r="C298" s="5" t="s">
        <v>23</v>
      </c>
      <c r="D298" s="6" t="s">
        <v>959</v>
      </c>
      <c r="E298" s="6" t="s">
        <v>25</v>
      </c>
      <c r="F298" s="11">
        <v>46169</v>
      </c>
      <c r="G298" s="6" t="s">
        <v>1079</v>
      </c>
      <c r="H298" s="7" t="s">
        <v>32</v>
      </c>
      <c r="I298" s="7" t="s">
        <v>1061</v>
      </c>
      <c r="J298" s="7" t="s">
        <v>830</v>
      </c>
      <c r="K298" s="7" t="s">
        <v>29</v>
      </c>
      <c r="L298" s="3" t="str">
        <f>E298&amp;D298</f>
        <v>E.SP.IPAT_EE_INS_CONF_S_I_CDV DETETORA CA_0030</v>
      </c>
      <c r="M298" s="3" t="str">
        <f>IFERROR(MID(D298,SEARCH("S_I_",D298,1),3),"")</f>
        <v>S_I</v>
      </c>
      <c r="N298" s="3" t="str">
        <f>IFERROR(MID(D298,SEARCH("C_I_",D298,1),3),"")</f>
        <v/>
      </c>
      <c r="O298" s="3" t="str">
        <f>IF(AND(M298="",N298=""),"Extra","")</f>
        <v/>
      </c>
      <c r="P298" s="3" t="str">
        <f>IF(Q298=0,"TERCEIRO","MRS")</f>
        <v>MRS</v>
      </c>
      <c r="Q298" s="8" t="str">
        <f>IFERROR(VLOOKUP(L298,#REF!,4,0),"0,00")</f>
        <v>0,00</v>
      </c>
      <c r="R298" s="9" t="s">
        <v>42</v>
      </c>
      <c r="S298" s="9">
        <f>COUNTIF(D298,"*_SEG_*")</f>
        <v>0</v>
      </c>
      <c r="T298" s="9">
        <f>COUNTIF(D298,"*_MAN_*")</f>
        <v>0</v>
      </c>
      <c r="U298" s="9">
        <f>(RIGHT(D298,4))*1</f>
        <v>30</v>
      </c>
      <c r="V298" s="9" t="str">
        <f>IFERROR(VLOOKUP(I298,#REF!,2,0),"Sinalização")</f>
        <v>Sinalização</v>
      </c>
    </row>
    <row r="299" spans="1:22" x14ac:dyDescent="0.25">
      <c r="A299" s="3" t="s">
        <v>22</v>
      </c>
      <c r="B299" s="4">
        <v>23519441</v>
      </c>
      <c r="C299" s="5" t="s">
        <v>23</v>
      </c>
      <c r="D299" s="6" t="s">
        <v>959</v>
      </c>
      <c r="E299" s="6" t="s">
        <v>25</v>
      </c>
      <c r="F299" s="11">
        <v>46169</v>
      </c>
      <c r="G299" s="6" t="s">
        <v>1079</v>
      </c>
      <c r="H299" s="7" t="s">
        <v>26</v>
      </c>
      <c r="I299" s="7" t="s">
        <v>731</v>
      </c>
      <c r="J299" s="7" t="s">
        <v>830</v>
      </c>
      <c r="K299" s="7" t="s">
        <v>29</v>
      </c>
      <c r="L299" s="3" t="str">
        <f>E299&amp;D299</f>
        <v>E.SP.IPAT_EE_INS_CONF_S_I_CDV DETETORA CA_0030</v>
      </c>
      <c r="M299" s="3" t="str">
        <f>IFERROR(MID(D299,SEARCH("S_I_",D299,1),3),"")</f>
        <v>S_I</v>
      </c>
      <c r="N299" s="3" t="str">
        <f>IFERROR(MID(D299,SEARCH("C_I_",D299,1),3),"")</f>
        <v/>
      </c>
      <c r="O299" s="3" t="str">
        <f>IF(AND(M299="",N299=""),"Extra","")</f>
        <v/>
      </c>
      <c r="P299" s="3" t="str">
        <f>IF(Q299=0,"TERCEIRO","MRS")</f>
        <v>MRS</v>
      </c>
      <c r="Q299" s="8" t="str">
        <f>IFERROR(VLOOKUP(L299,#REF!,4,0),"0,00")</f>
        <v>0,00</v>
      </c>
      <c r="R299" s="9" t="s">
        <v>42</v>
      </c>
      <c r="S299" s="9">
        <f>COUNTIF(D299,"*_SEG_*")</f>
        <v>0</v>
      </c>
      <c r="T299" s="9">
        <f>COUNTIF(D299,"*_MAN_*")</f>
        <v>0</v>
      </c>
      <c r="U299" s="9">
        <f>(RIGHT(D299,4))*1</f>
        <v>30</v>
      </c>
      <c r="V299" s="9" t="str">
        <f>IFERROR(VLOOKUP(I299,#REF!,2,0),"Sinalização")</f>
        <v>Sinalização</v>
      </c>
    </row>
    <row r="300" spans="1:22" x14ac:dyDescent="0.25">
      <c r="A300" s="3" t="s">
        <v>22</v>
      </c>
      <c r="B300" s="4">
        <v>23519449</v>
      </c>
      <c r="C300" s="5" t="s">
        <v>23</v>
      </c>
      <c r="D300" s="6" t="s">
        <v>960</v>
      </c>
      <c r="E300" s="6" t="s">
        <v>25</v>
      </c>
      <c r="F300" s="11">
        <v>46169</v>
      </c>
      <c r="G300" s="6" t="s">
        <v>1079</v>
      </c>
      <c r="H300" s="7" t="s">
        <v>26</v>
      </c>
      <c r="I300" s="7" t="s">
        <v>703</v>
      </c>
      <c r="J300" s="7" t="s">
        <v>910</v>
      </c>
      <c r="K300" s="7" t="s">
        <v>29</v>
      </c>
      <c r="L300" s="3" t="str">
        <f>E300&amp;D300</f>
        <v>E.SP.IPAEE_MAN_CONF_S_I_SINAL L MULTI AUT_0030</v>
      </c>
      <c r="M300" s="3" t="str">
        <f>IFERROR(MID(D300,SEARCH("S_I_",D300,1),3),"")</f>
        <v>S_I</v>
      </c>
      <c r="N300" s="3" t="str">
        <f>IFERROR(MID(D300,SEARCH("C_I_",D300,1),3),"")</f>
        <v/>
      </c>
      <c r="O300" s="3" t="str">
        <f>IF(AND(M300="",N300=""),"Extra","")</f>
        <v/>
      </c>
      <c r="P300" s="3" t="str">
        <f>IF(Q300=0,"TERCEIRO","MRS")</f>
        <v>MRS</v>
      </c>
      <c r="Q300" s="8" t="str">
        <f>IFERROR(VLOOKUP(L300,#REF!,4,0),"0,00")</f>
        <v>0,00</v>
      </c>
      <c r="R300" s="9" t="s">
        <v>42</v>
      </c>
      <c r="S300" s="9">
        <f>COUNTIF(D300,"*_SEG_*")</f>
        <v>0</v>
      </c>
      <c r="T300" s="9">
        <f>COUNTIF(D300,"*_MAN_*")</f>
        <v>1</v>
      </c>
      <c r="U300" s="9">
        <f>(RIGHT(D300,4))*1</f>
        <v>30</v>
      </c>
      <c r="V300" s="9" t="str">
        <f>IFERROR(VLOOKUP(I300,#REF!,2,0),"Sinalização")</f>
        <v>Sinalização</v>
      </c>
    </row>
    <row r="301" spans="1:22" x14ac:dyDescent="0.25">
      <c r="A301" s="3" t="s">
        <v>22</v>
      </c>
      <c r="B301" s="4">
        <v>23519450</v>
      </c>
      <c r="C301" s="5" t="s">
        <v>23</v>
      </c>
      <c r="D301" s="6" t="s">
        <v>960</v>
      </c>
      <c r="E301" s="6" t="s">
        <v>25</v>
      </c>
      <c r="F301" s="11">
        <v>46169</v>
      </c>
      <c r="G301" s="6" t="s">
        <v>1079</v>
      </c>
      <c r="H301" s="7" t="s">
        <v>32</v>
      </c>
      <c r="I301" s="7" t="s">
        <v>702</v>
      </c>
      <c r="J301" s="7" t="s">
        <v>910</v>
      </c>
      <c r="K301" s="7" t="s">
        <v>29</v>
      </c>
      <c r="L301" s="3" t="str">
        <f>E301&amp;D301</f>
        <v>E.SP.IPAEE_MAN_CONF_S_I_SINAL L MULTI AUT_0030</v>
      </c>
      <c r="M301" s="3" t="str">
        <f>IFERROR(MID(D301,SEARCH("S_I_",D301,1),3),"")</f>
        <v>S_I</v>
      </c>
      <c r="N301" s="3" t="str">
        <f>IFERROR(MID(D301,SEARCH("C_I_",D301,1),3),"")</f>
        <v/>
      </c>
      <c r="O301" s="3" t="str">
        <f>IF(AND(M301="",N301=""),"Extra","")</f>
        <v/>
      </c>
      <c r="P301" s="3" t="str">
        <f>IF(Q301=0,"TERCEIRO","MRS")</f>
        <v>MRS</v>
      </c>
      <c r="Q301" s="8" t="str">
        <f>IFERROR(VLOOKUP(L301,#REF!,4,0),"0,00")</f>
        <v>0,00</v>
      </c>
      <c r="R301" s="9" t="s">
        <v>42</v>
      </c>
      <c r="S301" s="9">
        <f>COUNTIF(D301,"*_SEG_*")</f>
        <v>0</v>
      </c>
      <c r="T301" s="9">
        <f>COUNTIF(D301,"*_MAN_*")</f>
        <v>1</v>
      </c>
      <c r="U301" s="9">
        <f>(RIGHT(D301,4))*1</f>
        <v>30</v>
      </c>
      <c r="V301" s="9" t="str">
        <f>IFERROR(VLOOKUP(I301,#REF!,2,0),"Sinalização")</f>
        <v>Sinalização</v>
      </c>
    </row>
    <row r="302" spans="1:22" x14ac:dyDescent="0.25">
      <c r="A302" s="3" t="s">
        <v>22</v>
      </c>
      <c r="B302" s="4">
        <v>23519451</v>
      </c>
      <c r="C302" s="5" t="s">
        <v>23</v>
      </c>
      <c r="D302" s="6" t="s">
        <v>960</v>
      </c>
      <c r="E302" s="6" t="s">
        <v>25</v>
      </c>
      <c r="F302" s="11">
        <v>46169</v>
      </c>
      <c r="G302" s="6" t="s">
        <v>1079</v>
      </c>
      <c r="H302" s="7" t="s">
        <v>32</v>
      </c>
      <c r="I302" s="7" t="s">
        <v>1070</v>
      </c>
      <c r="J302" s="7" t="s">
        <v>910</v>
      </c>
      <c r="K302" s="7" t="s">
        <v>29</v>
      </c>
      <c r="L302" s="3" t="str">
        <f>E302&amp;D302</f>
        <v>E.SP.IPAEE_MAN_CONF_S_I_SINAL L MULTI AUT_0030</v>
      </c>
      <c r="M302" s="3" t="str">
        <f>IFERROR(MID(D302,SEARCH("S_I_",D302,1),3),"")</f>
        <v>S_I</v>
      </c>
      <c r="N302" s="3" t="str">
        <f>IFERROR(MID(D302,SEARCH("C_I_",D302,1),3),"")</f>
        <v/>
      </c>
      <c r="O302" s="3" t="str">
        <f>IF(AND(M302="",N302=""),"Extra","")</f>
        <v/>
      </c>
      <c r="P302" s="3" t="str">
        <f>IF(Q302=0,"TERCEIRO","MRS")</f>
        <v>MRS</v>
      </c>
      <c r="Q302" s="8" t="str">
        <f>IFERROR(VLOOKUP(L302,#REF!,4,0),"0,00")</f>
        <v>0,00</v>
      </c>
      <c r="R302" s="9" t="s">
        <v>42</v>
      </c>
      <c r="S302" s="9">
        <f>COUNTIF(D302,"*_SEG_*")</f>
        <v>0</v>
      </c>
      <c r="T302" s="9">
        <f>COUNTIF(D302,"*_MAN_*")</f>
        <v>1</v>
      </c>
      <c r="U302" s="9">
        <f>(RIGHT(D302,4))*1</f>
        <v>30</v>
      </c>
      <c r="V302" s="9" t="str">
        <f>IFERROR(VLOOKUP(I302,#REF!,2,0),"Sinalização")</f>
        <v>Sinalização</v>
      </c>
    </row>
    <row r="303" spans="1:22" x14ac:dyDescent="0.25">
      <c r="A303" s="3" t="s">
        <v>22</v>
      </c>
      <c r="B303" s="4">
        <v>23519452</v>
      </c>
      <c r="C303" s="5" t="s">
        <v>23</v>
      </c>
      <c r="D303" s="6" t="s">
        <v>960</v>
      </c>
      <c r="E303" s="6" t="s">
        <v>25</v>
      </c>
      <c r="F303" s="11">
        <v>46169</v>
      </c>
      <c r="G303" s="6" t="s">
        <v>1079</v>
      </c>
      <c r="H303" s="7" t="s">
        <v>26</v>
      </c>
      <c r="I303" s="7" t="s">
        <v>1071</v>
      </c>
      <c r="J303" s="7" t="s">
        <v>910</v>
      </c>
      <c r="K303" s="7" t="s">
        <v>29</v>
      </c>
      <c r="L303" s="3" t="str">
        <f>E303&amp;D303</f>
        <v>E.SP.IPAEE_MAN_CONF_S_I_SINAL L MULTI AUT_0030</v>
      </c>
      <c r="M303" s="3" t="str">
        <f>IFERROR(MID(D303,SEARCH("S_I_",D303,1),3),"")</f>
        <v>S_I</v>
      </c>
      <c r="N303" s="3" t="str">
        <f>IFERROR(MID(D303,SEARCH("C_I_",D303,1),3),"")</f>
        <v/>
      </c>
      <c r="O303" s="3" t="str">
        <f>IF(AND(M303="",N303=""),"Extra","")</f>
        <v/>
      </c>
      <c r="P303" s="3" t="str">
        <f>IF(Q303=0,"TERCEIRO","MRS")</f>
        <v>MRS</v>
      </c>
      <c r="Q303" s="8" t="str">
        <f>IFERROR(VLOOKUP(L303,#REF!,4,0),"0,00")</f>
        <v>0,00</v>
      </c>
      <c r="R303" s="9" t="s">
        <v>42</v>
      </c>
      <c r="S303" s="9">
        <f>COUNTIF(D303,"*_SEG_*")</f>
        <v>0</v>
      </c>
      <c r="T303" s="9">
        <f>COUNTIF(D303,"*_MAN_*")</f>
        <v>1</v>
      </c>
      <c r="U303" s="9">
        <f>(RIGHT(D303,4))*1</f>
        <v>30</v>
      </c>
      <c r="V303" s="9" t="str">
        <f>IFERROR(VLOOKUP(I303,#REF!,2,0),"Sinalização")</f>
        <v>Sinalização</v>
      </c>
    </row>
    <row r="304" spans="1:22" x14ac:dyDescent="0.25">
      <c r="A304" s="3" t="s">
        <v>22</v>
      </c>
      <c r="B304" s="4">
        <v>23519529</v>
      </c>
      <c r="C304" s="5" t="s">
        <v>23</v>
      </c>
      <c r="D304" s="6" t="s">
        <v>814</v>
      </c>
      <c r="E304" s="6" t="s">
        <v>25</v>
      </c>
      <c r="F304" s="11">
        <v>46169</v>
      </c>
      <c r="G304" s="6" t="s">
        <v>1079</v>
      </c>
      <c r="H304" s="7" t="s">
        <v>26</v>
      </c>
      <c r="I304" s="7" t="s">
        <v>496</v>
      </c>
      <c r="J304" s="7" t="s">
        <v>816</v>
      </c>
      <c r="K304" s="7" t="s">
        <v>29</v>
      </c>
      <c r="L304" s="3" t="str">
        <f>E304&amp;D304</f>
        <v>E.SP.IPAEE_INS_SEG_C_I_CIRCUITO VIA CA_0030</v>
      </c>
      <c r="M304" s="3" t="str">
        <f>IFERROR(MID(D304,SEARCH("S_I_",D304,1),3),"")</f>
        <v/>
      </c>
      <c r="N304" s="3" t="str">
        <f>IFERROR(MID(D304,SEARCH("C_I_",D304,1),3),"")</f>
        <v>C_I</v>
      </c>
      <c r="O304" s="3" t="str">
        <f>IF(AND(M304="",N304=""),"Extra","")</f>
        <v/>
      </c>
      <c r="P304" s="3" t="str">
        <f>IF(Q304=0,"TERCEIRO","MRS")</f>
        <v>MRS</v>
      </c>
      <c r="Q304" s="8" t="str">
        <f>IFERROR(VLOOKUP(L304,#REF!,4,0),"0,00")</f>
        <v>0,00</v>
      </c>
      <c r="R304" s="9" t="s">
        <v>42</v>
      </c>
      <c r="S304" s="9">
        <f>COUNTIF(D304,"*_SEG_*")</f>
        <v>1</v>
      </c>
      <c r="T304" s="9">
        <f>COUNTIF(D304,"*_MAN_*")</f>
        <v>0</v>
      </c>
      <c r="U304" s="9">
        <f>(RIGHT(D304,4))*1</f>
        <v>30</v>
      </c>
      <c r="V304" s="9" t="str">
        <f>IFERROR(VLOOKUP(I304,#REF!,2,0),"Sinalização")</f>
        <v>Sinalização</v>
      </c>
    </row>
    <row r="305" spans="1:22" x14ac:dyDescent="0.25">
      <c r="A305" s="3" t="s">
        <v>22</v>
      </c>
      <c r="B305" s="4">
        <v>23519532</v>
      </c>
      <c r="C305" s="5" t="s">
        <v>23</v>
      </c>
      <c r="D305" s="6" t="s">
        <v>814</v>
      </c>
      <c r="E305" s="6" t="s">
        <v>25</v>
      </c>
      <c r="F305" s="11">
        <v>46169</v>
      </c>
      <c r="G305" s="6" t="s">
        <v>1079</v>
      </c>
      <c r="H305" s="7" t="s">
        <v>32</v>
      </c>
      <c r="I305" s="7" t="s">
        <v>989</v>
      </c>
      <c r="J305" s="7" t="s">
        <v>816</v>
      </c>
      <c r="K305" s="7" t="s">
        <v>29</v>
      </c>
      <c r="L305" s="3" t="str">
        <f>E305&amp;D305</f>
        <v>E.SP.IPAEE_INS_SEG_C_I_CIRCUITO VIA CA_0030</v>
      </c>
      <c r="M305" s="3" t="str">
        <f>IFERROR(MID(D305,SEARCH("S_I_",D305,1),3),"")</f>
        <v/>
      </c>
      <c r="N305" s="3" t="str">
        <f>IFERROR(MID(D305,SEARCH("C_I_",D305,1),3),"")</f>
        <v>C_I</v>
      </c>
      <c r="O305" s="3" t="str">
        <f>IF(AND(M305="",N305=""),"Extra","")</f>
        <v/>
      </c>
      <c r="P305" s="3" t="str">
        <f>IF(Q305=0,"TERCEIRO","MRS")</f>
        <v>MRS</v>
      </c>
      <c r="Q305" s="8" t="str">
        <f>IFERROR(VLOOKUP(L305,#REF!,4,0),"0,00")</f>
        <v>0,00</v>
      </c>
      <c r="R305" s="9" t="s">
        <v>42</v>
      </c>
      <c r="S305" s="9">
        <f>COUNTIF(D305,"*_SEG_*")</f>
        <v>1</v>
      </c>
      <c r="T305" s="9">
        <f>COUNTIF(D305,"*_MAN_*")</f>
        <v>0</v>
      </c>
      <c r="U305" s="9">
        <f>(RIGHT(D305,4))*1</f>
        <v>30</v>
      </c>
      <c r="V305" s="9" t="str">
        <f>IFERROR(VLOOKUP(I305,#REF!,2,0),"Sinalização")</f>
        <v>Sinalização</v>
      </c>
    </row>
    <row r="306" spans="1:22" x14ac:dyDescent="0.25">
      <c r="A306" s="3" t="s">
        <v>22</v>
      </c>
      <c r="B306" s="4">
        <v>23519533</v>
      </c>
      <c r="C306" s="5" t="s">
        <v>23</v>
      </c>
      <c r="D306" s="6" t="s">
        <v>814</v>
      </c>
      <c r="E306" s="6" t="s">
        <v>25</v>
      </c>
      <c r="F306" s="11">
        <v>46169</v>
      </c>
      <c r="G306" s="6" t="s">
        <v>1079</v>
      </c>
      <c r="H306" s="7" t="s">
        <v>32</v>
      </c>
      <c r="I306" s="7" t="s">
        <v>990</v>
      </c>
      <c r="J306" s="7" t="s">
        <v>816</v>
      </c>
      <c r="K306" s="7" t="s">
        <v>29</v>
      </c>
      <c r="L306" s="3" t="str">
        <f>E306&amp;D306</f>
        <v>E.SP.IPAEE_INS_SEG_C_I_CIRCUITO VIA CA_0030</v>
      </c>
      <c r="M306" s="3" t="str">
        <f>IFERROR(MID(D306,SEARCH("S_I_",D306,1),3),"")</f>
        <v/>
      </c>
      <c r="N306" s="3" t="str">
        <f>IFERROR(MID(D306,SEARCH("C_I_",D306,1),3),"")</f>
        <v>C_I</v>
      </c>
      <c r="O306" s="3" t="str">
        <f>IF(AND(M306="",N306=""),"Extra","")</f>
        <v/>
      </c>
      <c r="P306" s="3" t="str">
        <f>IF(Q306=0,"TERCEIRO","MRS")</f>
        <v>MRS</v>
      </c>
      <c r="Q306" s="8" t="str">
        <f>IFERROR(VLOOKUP(L306,#REF!,4,0),"0,00")</f>
        <v>0,00</v>
      </c>
      <c r="R306" s="9" t="s">
        <v>42</v>
      </c>
      <c r="S306" s="9">
        <f>COUNTIF(D306,"*_SEG_*")</f>
        <v>1</v>
      </c>
      <c r="T306" s="9">
        <f>COUNTIF(D306,"*_MAN_*")</f>
        <v>0</v>
      </c>
      <c r="U306" s="9">
        <f>(RIGHT(D306,4))*1</f>
        <v>30</v>
      </c>
      <c r="V306" s="9" t="str">
        <f>IFERROR(VLOOKUP(I306,#REF!,2,0),"Sinalização")</f>
        <v>Sinalização</v>
      </c>
    </row>
    <row r="307" spans="1:22" x14ac:dyDescent="0.25">
      <c r="A307" s="3" t="s">
        <v>22</v>
      </c>
      <c r="B307" s="4">
        <v>23519535</v>
      </c>
      <c r="C307" s="5" t="s">
        <v>23</v>
      </c>
      <c r="D307" s="6" t="s">
        <v>814</v>
      </c>
      <c r="E307" s="6" t="s">
        <v>25</v>
      </c>
      <c r="F307" s="11">
        <v>46169</v>
      </c>
      <c r="G307" s="6" t="s">
        <v>1079</v>
      </c>
      <c r="H307" s="7" t="s">
        <v>26</v>
      </c>
      <c r="I307" s="7" t="s">
        <v>569</v>
      </c>
      <c r="J307" s="7" t="s">
        <v>816</v>
      </c>
      <c r="K307" s="7" t="s">
        <v>29</v>
      </c>
      <c r="L307" s="3" t="str">
        <f>E307&amp;D307</f>
        <v>E.SP.IPAEE_INS_SEG_C_I_CIRCUITO VIA CA_0030</v>
      </c>
      <c r="M307" s="3" t="str">
        <f>IFERROR(MID(D307,SEARCH("S_I_",D307,1),3),"")</f>
        <v/>
      </c>
      <c r="N307" s="3" t="str">
        <f>IFERROR(MID(D307,SEARCH("C_I_",D307,1),3),"")</f>
        <v>C_I</v>
      </c>
      <c r="O307" s="3" t="str">
        <f>IF(AND(M307="",N307=""),"Extra","")</f>
        <v/>
      </c>
      <c r="P307" s="3" t="str">
        <f>IF(Q307=0,"TERCEIRO","MRS")</f>
        <v>MRS</v>
      </c>
      <c r="Q307" s="8" t="str">
        <f>IFERROR(VLOOKUP(L307,#REF!,4,0),"0,00")</f>
        <v>0,00</v>
      </c>
      <c r="R307" s="9" t="s">
        <v>42</v>
      </c>
      <c r="S307" s="9">
        <f>COUNTIF(D307,"*_SEG_*")</f>
        <v>1</v>
      </c>
      <c r="T307" s="9">
        <f>COUNTIF(D307,"*_MAN_*")</f>
        <v>0</v>
      </c>
      <c r="U307" s="9">
        <f>(RIGHT(D307,4))*1</f>
        <v>30</v>
      </c>
      <c r="V307" s="9" t="str">
        <f>IFERROR(VLOOKUP(I307,#REF!,2,0),"Sinalização")</f>
        <v>Sinalização</v>
      </c>
    </row>
    <row r="308" spans="1:22" x14ac:dyDescent="0.25">
      <c r="A308" s="3" t="s">
        <v>22</v>
      </c>
      <c r="B308" s="4">
        <v>23519540</v>
      </c>
      <c r="C308" s="5" t="s">
        <v>23</v>
      </c>
      <c r="D308" s="6" t="s">
        <v>814</v>
      </c>
      <c r="E308" s="6" t="s">
        <v>25</v>
      </c>
      <c r="F308" s="11">
        <v>46169</v>
      </c>
      <c r="G308" s="6" t="s">
        <v>1079</v>
      </c>
      <c r="H308" s="7" t="s">
        <v>26</v>
      </c>
      <c r="I308" s="7" t="s">
        <v>234</v>
      </c>
      <c r="J308" s="7" t="s">
        <v>816</v>
      </c>
      <c r="K308" s="7" t="s">
        <v>29</v>
      </c>
      <c r="L308" s="3" t="str">
        <f>E308&amp;D308</f>
        <v>E.SP.IPAEE_INS_SEG_C_I_CIRCUITO VIA CA_0030</v>
      </c>
      <c r="M308" s="3" t="str">
        <f>IFERROR(MID(D308,SEARCH("S_I_",D308,1),3),"")</f>
        <v/>
      </c>
      <c r="N308" s="3" t="str">
        <f>IFERROR(MID(D308,SEARCH("C_I_",D308,1),3),"")</f>
        <v>C_I</v>
      </c>
      <c r="O308" s="3" t="str">
        <f>IF(AND(M308="",N308=""),"Extra","")</f>
        <v/>
      </c>
      <c r="P308" s="3" t="str">
        <f>IF(Q308=0,"TERCEIRO","MRS")</f>
        <v>MRS</v>
      </c>
      <c r="Q308" s="8" t="str">
        <f>IFERROR(VLOOKUP(L308,#REF!,4,0),"0,00")</f>
        <v>0,00</v>
      </c>
      <c r="R308" s="9" t="s">
        <v>42</v>
      </c>
      <c r="S308" s="9">
        <f>COUNTIF(D308,"*_SEG_*")</f>
        <v>1</v>
      </c>
      <c r="T308" s="9">
        <f>COUNTIF(D308,"*_MAN_*")</f>
        <v>0</v>
      </c>
      <c r="U308" s="9">
        <f>(RIGHT(D308,4))*1</f>
        <v>30</v>
      </c>
      <c r="V308" s="9" t="str">
        <f>IFERROR(VLOOKUP(I308,#REF!,2,0),"Sinalização")</f>
        <v>Sinalização</v>
      </c>
    </row>
    <row r="309" spans="1:22" x14ac:dyDescent="0.25">
      <c r="A309" s="3" t="s">
        <v>22</v>
      </c>
      <c r="B309" s="4">
        <v>23519543</v>
      </c>
      <c r="C309" s="5" t="s">
        <v>23</v>
      </c>
      <c r="D309" s="6" t="s">
        <v>814</v>
      </c>
      <c r="E309" s="6" t="s">
        <v>25</v>
      </c>
      <c r="F309" s="11">
        <v>46169</v>
      </c>
      <c r="G309" s="6" t="s">
        <v>1079</v>
      </c>
      <c r="H309" s="7" t="s">
        <v>32</v>
      </c>
      <c r="I309" s="7" t="s">
        <v>216</v>
      </c>
      <c r="J309" s="7" t="s">
        <v>816</v>
      </c>
      <c r="K309" s="7" t="s">
        <v>29</v>
      </c>
      <c r="L309" s="3" t="str">
        <f>E309&amp;D309</f>
        <v>E.SP.IPAEE_INS_SEG_C_I_CIRCUITO VIA CA_0030</v>
      </c>
      <c r="M309" s="3" t="str">
        <f>IFERROR(MID(D309,SEARCH("S_I_",D309,1),3),"")</f>
        <v/>
      </c>
      <c r="N309" s="3" t="str">
        <f>IFERROR(MID(D309,SEARCH("C_I_",D309,1),3),"")</f>
        <v>C_I</v>
      </c>
      <c r="O309" s="3" t="str">
        <f>IF(AND(M309="",N309=""),"Extra","")</f>
        <v/>
      </c>
      <c r="P309" s="3" t="str">
        <f>IF(Q309=0,"TERCEIRO","MRS")</f>
        <v>MRS</v>
      </c>
      <c r="Q309" s="8" t="str">
        <f>IFERROR(VLOOKUP(L309,#REF!,4,0),"0,00")</f>
        <v>0,00</v>
      </c>
      <c r="R309" s="9" t="s">
        <v>42</v>
      </c>
      <c r="S309" s="9">
        <f>COUNTIF(D309,"*_SEG_*")</f>
        <v>1</v>
      </c>
      <c r="T309" s="9">
        <f>COUNTIF(D309,"*_MAN_*")</f>
        <v>0</v>
      </c>
      <c r="U309" s="9">
        <f>(RIGHT(D309,4))*1</f>
        <v>30</v>
      </c>
      <c r="V309" s="9" t="str">
        <f>IFERROR(VLOOKUP(I309,#REF!,2,0),"Sinalização")</f>
        <v>Sinalização</v>
      </c>
    </row>
    <row r="310" spans="1:22" x14ac:dyDescent="0.25">
      <c r="A310" s="3" t="s">
        <v>22</v>
      </c>
      <c r="B310" s="4">
        <v>23519544</v>
      </c>
      <c r="C310" s="5" t="s">
        <v>23</v>
      </c>
      <c r="D310" s="6" t="s">
        <v>814</v>
      </c>
      <c r="E310" s="6" t="s">
        <v>25</v>
      </c>
      <c r="F310" s="11">
        <v>46169</v>
      </c>
      <c r="G310" s="6" t="s">
        <v>1079</v>
      </c>
      <c r="H310" s="7" t="s">
        <v>32</v>
      </c>
      <c r="I310" s="7" t="s">
        <v>217</v>
      </c>
      <c r="J310" s="7" t="s">
        <v>816</v>
      </c>
      <c r="K310" s="7" t="s">
        <v>29</v>
      </c>
      <c r="L310" s="3" t="str">
        <f>E310&amp;D310</f>
        <v>E.SP.IPAEE_INS_SEG_C_I_CIRCUITO VIA CA_0030</v>
      </c>
      <c r="M310" s="3" t="str">
        <f>IFERROR(MID(D310,SEARCH("S_I_",D310,1),3),"")</f>
        <v/>
      </c>
      <c r="N310" s="3" t="str">
        <f>IFERROR(MID(D310,SEARCH("C_I_",D310,1),3),"")</f>
        <v>C_I</v>
      </c>
      <c r="O310" s="3" t="str">
        <f>IF(AND(M310="",N310=""),"Extra","")</f>
        <v/>
      </c>
      <c r="P310" s="3" t="str">
        <f>IF(Q310=0,"TERCEIRO","MRS")</f>
        <v>MRS</v>
      </c>
      <c r="Q310" s="8" t="str">
        <f>IFERROR(VLOOKUP(L310,#REF!,4,0),"0,00")</f>
        <v>0,00</v>
      </c>
      <c r="R310" s="9" t="s">
        <v>42</v>
      </c>
      <c r="S310" s="9">
        <f>COUNTIF(D310,"*_SEG_*")</f>
        <v>1</v>
      </c>
      <c r="T310" s="9">
        <f>COUNTIF(D310,"*_MAN_*")</f>
        <v>0</v>
      </c>
      <c r="U310" s="9">
        <f>(RIGHT(D310,4))*1</f>
        <v>30</v>
      </c>
      <c r="V310" s="9" t="str">
        <f>IFERROR(VLOOKUP(I310,#REF!,2,0),"Sinalização")</f>
        <v>Sinalização</v>
      </c>
    </row>
    <row r="311" spans="1:22" x14ac:dyDescent="0.25">
      <c r="A311" s="3" t="s">
        <v>22</v>
      </c>
      <c r="B311" s="4">
        <v>23519545</v>
      </c>
      <c r="C311" s="5" t="s">
        <v>23</v>
      </c>
      <c r="D311" s="6" t="s">
        <v>814</v>
      </c>
      <c r="E311" s="6" t="s">
        <v>25</v>
      </c>
      <c r="F311" s="11">
        <v>46169</v>
      </c>
      <c r="G311" s="6" t="s">
        <v>1079</v>
      </c>
      <c r="H311" s="7" t="s">
        <v>26</v>
      </c>
      <c r="I311" s="7" t="s">
        <v>219</v>
      </c>
      <c r="J311" s="7" t="s">
        <v>816</v>
      </c>
      <c r="K311" s="7" t="s">
        <v>29</v>
      </c>
      <c r="L311" s="3" t="str">
        <f>E311&amp;D311</f>
        <v>E.SP.IPAEE_INS_SEG_C_I_CIRCUITO VIA CA_0030</v>
      </c>
      <c r="M311" s="3" t="str">
        <f>IFERROR(MID(D311,SEARCH("S_I_",D311,1),3),"")</f>
        <v/>
      </c>
      <c r="N311" s="3" t="str">
        <f>IFERROR(MID(D311,SEARCH("C_I_",D311,1),3),"")</f>
        <v>C_I</v>
      </c>
      <c r="O311" s="3" t="str">
        <f>IF(AND(M311="",N311=""),"Extra","")</f>
        <v/>
      </c>
      <c r="P311" s="3" t="str">
        <f>IF(Q311=0,"TERCEIRO","MRS")</f>
        <v>MRS</v>
      </c>
      <c r="Q311" s="8" t="str">
        <f>IFERROR(VLOOKUP(L311,#REF!,4,0),"0,00")</f>
        <v>0,00</v>
      </c>
      <c r="R311" s="9" t="s">
        <v>42</v>
      </c>
      <c r="S311" s="9">
        <f>COUNTIF(D311,"*_SEG_*")</f>
        <v>1</v>
      </c>
      <c r="T311" s="9">
        <f>COUNTIF(D311,"*_MAN_*")</f>
        <v>0</v>
      </c>
      <c r="U311" s="9">
        <f>(RIGHT(D311,4))*1</f>
        <v>30</v>
      </c>
      <c r="V311" s="9" t="str">
        <f>IFERROR(VLOOKUP(I311,#REF!,2,0),"Sinalização")</f>
        <v>Sinalização</v>
      </c>
    </row>
    <row r="312" spans="1:22" x14ac:dyDescent="0.25">
      <c r="A312" s="3" t="s">
        <v>22</v>
      </c>
      <c r="B312" s="4">
        <v>23519546</v>
      </c>
      <c r="C312" s="5" t="s">
        <v>23</v>
      </c>
      <c r="D312" s="6" t="s">
        <v>814</v>
      </c>
      <c r="E312" s="6" t="s">
        <v>25</v>
      </c>
      <c r="F312" s="11">
        <v>46169</v>
      </c>
      <c r="G312" s="6" t="s">
        <v>1079</v>
      </c>
      <c r="H312" s="7" t="s">
        <v>26</v>
      </c>
      <c r="I312" s="7" t="s">
        <v>218</v>
      </c>
      <c r="J312" s="7" t="s">
        <v>816</v>
      </c>
      <c r="K312" s="7" t="s">
        <v>29</v>
      </c>
      <c r="L312" s="3" t="str">
        <f>E312&amp;D312</f>
        <v>E.SP.IPAEE_INS_SEG_C_I_CIRCUITO VIA CA_0030</v>
      </c>
      <c r="M312" s="3" t="str">
        <f>IFERROR(MID(D312,SEARCH("S_I_",D312,1),3),"")</f>
        <v/>
      </c>
      <c r="N312" s="3" t="str">
        <f>IFERROR(MID(D312,SEARCH("C_I_",D312,1),3),"")</f>
        <v>C_I</v>
      </c>
      <c r="O312" s="3" t="str">
        <f>IF(AND(M312="",N312=""),"Extra","")</f>
        <v/>
      </c>
      <c r="P312" s="3" t="str">
        <f>IF(Q312=0,"TERCEIRO","MRS")</f>
        <v>MRS</v>
      </c>
      <c r="Q312" s="8" t="str">
        <f>IFERROR(VLOOKUP(L312,#REF!,4,0),"0,00")</f>
        <v>0,00</v>
      </c>
      <c r="R312" s="9" t="s">
        <v>42</v>
      </c>
      <c r="S312" s="9">
        <f>COUNTIF(D312,"*_SEG_*")</f>
        <v>1</v>
      </c>
      <c r="T312" s="9">
        <f>COUNTIF(D312,"*_MAN_*")</f>
        <v>0</v>
      </c>
      <c r="U312" s="9">
        <f>(RIGHT(D312,4))*1</f>
        <v>30</v>
      </c>
      <c r="V312" s="9" t="str">
        <f>IFERROR(VLOOKUP(I312,#REF!,2,0),"Sinalização")</f>
        <v>Sinalização</v>
      </c>
    </row>
    <row r="313" spans="1:22" x14ac:dyDescent="0.25">
      <c r="A313" s="3" t="s">
        <v>22</v>
      </c>
      <c r="B313" s="4">
        <v>23519617</v>
      </c>
      <c r="C313" s="5" t="s">
        <v>23</v>
      </c>
      <c r="D313" s="6" t="s">
        <v>820</v>
      </c>
      <c r="E313" s="6" t="s">
        <v>25</v>
      </c>
      <c r="F313" s="11">
        <v>46169</v>
      </c>
      <c r="G313" s="6" t="s">
        <v>1079</v>
      </c>
      <c r="H313" s="7" t="s">
        <v>32</v>
      </c>
      <c r="I313" s="7" t="s">
        <v>488</v>
      </c>
      <c r="J313" s="7" t="s">
        <v>822</v>
      </c>
      <c r="K313" s="7" t="s">
        <v>29</v>
      </c>
      <c r="L313" s="3" t="str">
        <f>E313&amp;D313</f>
        <v>E.SP.IPAEE_INS_CONF_S_I_BL INT RELÉ S/ BAT_0030</v>
      </c>
      <c r="M313" s="3" t="str">
        <f>IFERROR(MID(D313,SEARCH("S_I_",D313,1),3),"")</f>
        <v>S_I</v>
      </c>
      <c r="N313" s="3" t="str">
        <f>IFERROR(MID(D313,SEARCH("C_I_",D313,1),3),"")</f>
        <v/>
      </c>
      <c r="O313" s="3" t="str">
        <f>IF(AND(M313="",N313=""),"Extra","")</f>
        <v/>
      </c>
      <c r="P313" s="3" t="str">
        <f>IF(Q313=0,"TERCEIRO","MRS")</f>
        <v>MRS</v>
      </c>
      <c r="Q313" s="8" t="str">
        <f>IFERROR(VLOOKUP(L313,#REF!,4,0),"0,00")</f>
        <v>0,00</v>
      </c>
      <c r="R313" s="9" t="s">
        <v>42</v>
      </c>
      <c r="S313" s="9">
        <f>COUNTIF(D313,"*_SEG_*")</f>
        <v>0</v>
      </c>
      <c r="T313" s="9">
        <f>COUNTIF(D313,"*_MAN_*")</f>
        <v>0</v>
      </c>
      <c r="U313" s="9">
        <f>(RIGHT(D313,4))*1</f>
        <v>30</v>
      </c>
      <c r="V313" s="9" t="str">
        <f>IFERROR(VLOOKUP(I313,#REF!,2,0),"Sinalização")</f>
        <v>Sinalização</v>
      </c>
    </row>
    <row r="314" spans="1:22" x14ac:dyDescent="0.25">
      <c r="A314" s="3" t="s">
        <v>22</v>
      </c>
      <c r="B314" s="4">
        <v>23519623</v>
      </c>
      <c r="C314" s="5" t="s">
        <v>23</v>
      </c>
      <c r="D314" s="6" t="s">
        <v>820</v>
      </c>
      <c r="E314" s="6" t="s">
        <v>25</v>
      </c>
      <c r="F314" s="11">
        <v>46169</v>
      </c>
      <c r="G314" s="6" t="s">
        <v>1079</v>
      </c>
      <c r="H314" s="7" t="s">
        <v>32</v>
      </c>
      <c r="I314" s="7" t="s">
        <v>487</v>
      </c>
      <c r="J314" s="7" t="s">
        <v>822</v>
      </c>
      <c r="K314" s="7" t="s">
        <v>29</v>
      </c>
      <c r="L314" s="3" t="str">
        <f>E314&amp;D314</f>
        <v>E.SP.IPAEE_INS_CONF_S_I_BL INT RELÉ S/ BAT_0030</v>
      </c>
      <c r="M314" s="3" t="str">
        <f>IFERROR(MID(D314,SEARCH("S_I_",D314,1),3),"")</f>
        <v>S_I</v>
      </c>
      <c r="N314" s="3" t="str">
        <f>IFERROR(MID(D314,SEARCH("C_I_",D314,1),3),"")</f>
        <v/>
      </c>
      <c r="O314" s="3" t="str">
        <f>IF(AND(M314="",N314=""),"Extra","")</f>
        <v/>
      </c>
      <c r="P314" s="3" t="str">
        <f>IF(Q314=0,"TERCEIRO","MRS")</f>
        <v>MRS</v>
      </c>
      <c r="Q314" s="8" t="str">
        <f>IFERROR(VLOOKUP(L314,#REF!,4,0),"0,00")</f>
        <v>0,00</v>
      </c>
      <c r="R314" s="9" t="s">
        <v>42</v>
      </c>
      <c r="S314" s="9">
        <f>COUNTIF(D314,"*_SEG_*")</f>
        <v>0</v>
      </c>
      <c r="T314" s="9">
        <f>COUNTIF(D314,"*_MAN_*")</f>
        <v>0</v>
      </c>
      <c r="U314" s="9">
        <f>(RIGHT(D314,4))*1</f>
        <v>30</v>
      </c>
      <c r="V314" s="9" t="str">
        <f>IFERROR(VLOOKUP(I314,#REF!,2,0),"Sinalização")</f>
        <v>Sinalização</v>
      </c>
    </row>
    <row r="315" spans="1:22" x14ac:dyDescent="0.25">
      <c r="A315" s="3" t="s">
        <v>22</v>
      </c>
      <c r="B315" s="4">
        <v>23519629</v>
      </c>
      <c r="C315" s="5" t="s">
        <v>23</v>
      </c>
      <c r="D315" s="6" t="s">
        <v>820</v>
      </c>
      <c r="E315" s="6" t="s">
        <v>25</v>
      </c>
      <c r="F315" s="11">
        <v>46169</v>
      </c>
      <c r="G315" s="6" t="s">
        <v>1079</v>
      </c>
      <c r="H315" s="7" t="s">
        <v>26</v>
      </c>
      <c r="I315" s="7" t="s">
        <v>376</v>
      </c>
      <c r="J315" s="7" t="s">
        <v>822</v>
      </c>
      <c r="K315" s="7" t="s">
        <v>29</v>
      </c>
      <c r="L315" s="3" t="str">
        <f>E315&amp;D315</f>
        <v>E.SP.IPAEE_INS_CONF_S_I_BL INT RELÉ S/ BAT_0030</v>
      </c>
      <c r="M315" s="3" t="str">
        <f>IFERROR(MID(D315,SEARCH("S_I_",D315,1),3),"")</f>
        <v>S_I</v>
      </c>
      <c r="N315" s="3" t="str">
        <f>IFERROR(MID(D315,SEARCH("C_I_",D315,1),3),"")</f>
        <v/>
      </c>
      <c r="O315" s="3" t="str">
        <f>IF(AND(M315="",N315=""),"Extra","")</f>
        <v/>
      </c>
      <c r="P315" s="3" t="str">
        <f>IF(Q315=0,"TERCEIRO","MRS")</f>
        <v>MRS</v>
      </c>
      <c r="Q315" s="8" t="str">
        <f>IFERROR(VLOOKUP(L315,#REF!,4,0),"0,00")</f>
        <v>0,00</v>
      </c>
      <c r="R315" s="9" t="s">
        <v>42</v>
      </c>
      <c r="S315" s="9">
        <f>COUNTIF(D315,"*_SEG_*")</f>
        <v>0</v>
      </c>
      <c r="T315" s="9">
        <f>COUNTIF(D315,"*_MAN_*")</f>
        <v>0</v>
      </c>
      <c r="U315" s="9">
        <f>(RIGHT(D315,4))*1</f>
        <v>30</v>
      </c>
      <c r="V315" s="9" t="str">
        <f>IFERROR(VLOOKUP(I315,#REF!,2,0),"Sinalização")</f>
        <v>Sinalização</v>
      </c>
    </row>
    <row r="316" spans="1:22" x14ac:dyDescent="0.25">
      <c r="A316" s="3" t="s">
        <v>22</v>
      </c>
      <c r="B316" s="4">
        <v>23519658</v>
      </c>
      <c r="C316" s="5" t="s">
        <v>23</v>
      </c>
      <c r="D316" s="6" t="s">
        <v>984</v>
      </c>
      <c r="E316" s="6" t="s">
        <v>25</v>
      </c>
      <c r="F316" s="11">
        <v>46169</v>
      </c>
      <c r="G316" s="6" t="s">
        <v>1079</v>
      </c>
      <c r="H316" s="7" t="s">
        <v>26</v>
      </c>
      <c r="I316" s="7" t="s">
        <v>298</v>
      </c>
      <c r="J316" s="7" t="s">
        <v>958</v>
      </c>
      <c r="K316" s="7" t="s">
        <v>29</v>
      </c>
      <c r="L316" s="3" t="str">
        <f>E316&amp;D316</f>
        <v>E.SP.IPAEE_INS_SEG_C_I_MCH 110VCC GRS 55BR_0030</v>
      </c>
      <c r="M316" s="3" t="str">
        <f>IFERROR(MID(D316,SEARCH("S_I_",D316,1),3),"")</f>
        <v/>
      </c>
      <c r="N316" s="3" t="str">
        <f>IFERROR(MID(D316,SEARCH("C_I_",D316,1),3),"")</f>
        <v>C_I</v>
      </c>
      <c r="O316" s="3" t="str">
        <f>IF(AND(M316="",N316=""),"Extra","")</f>
        <v/>
      </c>
      <c r="P316" s="3" t="str">
        <f>IF(Q316=0,"TERCEIRO","MRS")</f>
        <v>MRS</v>
      </c>
      <c r="Q316" s="8" t="str">
        <f>IFERROR(VLOOKUP(L316,#REF!,4,0),"0,00")</f>
        <v>0,00</v>
      </c>
      <c r="R316" s="9" t="s">
        <v>42</v>
      </c>
      <c r="S316" s="9">
        <f>COUNTIF(D316,"*_SEG_*")</f>
        <v>1</v>
      </c>
      <c r="T316" s="9">
        <f>COUNTIF(D316,"*_MAN_*")</f>
        <v>0</v>
      </c>
      <c r="U316" s="9">
        <f>(RIGHT(D316,4))*1</f>
        <v>30</v>
      </c>
      <c r="V316" s="9" t="str">
        <f>IFERROR(VLOOKUP(I316,#REF!,2,0),"Sinalização")</f>
        <v>Sinalização</v>
      </c>
    </row>
    <row r="317" spans="1:22" x14ac:dyDescent="0.25">
      <c r="A317" s="3" t="s">
        <v>22</v>
      </c>
      <c r="B317" s="4">
        <v>23519659</v>
      </c>
      <c r="C317" s="5" t="s">
        <v>23</v>
      </c>
      <c r="D317" s="6" t="s">
        <v>984</v>
      </c>
      <c r="E317" s="6" t="s">
        <v>25</v>
      </c>
      <c r="F317" s="11">
        <v>46169</v>
      </c>
      <c r="G317" s="6" t="s">
        <v>1079</v>
      </c>
      <c r="H317" s="7" t="s">
        <v>32</v>
      </c>
      <c r="I317" s="7" t="s">
        <v>299</v>
      </c>
      <c r="J317" s="7" t="s">
        <v>958</v>
      </c>
      <c r="K317" s="7" t="s">
        <v>29</v>
      </c>
      <c r="L317" s="3" t="str">
        <f>E317&amp;D317</f>
        <v>E.SP.IPAEE_INS_SEG_C_I_MCH 110VCC GRS 55BR_0030</v>
      </c>
      <c r="M317" s="3" t="str">
        <f>IFERROR(MID(D317,SEARCH("S_I_",D317,1),3),"")</f>
        <v/>
      </c>
      <c r="N317" s="3" t="str">
        <f>IFERROR(MID(D317,SEARCH("C_I_",D317,1),3),"")</f>
        <v>C_I</v>
      </c>
      <c r="O317" s="3" t="str">
        <f>IF(AND(M317="",N317=""),"Extra","")</f>
        <v/>
      </c>
      <c r="P317" s="3" t="str">
        <f>IF(Q317=0,"TERCEIRO","MRS")</f>
        <v>MRS</v>
      </c>
      <c r="Q317" s="8" t="str">
        <f>IFERROR(VLOOKUP(L317,#REF!,4,0),"0,00")</f>
        <v>0,00</v>
      </c>
      <c r="R317" s="9" t="s">
        <v>42</v>
      </c>
      <c r="S317" s="9">
        <f>COUNTIF(D317,"*_SEG_*")</f>
        <v>1</v>
      </c>
      <c r="T317" s="9">
        <f>COUNTIF(D317,"*_MAN_*")</f>
        <v>0</v>
      </c>
      <c r="U317" s="9">
        <f>(RIGHT(D317,4))*1</f>
        <v>30</v>
      </c>
      <c r="V317" s="9" t="str">
        <f>IFERROR(VLOOKUP(I317,#REF!,2,0),"Sinalização")</f>
        <v>Sinalização</v>
      </c>
    </row>
    <row r="318" spans="1:22" x14ac:dyDescent="0.25">
      <c r="A318" s="3" t="s">
        <v>22</v>
      </c>
      <c r="B318" s="4">
        <v>23519680</v>
      </c>
      <c r="C318" s="5" t="s">
        <v>23</v>
      </c>
      <c r="D318" s="6" t="s">
        <v>984</v>
      </c>
      <c r="E318" s="6" t="s">
        <v>25</v>
      </c>
      <c r="F318" s="11">
        <v>46169</v>
      </c>
      <c r="G318" s="6" t="s">
        <v>1079</v>
      </c>
      <c r="H318" s="7" t="s">
        <v>32</v>
      </c>
      <c r="I318" s="7" t="s">
        <v>297</v>
      </c>
      <c r="J318" s="7" t="s">
        <v>958</v>
      </c>
      <c r="K318" s="7" t="s">
        <v>29</v>
      </c>
      <c r="L318" s="3" t="str">
        <f>E318&amp;D318</f>
        <v>E.SP.IPAEE_INS_SEG_C_I_MCH 110VCC GRS 55BR_0030</v>
      </c>
      <c r="M318" s="3" t="str">
        <f>IFERROR(MID(D318,SEARCH("S_I_",D318,1),3),"")</f>
        <v/>
      </c>
      <c r="N318" s="3" t="str">
        <f>IFERROR(MID(D318,SEARCH("C_I_",D318,1),3),"")</f>
        <v>C_I</v>
      </c>
      <c r="O318" s="3" t="str">
        <f>IF(AND(M318="",N318=""),"Extra","")</f>
        <v/>
      </c>
      <c r="P318" s="3" t="str">
        <f>IF(Q318=0,"TERCEIRO","MRS")</f>
        <v>MRS</v>
      </c>
      <c r="Q318" s="8" t="str">
        <f>IFERROR(VLOOKUP(L318,#REF!,4,0),"0,00")</f>
        <v>0,00</v>
      </c>
      <c r="R318" s="9" t="s">
        <v>42</v>
      </c>
      <c r="S318" s="9">
        <f>COUNTIF(D318,"*_SEG_*")</f>
        <v>1</v>
      </c>
      <c r="T318" s="9">
        <f>COUNTIF(D318,"*_MAN_*")</f>
        <v>0</v>
      </c>
      <c r="U318" s="9">
        <f>(RIGHT(D318,4))*1</f>
        <v>30</v>
      </c>
      <c r="V318" s="9" t="str">
        <f>IFERROR(VLOOKUP(I318,#REF!,2,0),"Sinalização")</f>
        <v>Sinalização</v>
      </c>
    </row>
    <row r="319" spans="1:22" x14ac:dyDescent="0.25">
      <c r="A319" s="3" t="s">
        <v>22</v>
      </c>
      <c r="B319" s="4">
        <v>23519698</v>
      </c>
      <c r="C319" s="5" t="s">
        <v>23</v>
      </c>
      <c r="D319" s="6" t="s">
        <v>1072</v>
      </c>
      <c r="E319" s="6" t="s">
        <v>25</v>
      </c>
      <c r="F319" s="11">
        <v>46169</v>
      </c>
      <c r="G319" s="6" t="s">
        <v>1079</v>
      </c>
      <c r="H319" s="7" t="s">
        <v>26</v>
      </c>
      <c r="I319" s="7" t="s">
        <v>243</v>
      </c>
      <c r="J319" s="7" t="s">
        <v>1073</v>
      </c>
      <c r="K319" s="7" t="s">
        <v>29</v>
      </c>
      <c r="L319" s="3" t="str">
        <f>E319&amp;D319</f>
        <v>E.SP.IPAEE_INS_SEG_S_I_P.N. AUT MD S BARRE_0030</v>
      </c>
      <c r="M319" s="3" t="str">
        <f>IFERROR(MID(D319,SEARCH("S_I_",D319,1),3),"")</f>
        <v>S_I</v>
      </c>
      <c r="N319" s="3" t="str">
        <f>IFERROR(MID(D319,SEARCH("C_I_",D319,1),3),"")</f>
        <v/>
      </c>
      <c r="O319" s="3" t="str">
        <f>IF(AND(M319="",N319=""),"Extra","")</f>
        <v/>
      </c>
      <c r="P319" s="3" t="str">
        <f>IF(Q319=0,"TERCEIRO","MRS")</f>
        <v>MRS</v>
      </c>
      <c r="Q319" s="8" t="str">
        <f>IFERROR(VLOOKUP(L319,#REF!,4,0),"0,00")</f>
        <v>0,00</v>
      </c>
      <c r="R319" s="9" t="s">
        <v>42</v>
      </c>
      <c r="S319" s="9">
        <f>COUNTIF(D319,"*_SEG_*")</f>
        <v>1</v>
      </c>
      <c r="T319" s="9">
        <f>COUNTIF(D319,"*_MAN_*")</f>
        <v>0</v>
      </c>
      <c r="U319" s="9">
        <f>(RIGHT(D319,4))*1</f>
        <v>30</v>
      </c>
      <c r="V319" s="9" t="str">
        <f>IFERROR(VLOOKUP(I319,#REF!,2,0),"Sinalização")</f>
        <v>Sinalização</v>
      </c>
    </row>
    <row r="320" spans="1:22" x14ac:dyDescent="0.25">
      <c r="A320" s="3" t="s">
        <v>22</v>
      </c>
      <c r="B320" s="4">
        <v>23519786</v>
      </c>
      <c r="C320" s="5" t="s">
        <v>23</v>
      </c>
      <c r="D320" s="6" t="s">
        <v>986</v>
      </c>
      <c r="E320" s="6" t="s">
        <v>25</v>
      </c>
      <c r="F320" s="11">
        <v>46169</v>
      </c>
      <c r="G320" s="6" t="s">
        <v>1079</v>
      </c>
      <c r="H320" s="7" t="s">
        <v>26</v>
      </c>
      <c r="I320" s="7" t="s">
        <v>1074</v>
      </c>
      <c r="J320" s="7" t="s">
        <v>988</v>
      </c>
      <c r="K320" s="7" t="s">
        <v>29</v>
      </c>
      <c r="L320" s="3" t="str">
        <f>E320&amp;D320</f>
        <v>E.SP.IPAEE_INS_CONF_S_I_CONJUNTO MED ENER_0030</v>
      </c>
      <c r="M320" s="3" t="str">
        <f>IFERROR(MID(D320,SEARCH("S_I_",D320,1),3),"")</f>
        <v>S_I</v>
      </c>
      <c r="N320" s="3" t="str">
        <f>IFERROR(MID(D320,SEARCH("C_I_",D320,1),3),"")</f>
        <v/>
      </c>
      <c r="O320" s="3" t="str">
        <f>IF(AND(M320="",N320=""),"Extra","")</f>
        <v/>
      </c>
      <c r="P320" s="3" t="str">
        <f>IF(Q320=0,"TERCEIRO","MRS")</f>
        <v>MRS</v>
      </c>
      <c r="Q320" s="8" t="str">
        <f>IFERROR(VLOOKUP(L320,#REF!,4,0),"0,00")</f>
        <v>0,00</v>
      </c>
      <c r="R320" s="9" t="s">
        <v>42</v>
      </c>
      <c r="S320" s="9">
        <f>COUNTIF(D320,"*_SEG_*")</f>
        <v>0</v>
      </c>
      <c r="T320" s="9">
        <f>COUNTIF(D320,"*_MAN_*")</f>
        <v>0</v>
      </c>
      <c r="U320" s="9">
        <f>(RIGHT(D320,4))*1</f>
        <v>30</v>
      </c>
      <c r="V320" s="9" t="str">
        <f>IFERROR(VLOOKUP(I320,#REF!,2,0),"Sinalização")</f>
        <v>Sinalização</v>
      </c>
    </row>
    <row r="321" spans="1:22" x14ac:dyDescent="0.25">
      <c r="A321" s="3" t="s">
        <v>22</v>
      </c>
      <c r="B321" s="4">
        <v>23519935</v>
      </c>
      <c r="C321" s="5" t="s">
        <v>23</v>
      </c>
      <c r="D321" s="6" t="s">
        <v>828</v>
      </c>
      <c r="E321" s="6" t="s">
        <v>25</v>
      </c>
      <c r="F321" s="11">
        <v>46169</v>
      </c>
      <c r="G321" s="6" t="s">
        <v>1079</v>
      </c>
      <c r="H321" s="7" t="s">
        <v>32</v>
      </c>
      <c r="I321" s="7" t="s">
        <v>219</v>
      </c>
      <c r="J321" s="7" t="s">
        <v>822</v>
      </c>
      <c r="K321" s="7" t="s">
        <v>29</v>
      </c>
      <c r="L321" s="3" t="str">
        <f>E321&amp;D321</f>
        <v>E.SP.IPAEE_INS_SEG_S_I_CIRCUITO VIA CA_0030</v>
      </c>
      <c r="M321" s="3" t="str">
        <f>IFERROR(MID(D321,SEARCH("S_I_",D321,1),3),"")</f>
        <v>S_I</v>
      </c>
      <c r="N321" s="3" t="str">
        <f>IFERROR(MID(D321,SEARCH("C_I_",D321,1),3),"")</f>
        <v/>
      </c>
      <c r="O321" s="3" t="str">
        <f>IF(AND(M321="",N321=""),"Extra","")</f>
        <v/>
      </c>
      <c r="P321" s="3" t="str">
        <f>IF(Q321=0,"TERCEIRO","MRS")</f>
        <v>MRS</v>
      </c>
      <c r="Q321" s="8" t="str">
        <f>IFERROR(VLOOKUP(L321,#REF!,4,0),"0,00")</f>
        <v>0,00</v>
      </c>
      <c r="R321" s="9" t="s">
        <v>42</v>
      </c>
      <c r="S321" s="9">
        <f>COUNTIF(D321,"*_SEG_*")</f>
        <v>1</v>
      </c>
      <c r="T321" s="9">
        <f>COUNTIF(D321,"*_MAN_*")</f>
        <v>0</v>
      </c>
      <c r="U321" s="9">
        <f>(RIGHT(D321,4))*1</f>
        <v>30</v>
      </c>
      <c r="V321" s="9" t="str">
        <f>IFERROR(VLOOKUP(I321,#REF!,2,0),"Sinalização")</f>
        <v>Sinalização</v>
      </c>
    </row>
    <row r="322" spans="1:22" x14ac:dyDescent="0.25">
      <c r="A322" s="3" t="s">
        <v>22</v>
      </c>
      <c r="B322" s="4">
        <v>23520081</v>
      </c>
      <c r="C322" s="5" t="s">
        <v>23</v>
      </c>
      <c r="D322" s="6" t="s">
        <v>829</v>
      </c>
      <c r="E322" s="6" t="s">
        <v>25</v>
      </c>
      <c r="F322" s="11">
        <v>46169</v>
      </c>
      <c r="G322" s="6" t="s">
        <v>1079</v>
      </c>
      <c r="H322" s="7" t="s">
        <v>32</v>
      </c>
      <c r="I322" s="7" t="s">
        <v>219</v>
      </c>
      <c r="J322" s="7" t="s">
        <v>830</v>
      </c>
      <c r="K322" s="7" t="s">
        <v>29</v>
      </c>
      <c r="L322" s="3" t="str">
        <f>E322&amp;D322</f>
        <v>E.SP.IPAT_EE_INS_CONF_S_I_CIRCUITO VIA CA_0030</v>
      </c>
      <c r="M322" s="3" t="str">
        <f>IFERROR(MID(D322,SEARCH("S_I_",D322,1),3),"")</f>
        <v>S_I</v>
      </c>
      <c r="N322" s="3" t="str">
        <f>IFERROR(MID(D322,SEARCH("C_I_",D322,1),3),"")</f>
        <v/>
      </c>
      <c r="O322" s="3" t="str">
        <f>IF(AND(M322="",N322=""),"Extra","")</f>
        <v/>
      </c>
      <c r="P322" s="3" t="str">
        <f>IF(Q322=0,"TERCEIRO","MRS")</f>
        <v>MRS</v>
      </c>
      <c r="Q322" s="8" t="str">
        <f>IFERROR(VLOOKUP(L322,#REF!,4,0),"0,00")</f>
        <v>0,00</v>
      </c>
      <c r="R322" s="9" t="s">
        <v>42</v>
      </c>
      <c r="S322" s="9">
        <f>COUNTIF(D322,"*_SEG_*")</f>
        <v>0</v>
      </c>
      <c r="T322" s="9">
        <f>COUNTIF(D322,"*_MAN_*")</f>
        <v>0</v>
      </c>
      <c r="U322" s="9">
        <f>(RIGHT(D322,4))*1</f>
        <v>30</v>
      </c>
      <c r="V322" s="9" t="str">
        <f>IFERROR(VLOOKUP(I322,#REF!,2,0),"Sinalização")</f>
        <v>Sinalização</v>
      </c>
    </row>
    <row r="323" spans="1:22" x14ac:dyDescent="0.25">
      <c r="A323" s="3" t="s">
        <v>22</v>
      </c>
      <c r="B323" s="4">
        <v>23520088</v>
      </c>
      <c r="C323" s="5" t="s">
        <v>23</v>
      </c>
      <c r="D323" s="6" t="s">
        <v>831</v>
      </c>
      <c r="E323" s="6" t="s">
        <v>25</v>
      </c>
      <c r="F323" s="11">
        <v>46169</v>
      </c>
      <c r="G323" s="6" t="s">
        <v>1079</v>
      </c>
      <c r="H323" s="7" t="s">
        <v>26</v>
      </c>
      <c r="I323" s="7" t="s">
        <v>990</v>
      </c>
      <c r="J323" s="7" t="s">
        <v>832</v>
      </c>
      <c r="K323" s="7" t="s">
        <v>29</v>
      </c>
      <c r="L323" s="3" t="str">
        <f>E323&amp;D323</f>
        <v>E.SP.IPAEE_INS_SEG_C_I_CIRCUITO VIA CA_1_0030</v>
      </c>
      <c r="M323" s="3" t="str">
        <f>IFERROR(MID(D323,SEARCH("S_I_",D323,1),3),"")</f>
        <v/>
      </c>
      <c r="N323" s="3" t="str">
        <f>IFERROR(MID(D323,SEARCH("C_I_",D323,1),3),"")</f>
        <v>C_I</v>
      </c>
      <c r="O323" s="3" t="str">
        <f>IF(AND(M323="",N323=""),"Extra","")</f>
        <v/>
      </c>
      <c r="P323" s="3" t="str">
        <f>IF(Q323=0,"TERCEIRO","MRS")</f>
        <v>MRS</v>
      </c>
      <c r="Q323" s="8" t="str">
        <f>IFERROR(VLOOKUP(L323,#REF!,4,0),"0,00")</f>
        <v>0,00</v>
      </c>
      <c r="R323" s="9" t="s">
        <v>42</v>
      </c>
      <c r="S323" s="9">
        <f>COUNTIF(D323,"*_SEG_*")</f>
        <v>1</v>
      </c>
      <c r="T323" s="9">
        <f>COUNTIF(D323,"*_MAN_*")</f>
        <v>0</v>
      </c>
      <c r="U323" s="9">
        <f>(RIGHT(D323,4))*1</f>
        <v>30</v>
      </c>
      <c r="V323" s="9" t="str">
        <f>IFERROR(VLOOKUP(I323,#REF!,2,0),"Sinalização")</f>
        <v>Sinalização</v>
      </c>
    </row>
    <row r="324" spans="1:22" x14ac:dyDescent="0.25">
      <c r="A324" s="3" t="s">
        <v>22</v>
      </c>
      <c r="B324" s="4">
        <v>23520093</v>
      </c>
      <c r="C324" s="5" t="s">
        <v>23</v>
      </c>
      <c r="D324" s="6" t="s">
        <v>831</v>
      </c>
      <c r="E324" s="6" t="s">
        <v>25</v>
      </c>
      <c r="F324" s="11">
        <v>46169</v>
      </c>
      <c r="G324" s="6" t="s">
        <v>1079</v>
      </c>
      <c r="H324" s="7" t="s">
        <v>26</v>
      </c>
      <c r="I324" s="7" t="s">
        <v>217</v>
      </c>
      <c r="J324" s="7" t="s">
        <v>832</v>
      </c>
      <c r="K324" s="7" t="s">
        <v>29</v>
      </c>
      <c r="L324" s="3" t="str">
        <f>E324&amp;D324</f>
        <v>E.SP.IPAEE_INS_SEG_C_I_CIRCUITO VIA CA_1_0030</v>
      </c>
      <c r="M324" s="3" t="str">
        <f>IFERROR(MID(D324,SEARCH("S_I_",D324,1),3),"")</f>
        <v/>
      </c>
      <c r="N324" s="3" t="str">
        <f>IFERROR(MID(D324,SEARCH("C_I_",D324,1),3),"")</f>
        <v>C_I</v>
      </c>
      <c r="O324" s="3" t="str">
        <f>IF(AND(M324="",N324=""),"Extra","")</f>
        <v/>
      </c>
      <c r="P324" s="3" t="str">
        <f>IF(Q324=0,"TERCEIRO","MRS")</f>
        <v>MRS</v>
      </c>
      <c r="Q324" s="8" t="str">
        <f>IFERROR(VLOOKUP(L324,#REF!,4,0),"0,00")</f>
        <v>0,00</v>
      </c>
      <c r="R324" s="9" t="s">
        <v>42</v>
      </c>
      <c r="S324" s="9">
        <f>COUNTIF(D324,"*_SEG_*")</f>
        <v>1</v>
      </c>
      <c r="T324" s="9">
        <f>COUNTIF(D324,"*_MAN_*")</f>
        <v>0</v>
      </c>
      <c r="U324" s="9">
        <f>(RIGHT(D324,4))*1</f>
        <v>30</v>
      </c>
      <c r="V324" s="9" t="str">
        <f>IFERROR(VLOOKUP(I324,#REF!,2,0),"Sinalização")</f>
        <v>Sinalização</v>
      </c>
    </row>
    <row r="325" spans="1:22" x14ac:dyDescent="0.25">
      <c r="A325" s="3" t="s">
        <v>22</v>
      </c>
      <c r="B325" s="4">
        <v>23520094</v>
      </c>
      <c r="C325" s="5" t="s">
        <v>23</v>
      </c>
      <c r="D325" s="6" t="s">
        <v>831</v>
      </c>
      <c r="E325" s="6" t="s">
        <v>25</v>
      </c>
      <c r="F325" s="11">
        <v>46169</v>
      </c>
      <c r="G325" s="6" t="s">
        <v>1079</v>
      </c>
      <c r="H325" s="7" t="s">
        <v>32</v>
      </c>
      <c r="I325" s="7" t="s">
        <v>218</v>
      </c>
      <c r="J325" s="7" t="s">
        <v>832</v>
      </c>
      <c r="K325" s="7" t="s">
        <v>29</v>
      </c>
      <c r="L325" s="3" t="str">
        <f>E325&amp;D325</f>
        <v>E.SP.IPAEE_INS_SEG_C_I_CIRCUITO VIA CA_1_0030</v>
      </c>
      <c r="M325" s="3" t="str">
        <f>IFERROR(MID(D325,SEARCH("S_I_",D325,1),3),"")</f>
        <v/>
      </c>
      <c r="N325" s="3" t="str">
        <f>IFERROR(MID(D325,SEARCH("C_I_",D325,1),3),"")</f>
        <v>C_I</v>
      </c>
      <c r="O325" s="3" t="str">
        <f>IF(AND(M325="",N325=""),"Extra","")</f>
        <v/>
      </c>
      <c r="P325" s="3" t="str">
        <f>IF(Q325=0,"TERCEIRO","MRS")</f>
        <v>MRS</v>
      </c>
      <c r="Q325" s="8" t="str">
        <f>IFERROR(VLOOKUP(L325,#REF!,4,0),"0,00")</f>
        <v>0,00</v>
      </c>
      <c r="R325" s="9" t="s">
        <v>42</v>
      </c>
      <c r="S325" s="9">
        <f>COUNTIF(D325,"*_SEG_*")</f>
        <v>1</v>
      </c>
      <c r="T325" s="9">
        <f>COUNTIF(D325,"*_MAN_*")</f>
        <v>0</v>
      </c>
      <c r="U325" s="9">
        <f>(RIGHT(D325,4))*1</f>
        <v>30</v>
      </c>
      <c r="V325" s="9" t="str">
        <f>IFERROR(VLOOKUP(I325,#REF!,2,0),"Sinalização")</f>
        <v>Sinalização</v>
      </c>
    </row>
    <row r="326" spans="1:22" x14ac:dyDescent="0.25">
      <c r="A326" s="3" t="s">
        <v>22</v>
      </c>
      <c r="B326" s="4">
        <v>23520114</v>
      </c>
      <c r="C326" s="5" t="s">
        <v>23</v>
      </c>
      <c r="D326" s="6" t="s">
        <v>831</v>
      </c>
      <c r="E326" s="6" t="s">
        <v>25</v>
      </c>
      <c r="F326" s="11">
        <v>46169</v>
      </c>
      <c r="G326" s="6" t="s">
        <v>1079</v>
      </c>
      <c r="H326" s="7" t="s">
        <v>32</v>
      </c>
      <c r="I326" s="7" t="s">
        <v>496</v>
      </c>
      <c r="J326" s="7" t="s">
        <v>832</v>
      </c>
      <c r="K326" s="7" t="s">
        <v>29</v>
      </c>
      <c r="L326" s="3" t="str">
        <f>E326&amp;D326</f>
        <v>E.SP.IPAEE_INS_SEG_C_I_CIRCUITO VIA CA_1_0030</v>
      </c>
      <c r="M326" s="3" t="str">
        <f>IFERROR(MID(D326,SEARCH("S_I_",D326,1),3),"")</f>
        <v/>
      </c>
      <c r="N326" s="3" t="str">
        <f>IFERROR(MID(D326,SEARCH("C_I_",D326,1),3),"")</f>
        <v>C_I</v>
      </c>
      <c r="O326" s="3" t="str">
        <f>IF(AND(M326="",N326=""),"Extra","")</f>
        <v/>
      </c>
      <c r="P326" s="3" t="str">
        <f>IF(Q326=0,"TERCEIRO","MRS")</f>
        <v>MRS</v>
      </c>
      <c r="Q326" s="8" t="str">
        <f>IFERROR(VLOOKUP(L326,#REF!,4,0),"0,00")</f>
        <v>0,00</v>
      </c>
      <c r="R326" s="9" t="s">
        <v>42</v>
      </c>
      <c r="S326" s="9">
        <f>COUNTIF(D326,"*_SEG_*")</f>
        <v>1</v>
      </c>
      <c r="T326" s="9">
        <f>COUNTIF(D326,"*_MAN_*")</f>
        <v>0</v>
      </c>
      <c r="U326" s="9">
        <f>(RIGHT(D326,4))*1</f>
        <v>30</v>
      </c>
      <c r="V326" s="9" t="str">
        <f>IFERROR(VLOOKUP(I326,#REF!,2,0),"Sinalização")</f>
        <v>Sinalização</v>
      </c>
    </row>
    <row r="327" spans="1:22" x14ac:dyDescent="0.25">
      <c r="A327" s="3" t="s">
        <v>22</v>
      </c>
      <c r="B327" s="4">
        <v>23520115</v>
      </c>
      <c r="C327" s="5" t="s">
        <v>23</v>
      </c>
      <c r="D327" s="6" t="s">
        <v>831</v>
      </c>
      <c r="E327" s="6" t="s">
        <v>25</v>
      </c>
      <c r="F327" s="11">
        <v>46169</v>
      </c>
      <c r="G327" s="6" t="s">
        <v>1079</v>
      </c>
      <c r="H327" s="7" t="s">
        <v>26</v>
      </c>
      <c r="I327" s="7" t="s">
        <v>989</v>
      </c>
      <c r="J327" s="7" t="s">
        <v>832</v>
      </c>
      <c r="K327" s="7" t="s">
        <v>29</v>
      </c>
      <c r="L327" s="3" t="str">
        <f>E327&amp;D327</f>
        <v>E.SP.IPAEE_INS_SEG_C_I_CIRCUITO VIA CA_1_0030</v>
      </c>
      <c r="M327" s="3" t="str">
        <f>IFERROR(MID(D327,SEARCH("S_I_",D327,1),3),"")</f>
        <v/>
      </c>
      <c r="N327" s="3" t="str">
        <f>IFERROR(MID(D327,SEARCH("C_I_",D327,1),3),"")</f>
        <v>C_I</v>
      </c>
      <c r="O327" s="3" t="str">
        <f>IF(AND(M327="",N327=""),"Extra","")</f>
        <v/>
      </c>
      <c r="P327" s="3" t="str">
        <f>IF(Q327=0,"TERCEIRO","MRS")</f>
        <v>MRS</v>
      </c>
      <c r="Q327" s="8" t="str">
        <f>IFERROR(VLOOKUP(L327,#REF!,4,0),"0,00")</f>
        <v>0,00</v>
      </c>
      <c r="R327" s="9" t="s">
        <v>42</v>
      </c>
      <c r="S327" s="9">
        <f>COUNTIF(D327,"*_SEG_*")</f>
        <v>1</v>
      </c>
      <c r="T327" s="9">
        <f>COUNTIF(D327,"*_MAN_*")</f>
        <v>0</v>
      </c>
      <c r="U327" s="9">
        <f>(RIGHT(D327,4))*1</f>
        <v>30</v>
      </c>
      <c r="V327" s="9" t="str">
        <f>IFERROR(VLOOKUP(I327,#REF!,2,0),"Sinalização")</f>
        <v>Sinalização</v>
      </c>
    </row>
    <row r="328" spans="1:22" x14ac:dyDescent="0.25">
      <c r="A328" s="3" t="s">
        <v>22</v>
      </c>
      <c r="B328" s="4">
        <v>23520119</v>
      </c>
      <c r="C328" s="5" t="s">
        <v>23</v>
      </c>
      <c r="D328" s="6" t="s">
        <v>831</v>
      </c>
      <c r="E328" s="6" t="s">
        <v>25</v>
      </c>
      <c r="F328" s="11">
        <v>46169</v>
      </c>
      <c r="G328" s="6" t="s">
        <v>1079</v>
      </c>
      <c r="H328" s="7" t="s">
        <v>26</v>
      </c>
      <c r="I328" s="7" t="s">
        <v>569</v>
      </c>
      <c r="J328" s="7" t="s">
        <v>832</v>
      </c>
      <c r="K328" s="7" t="s">
        <v>29</v>
      </c>
      <c r="L328" s="3" t="str">
        <f>E328&amp;D328</f>
        <v>E.SP.IPAEE_INS_SEG_C_I_CIRCUITO VIA CA_1_0030</v>
      </c>
      <c r="M328" s="3" t="str">
        <f>IFERROR(MID(D328,SEARCH("S_I_",D328,1),3),"")</f>
        <v/>
      </c>
      <c r="N328" s="3" t="str">
        <f>IFERROR(MID(D328,SEARCH("C_I_",D328,1),3),"")</f>
        <v>C_I</v>
      </c>
      <c r="O328" s="3" t="str">
        <f>IF(AND(M328="",N328=""),"Extra","")</f>
        <v/>
      </c>
      <c r="P328" s="3" t="str">
        <f>IF(Q328=0,"TERCEIRO","MRS")</f>
        <v>MRS</v>
      </c>
      <c r="Q328" s="8" t="str">
        <f>IFERROR(VLOOKUP(L328,#REF!,4,0),"0,00")</f>
        <v>0,00</v>
      </c>
      <c r="R328" s="9" t="s">
        <v>42</v>
      </c>
      <c r="S328" s="9">
        <f>COUNTIF(D328,"*_SEG_*")</f>
        <v>1</v>
      </c>
      <c r="T328" s="9">
        <f>COUNTIF(D328,"*_MAN_*")</f>
        <v>0</v>
      </c>
      <c r="U328" s="9">
        <f>(RIGHT(D328,4))*1</f>
        <v>30</v>
      </c>
      <c r="V328" s="9" t="str">
        <f>IFERROR(VLOOKUP(I328,#REF!,2,0),"Sinalização")</f>
        <v>Sinalização</v>
      </c>
    </row>
    <row r="329" spans="1:22" x14ac:dyDescent="0.25">
      <c r="A329" s="3" t="s">
        <v>22</v>
      </c>
      <c r="B329" s="4">
        <v>23520125</v>
      </c>
      <c r="C329" s="5" t="s">
        <v>23</v>
      </c>
      <c r="D329" s="6" t="s">
        <v>831</v>
      </c>
      <c r="E329" s="6" t="s">
        <v>25</v>
      </c>
      <c r="F329" s="11">
        <v>46169</v>
      </c>
      <c r="G329" s="6" t="s">
        <v>1079</v>
      </c>
      <c r="H329" s="7" t="s">
        <v>32</v>
      </c>
      <c r="I329" s="7" t="s">
        <v>234</v>
      </c>
      <c r="J329" s="7" t="s">
        <v>832</v>
      </c>
      <c r="K329" s="7" t="s">
        <v>29</v>
      </c>
      <c r="L329" s="3" t="str">
        <f>E329&amp;D329</f>
        <v>E.SP.IPAEE_INS_SEG_C_I_CIRCUITO VIA CA_1_0030</v>
      </c>
      <c r="M329" s="3" t="str">
        <f>IFERROR(MID(D329,SEARCH("S_I_",D329,1),3),"")</f>
        <v/>
      </c>
      <c r="N329" s="3" t="str">
        <f>IFERROR(MID(D329,SEARCH("C_I_",D329,1),3),"")</f>
        <v>C_I</v>
      </c>
      <c r="O329" s="3" t="str">
        <f>IF(AND(M329="",N329=""),"Extra","")</f>
        <v/>
      </c>
      <c r="P329" s="3" t="str">
        <f>IF(Q329=0,"TERCEIRO","MRS")</f>
        <v>MRS</v>
      </c>
      <c r="Q329" s="8" t="str">
        <f>IFERROR(VLOOKUP(L329,#REF!,4,0),"0,00")</f>
        <v>0,00</v>
      </c>
      <c r="R329" s="9" t="s">
        <v>42</v>
      </c>
      <c r="S329" s="9">
        <f>COUNTIF(D329,"*_SEG_*")</f>
        <v>1</v>
      </c>
      <c r="T329" s="9">
        <f>COUNTIF(D329,"*_MAN_*")</f>
        <v>0</v>
      </c>
      <c r="U329" s="9">
        <f>(RIGHT(D329,4))*1</f>
        <v>30</v>
      </c>
      <c r="V329" s="9" t="str">
        <f>IFERROR(VLOOKUP(I329,#REF!,2,0),"Sinalização")</f>
        <v>Sinalização</v>
      </c>
    </row>
    <row r="330" spans="1:22" x14ac:dyDescent="0.25">
      <c r="A330" s="3" t="s">
        <v>22</v>
      </c>
      <c r="B330" s="4">
        <v>23520126</v>
      </c>
      <c r="C330" s="5" t="s">
        <v>23</v>
      </c>
      <c r="D330" s="6" t="s">
        <v>831</v>
      </c>
      <c r="E330" s="6" t="s">
        <v>25</v>
      </c>
      <c r="F330" s="11">
        <v>46169</v>
      </c>
      <c r="G330" s="6" t="s">
        <v>1079</v>
      </c>
      <c r="H330" s="7" t="s">
        <v>32</v>
      </c>
      <c r="I330" s="7" t="s">
        <v>998</v>
      </c>
      <c r="J330" s="7" t="s">
        <v>832</v>
      </c>
      <c r="K330" s="7" t="s">
        <v>29</v>
      </c>
      <c r="L330" s="3" t="str">
        <f>E330&amp;D330</f>
        <v>E.SP.IPAEE_INS_SEG_C_I_CIRCUITO VIA CA_1_0030</v>
      </c>
      <c r="M330" s="3" t="str">
        <f>IFERROR(MID(D330,SEARCH("S_I_",D330,1),3),"")</f>
        <v/>
      </c>
      <c r="N330" s="3" t="str">
        <f>IFERROR(MID(D330,SEARCH("C_I_",D330,1),3),"")</f>
        <v>C_I</v>
      </c>
      <c r="O330" s="3" t="str">
        <f>IF(AND(M330="",N330=""),"Extra","")</f>
        <v/>
      </c>
      <c r="P330" s="3" t="str">
        <f>IF(Q330=0,"TERCEIRO","MRS")</f>
        <v>MRS</v>
      </c>
      <c r="Q330" s="8" t="str">
        <f>IFERROR(VLOOKUP(L330,#REF!,4,0),"0,00")</f>
        <v>0,00</v>
      </c>
      <c r="R330" s="9" t="s">
        <v>42</v>
      </c>
      <c r="S330" s="9">
        <f>COUNTIF(D330,"*_SEG_*")</f>
        <v>1</v>
      </c>
      <c r="T330" s="9">
        <f>COUNTIF(D330,"*_MAN_*")</f>
        <v>0</v>
      </c>
      <c r="U330" s="9">
        <f>(RIGHT(D330,4))*1</f>
        <v>30</v>
      </c>
      <c r="V330" s="9" t="str">
        <f>IFERROR(VLOOKUP(I330,#REF!,2,0),"Sinalização")</f>
        <v>Sinalização</v>
      </c>
    </row>
    <row r="331" spans="1:22" x14ac:dyDescent="0.25">
      <c r="A331" s="3" t="s">
        <v>22</v>
      </c>
      <c r="B331" s="4">
        <v>23520127</v>
      </c>
      <c r="C331" s="5" t="s">
        <v>23</v>
      </c>
      <c r="D331" s="6" t="s">
        <v>831</v>
      </c>
      <c r="E331" s="6" t="s">
        <v>25</v>
      </c>
      <c r="F331" s="11">
        <v>46169</v>
      </c>
      <c r="G331" s="6" t="s">
        <v>1079</v>
      </c>
      <c r="H331" s="7" t="s">
        <v>26</v>
      </c>
      <c r="I331" s="7" t="s">
        <v>216</v>
      </c>
      <c r="J331" s="7" t="s">
        <v>832</v>
      </c>
      <c r="K331" s="7" t="s">
        <v>29</v>
      </c>
      <c r="L331" s="3" t="str">
        <f>E331&amp;D331</f>
        <v>E.SP.IPAEE_INS_SEG_C_I_CIRCUITO VIA CA_1_0030</v>
      </c>
      <c r="M331" s="3" t="str">
        <f>IFERROR(MID(D331,SEARCH("S_I_",D331,1),3),"")</f>
        <v/>
      </c>
      <c r="N331" s="3" t="str">
        <f>IFERROR(MID(D331,SEARCH("C_I_",D331,1),3),"")</f>
        <v>C_I</v>
      </c>
      <c r="O331" s="3" t="str">
        <f>IF(AND(M331="",N331=""),"Extra","")</f>
        <v/>
      </c>
      <c r="P331" s="3" t="str">
        <f>IF(Q331=0,"TERCEIRO","MRS")</f>
        <v>MRS</v>
      </c>
      <c r="Q331" s="8" t="str">
        <f>IFERROR(VLOOKUP(L331,#REF!,4,0),"0,00")</f>
        <v>0,00</v>
      </c>
      <c r="R331" s="9" t="s">
        <v>42</v>
      </c>
      <c r="S331" s="9">
        <f>COUNTIF(D331,"*_SEG_*")</f>
        <v>1</v>
      </c>
      <c r="T331" s="9">
        <f>COUNTIF(D331,"*_MAN_*")</f>
        <v>0</v>
      </c>
      <c r="U331" s="9">
        <f>(RIGHT(D331,4))*1</f>
        <v>30</v>
      </c>
      <c r="V331" s="9" t="str">
        <f>IFERROR(VLOOKUP(I331,#REF!,2,0),"Sinalização")</f>
        <v>Sinalização</v>
      </c>
    </row>
    <row r="332" spans="1:22" x14ac:dyDescent="0.25">
      <c r="A332" s="3" t="s">
        <v>22</v>
      </c>
      <c r="B332" s="4">
        <v>23520128</v>
      </c>
      <c r="C332" s="5" t="s">
        <v>23</v>
      </c>
      <c r="D332" s="6" t="s">
        <v>831</v>
      </c>
      <c r="E332" s="6" t="s">
        <v>25</v>
      </c>
      <c r="F332" s="11">
        <v>46169</v>
      </c>
      <c r="G332" s="6" t="s">
        <v>1079</v>
      </c>
      <c r="H332" s="7" t="s">
        <v>26</v>
      </c>
      <c r="I332" s="7" t="s">
        <v>219</v>
      </c>
      <c r="J332" s="7" t="s">
        <v>832</v>
      </c>
      <c r="K332" s="7" t="s">
        <v>29</v>
      </c>
      <c r="L332" s="3" t="str">
        <f>E332&amp;D332</f>
        <v>E.SP.IPAEE_INS_SEG_C_I_CIRCUITO VIA CA_1_0030</v>
      </c>
      <c r="M332" s="3" t="str">
        <f>IFERROR(MID(D332,SEARCH("S_I_",D332,1),3),"")</f>
        <v/>
      </c>
      <c r="N332" s="3" t="str">
        <f>IFERROR(MID(D332,SEARCH("C_I_",D332,1),3),"")</f>
        <v>C_I</v>
      </c>
      <c r="O332" s="3" t="str">
        <f>IF(AND(M332="",N332=""),"Extra","")</f>
        <v/>
      </c>
      <c r="P332" s="3" t="str">
        <f>IF(Q332=0,"TERCEIRO","MRS")</f>
        <v>MRS</v>
      </c>
      <c r="Q332" s="8" t="str">
        <f>IFERROR(VLOOKUP(L332,#REF!,4,0),"0,00")</f>
        <v>0,00</v>
      </c>
      <c r="R332" s="9" t="s">
        <v>42</v>
      </c>
      <c r="S332" s="9">
        <f>COUNTIF(D332,"*_SEG_*")</f>
        <v>1</v>
      </c>
      <c r="T332" s="9">
        <f>COUNTIF(D332,"*_MAN_*")</f>
        <v>0</v>
      </c>
      <c r="U332" s="9">
        <f>(RIGHT(D332,4))*1</f>
        <v>30</v>
      </c>
      <c r="V332" s="9" t="str">
        <f>IFERROR(VLOOKUP(I332,#REF!,2,0),"Sinalização")</f>
        <v>Sinalização</v>
      </c>
    </row>
    <row r="333" spans="1:22" x14ac:dyDescent="0.25">
      <c r="A333" s="3" t="s">
        <v>22</v>
      </c>
      <c r="B333" s="4">
        <v>23520318</v>
      </c>
      <c r="C333" s="5" t="s">
        <v>23</v>
      </c>
      <c r="D333" s="6" t="s">
        <v>835</v>
      </c>
      <c r="E333" s="6" t="s">
        <v>25</v>
      </c>
      <c r="F333" s="11">
        <v>46169</v>
      </c>
      <c r="G333" s="6" t="s">
        <v>1079</v>
      </c>
      <c r="H333" s="7" t="s">
        <v>32</v>
      </c>
      <c r="I333" s="7" t="s">
        <v>219</v>
      </c>
      <c r="J333" s="7" t="s">
        <v>836</v>
      </c>
      <c r="K333" s="7" t="s">
        <v>29</v>
      </c>
      <c r="L333" s="3" t="str">
        <f>E333&amp;D333</f>
        <v>E.SP.IPAEE_INS_CONF_S_I_CIRCUITO VIA CA_0030</v>
      </c>
      <c r="M333" s="3" t="str">
        <f>IFERROR(MID(D333,SEARCH("S_I_",D333,1),3),"")</f>
        <v>S_I</v>
      </c>
      <c r="N333" s="3" t="str">
        <f>IFERROR(MID(D333,SEARCH("C_I_",D333,1),3),"")</f>
        <v/>
      </c>
      <c r="O333" s="3" t="str">
        <f>IF(AND(M333="",N333=""),"Extra","")</f>
        <v/>
      </c>
      <c r="P333" s="3" t="str">
        <f>IF(Q333=0,"TERCEIRO","MRS")</f>
        <v>MRS</v>
      </c>
      <c r="Q333" s="8" t="str">
        <f>IFERROR(VLOOKUP(L333,#REF!,4,0),"0,00")</f>
        <v>0,00</v>
      </c>
      <c r="R333" s="9" t="s">
        <v>42</v>
      </c>
      <c r="S333" s="9">
        <f>COUNTIF(D333,"*_SEG_*")</f>
        <v>0</v>
      </c>
      <c r="T333" s="9">
        <f>COUNTIF(D333,"*_MAN_*")</f>
        <v>0</v>
      </c>
      <c r="U333" s="9">
        <f>(RIGHT(D333,4))*1</f>
        <v>30</v>
      </c>
      <c r="V333" s="9" t="str">
        <f>IFERROR(VLOOKUP(I333,#REF!,2,0),"Sinalização")</f>
        <v>Sinalização</v>
      </c>
    </row>
    <row r="334" spans="1:22" x14ac:dyDescent="0.25">
      <c r="A334" s="3" t="s">
        <v>22</v>
      </c>
      <c r="B334" s="4">
        <v>23520368</v>
      </c>
      <c r="C334" s="5" t="s">
        <v>23</v>
      </c>
      <c r="D334" s="6" t="s">
        <v>838</v>
      </c>
      <c r="E334" s="6" t="s">
        <v>25</v>
      </c>
      <c r="F334" s="11">
        <v>46169</v>
      </c>
      <c r="G334" s="6" t="s">
        <v>1079</v>
      </c>
      <c r="H334" s="7" t="s">
        <v>32</v>
      </c>
      <c r="I334" s="7" t="s">
        <v>272</v>
      </c>
      <c r="J334" s="7" t="s">
        <v>839</v>
      </c>
      <c r="K334" s="7" t="s">
        <v>29</v>
      </c>
      <c r="L334" s="3" t="str">
        <f>E334&amp;D334</f>
        <v>E.SP.IPAEE_INS_CONF_C_I_MAQ CHAVE MOLA_0030</v>
      </c>
      <c r="M334" s="3" t="str">
        <f>IFERROR(MID(D334,SEARCH("S_I_",D334,1),3),"")</f>
        <v/>
      </c>
      <c r="N334" s="3" t="str">
        <f>IFERROR(MID(D334,SEARCH("C_I_",D334,1),3),"")</f>
        <v>C_I</v>
      </c>
      <c r="O334" s="3" t="str">
        <f>IF(AND(M334="",N334=""),"Extra","")</f>
        <v/>
      </c>
      <c r="P334" s="3" t="str">
        <f>IF(Q334=0,"TERCEIRO","MRS")</f>
        <v>MRS</v>
      </c>
      <c r="Q334" s="8" t="str">
        <f>IFERROR(VLOOKUP(L334,#REF!,4,0),"0,00")</f>
        <v>0,00</v>
      </c>
      <c r="R334" s="9" t="s">
        <v>42</v>
      </c>
      <c r="S334" s="9">
        <f>COUNTIF(D334,"*_SEG_*")</f>
        <v>0</v>
      </c>
      <c r="T334" s="9">
        <f>COUNTIF(D334,"*_MAN_*")</f>
        <v>0</v>
      </c>
      <c r="U334" s="9">
        <f>(RIGHT(D334,4))*1</f>
        <v>30</v>
      </c>
      <c r="V334" s="9" t="str">
        <f>IFERROR(VLOOKUP(I334,#REF!,2,0),"Sinalização")</f>
        <v>Sinalização</v>
      </c>
    </row>
    <row r="335" spans="1:22" x14ac:dyDescent="0.25">
      <c r="A335" s="3" t="s">
        <v>22</v>
      </c>
      <c r="B335" s="4">
        <v>23520370</v>
      </c>
      <c r="C335" s="5" t="s">
        <v>23</v>
      </c>
      <c r="D335" s="6" t="s">
        <v>838</v>
      </c>
      <c r="E335" s="6" t="s">
        <v>25</v>
      </c>
      <c r="F335" s="11">
        <v>46169</v>
      </c>
      <c r="G335" s="6" t="s">
        <v>1079</v>
      </c>
      <c r="H335" s="7" t="s">
        <v>26</v>
      </c>
      <c r="I335" s="7" t="s">
        <v>1060</v>
      </c>
      <c r="J335" s="7" t="s">
        <v>839</v>
      </c>
      <c r="K335" s="7" t="s">
        <v>29</v>
      </c>
      <c r="L335" s="3" t="str">
        <f>E335&amp;D335</f>
        <v>E.SP.IPAEE_INS_CONF_C_I_MAQ CHAVE MOLA_0030</v>
      </c>
      <c r="M335" s="3" t="str">
        <f>IFERROR(MID(D335,SEARCH("S_I_",D335,1),3),"")</f>
        <v/>
      </c>
      <c r="N335" s="3" t="str">
        <f>IFERROR(MID(D335,SEARCH("C_I_",D335,1),3),"")</f>
        <v>C_I</v>
      </c>
      <c r="O335" s="3" t="str">
        <f>IF(AND(M335="",N335=""),"Extra","")</f>
        <v/>
      </c>
      <c r="P335" s="3" t="str">
        <f>IF(Q335=0,"TERCEIRO","MRS")</f>
        <v>MRS</v>
      </c>
      <c r="Q335" s="8" t="str">
        <f>IFERROR(VLOOKUP(L335,#REF!,4,0),"0,00")</f>
        <v>0,00</v>
      </c>
      <c r="R335" s="9" t="s">
        <v>42</v>
      </c>
      <c r="S335" s="9">
        <f>COUNTIF(D335,"*_SEG_*")</f>
        <v>0</v>
      </c>
      <c r="T335" s="9">
        <f>COUNTIF(D335,"*_MAN_*")</f>
        <v>0</v>
      </c>
      <c r="U335" s="9">
        <f>(RIGHT(D335,4))*1</f>
        <v>30</v>
      </c>
      <c r="V335" s="9" t="str">
        <f>IFERROR(VLOOKUP(I335,#REF!,2,0),"Sinalização")</f>
        <v>Sinalização</v>
      </c>
    </row>
    <row r="336" spans="1:22" x14ac:dyDescent="0.25">
      <c r="A336" s="3" t="s">
        <v>22</v>
      </c>
      <c r="B336" s="4">
        <v>23520371</v>
      </c>
      <c r="C336" s="5" t="s">
        <v>23</v>
      </c>
      <c r="D336" s="6" t="s">
        <v>838</v>
      </c>
      <c r="E336" s="6" t="s">
        <v>25</v>
      </c>
      <c r="F336" s="11">
        <v>46169</v>
      </c>
      <c r="G336" s="6" t="s">
        <v>1079</v>
      </c>
      <c r="H336" s="7" t="s">
        <v>26</v>
      </c>
      <c r="I336" s="7" t="s">
        <v>273</v>
      </c>
      <c r="J336" s="7" t="s">
        <v>839</v>
      </c>
      <c r="K336" s="7" t="s">
        <v>29</v>
      </c>
      <c r="L336" s="3" t="str">
        <f>E336&amp;D336</f>
        <v>E.SP.IPAEE_INS_CONF_C_I_MAQ CHAVE MOLA_0030</v>
      </c>
      <c r="M336" s="3" t="str">
        <f>IFERROR(MID(D336,SEARCH("S_I_",D336,1),3),"")</f>
        <v/>
      </c>
      <c r="N336" s="3" t="str">
        <f>IFERROR(MID(D336,SEARCH("C_I_",D336,1),3),"")</f>
        <v>C_I</v>
      </c>
      <c r="O336" s="3" t="str">
        <f>IF(AND(M336="",N336=""),"Extra","")</f>
        <v/>
      </c>
      <c r="P336" s="3" t="str">
        <f>IF(Q336=0,"TERCEIRO","MRS")</f>
        <v>MRS</v>
      </c>
      <c r="Q336" s="8" t="str">
        <f>IFERROR(VLOOKUP(L336,#REF!,4,0),"0,00")</f>
        <v>0,00</v>
      </c>
      <c r="R336" s="9" t="s">
        <v>42</v>
      </c>
      <c r="S336" s="9">
        <f>COUNTIF(D336,"*_SEG_*")</f>
        <v>0</v>
      </c>
      <c r="T336" s="9">
        <f>COUNTIF(D336,"*_MAN_*")</f>
        <v>0</v>
      </c>
      <c r="U336" s="9">
        <f>(RIGHT(D336,4))*1</f>
        <v>30</v>
      </c>
      <c r="V336" s="9" t="str">
        <f>IFERROR(VLOOKUP(I336,#REF!,2,0),"Sinalização")</f>
        <v>Sinalização</v>
      </c>
    </row>
    <row r="337" spans="1:22" x14ac:dyDescent="0.25">
      <c r="A337" s="3" t="s">
        <v>22</v>
      </c>
      <c r="B337" s="4">
        <v>23520492</v>
      </c>
      <c r="C337" s="5" t="s">
        <v>23</v>
      </c>
      <c r="D337" s="6" t="s">
        <v>1015</v>
      </c>
      <c r="E337" s="6" t="s">
        <v>25</v>
      </c>
      <c r="F337" s="11">
        <v>46169</v>
      </c>
      <c r="G337" s="6" t="s">
        <v>1079</v>
      </c>
      <c r="H337" s="7" t="s">
        <v>32</v>
      </c>
      <c r="I337" s="7" t="s">
        <v>1075</v>
      </c>
      <c r="J337" s="7" t="s">
        <v>1016</v>
      </c>
      <c r="K337" s="7" t="s">
        <v>29</v>
      </c>
      <c r="L337" s="3" t="str">
        <f>E337&amp;D337</f>
        <v>E.SP.IPAEE_INS_CONF_S_I_IAS_0030</v>
      </c>
      <c r="M337" s="3" t="str">
        <f>IFERROR(MID(D337,SEARCH("S_I_",D337,1),3),"")</f>
        <v>S_I</v>
      </c>
      <c r="N337" s="3" t="str">
        <f>IFERROR(MID(D337,SEARCH("C_I_",D337,1),3),"")</f>
        <v/>
      </c>
      <c r="O337" s="3" t="str">
        <f>IF(AND(M337="",N337=""),"Extra","")</f>
        <v/>
      </c>
      <c r="P337" s="3" t="str">
        <f>IF(Q337=0,"TERCEIRO","MRS")</f>
        <v>MRS</v>
      </c>
      <c r="Q337" s="8" t="str">
        <f>IFERROR(VLOOKUP(L337,#REF!,4,0),"0,00")</f>
        <v>0,00</v>
      </c>
      <c r="R337" s="9" t="s">
        <v>42</v>
      </c>
      <c r="S337" s="9">
        <f>COUNTIF(D337,"*_SEG_*")</f>
        <v>0</v>
      </c>
      <c r="T337" s="9">
        <f>COUNTIF(D337,"*_MAN_*")</f>
        <v>0</v>
      </c>
      <c r="U337" s="9">
        <f>(RIGHT(D337,4))*1</f>
        <v>30</v>
      </c>
      <c r="V337" s="9" t="str">
        <f>IFERROR(VLOOKUP(I337,#REF!,2,0),"Sinalização")</f>
        <v>Sinalização</v>
      </c>
    </row>
    <row r="338" spans="1:22" x14ac:dyDescent="0.25">
      <c r="A338" s="3" t="s">
        <v>22</v>
      </c>
      <c r="B338" s="4">
        <v>23520493</v>
      </c>
      <c r="C338" s="5" t="s">
        <v>23</v>
      </c>
      <c r="D338" s="6" t="s">
        <v>1015</v>
      </c>
      <c r="E338" s="6" t="s">
        <v>25</v>
      </c>
      <c r="F338" s="11">
        <v>46169</v>
      </c>
      <c r="G338" s="6" t="s">
        <v>1079</v>
      </c>
      <c r="H338" s="7" t="s">
        <v>32</v>
      </c>
      <c r="I338" s="7" t="s">
        <v>356</v>
      </c>
      <c r="J338" s="7" t="s">
        <v>1016</v>
      </c>
      <c r="K338" s="7" t="s">
        <v>29</v>
      </c>
      <c r="L338" s="3" t="str">
        <f>E338&amp;D338</f>
        <v>E.SP.IPAEE_INS_CONF_S_I_IAS_0030</v>
      </c>
      <c r="M338" s="3" t="str">
        <f>IFERROR(MID(D338,SEARCH("S_I_",D338,1),3),"")</f>
        <v>S_I</v>
      </c>
      <c r="N338" s="3" t="str">
        <f>IFERROR(MID(D338,SEARCH("C_I_",D338,1),3),"")</f>
        <v/>
      </c>
      <c r="O338" s="3" t="str">
        <f>IF(AND(M338="",N338=""),"Extra","")</f>
        <v/>
      </c>
      <c r="P338" s="3" t="str">
        <f>IF(Q338=0,"TERCEIRO","MRS")</f>
        <v>MRS</v>
      </c>
      <c r="Q338" s="8" t="str">
        <f>IFERROR(VLOOKUP(L338,#REF!,4,0),"0,00")</f>
        <v>0,00</v>
      </c>
      <c r="R338" s="9" t="s">
        <v>42</v>
      </c>
      <c r="S338" s="9">
        <f>COUNTIF(D338,"*_SEG_*")</f>
        <v>0</v>
      </c>
      <c r="T338" s="9">
        <f>COUNTIF(D338,"*_MAN_*")</f>
        <v>0</v>
      </c>
      <c r="U338" s="9">
        <f>(RIGHT(D338,4))*1</f>
        <v>30</v>
      </c>
      <c r="V338" s="9" t="str">
        <f>IFERROR(VLOOKUP(I338,#REF!,2,0),"Sinalização")</f>
        <v>Sinalização</v>
      </c>
    </row>
    <row r="339" spans="1:22" x14ac:dyDescent="0.25">
      <c r="A339" s="3" t="s">
        <v>22</v>
      </c>
      <c r="B339" s="4">
        <v>23520494</v>
      </c>
      <c r="C339" s="5" t="s">
        <v>23</v>
      </c>
      <c r="D339" s="6" t="s">
        <v>1015</v>
      </c>
      <c r="E339" s="6" t="s">
        <v>25</v>
      </c>
      <c r="F339" s="11">
        <v>46169</v>
      </c>
      <c r="G339" s="6" t="s">
        <v>1079</v>
      </c>
      <c r="H339" s="7" t="s">
        <v>26</v>
      </c>
      <c r="I339" s="7" t="s">
        <v>358</v>
      </c>
      <c r="J339" s="7" t="s">
        <v>1016</v>
      </c>
      <c r="K339" s="7" t="s">
        <v>29</v>
      </c>
      <c r="L339" s="3" t="str">
        <f>E339&amp;D339</f>
        <v>E.SP.IPAEE_INS_CONF_S_I_IAS_0030</v>
      </c>
      <c r="M339" s="3" t="str">
        <f>IFERROR(MID(D339,SEARCH("S_I_",D339,1),3),"")</f>
        <v>S_I</v>
      </c>
      <c r="N339" s="3" t="str">
        <f>IFERROR(MID(D339,SEARCH("C_I_",D339,1),3),"")</f>
        <v/>
      </c>
      <c r="O339" s="3" t="str">
        <f>IF(AND(M339="",N339=""),"Extra","")</f>
        <v/>
      </c>
      <c r="P339" s="3" t="str">
        <f>IF(Q339=0,"TERCEIRO","MRS")</f>
        <v>MRS</v>
      </c>
      <c r="Q339" s="8" t="str">
        <f>IFERROR(VLOOKUP(L339,#REF!,4,0),"0,00")</f>
        <v>0,00</v>
      </c>
      <c r="R339" s="9" t="s">
        <v>42</v>
      </c>
      <c r="S339" s="9">
        <f>COUNTIF(D339,"*_SEG_*")</f>
        <v>0</v>
      </c>
      <c r="T339" s="9">
        <f>COUNTIF(D339,"*_MAN_*")</f>
        <v>0</v>
      </c>
      <c r="U339" s="9">
        <f>(RIGHT(D339,4))*1</f>
        <v>30</v>
      </c>
      <c r="V339" s="9" t="str">
        <f>IFERROR(VLOOKUP(I339,#REF!,2,0),"Sinalização")</f>
        <v>Sinalização</v>
      </c>
    </row>
    <row r="340" spans="1:22" x14ac:dyDescent="0.25">
      <c r="A340" s="3" t="s">
        <v>22</v>
      </c>
      <c r="B340" s="4">
        <v>23520496</v>
      </c>
      <c r="C340" s="5" t="s">
        <v>23</v>
      </c>
      <c r="D340" s="6" t="s">
        <v>1015</v>
      </c>
      <c r="E340" s="6" t="s">
        <v>25</v>
      </c>
      <c r="F340" s="11">
        <v>46169</v>
      </c>
      <c r="G340" s="6" t="s">
        <v>1079</v>
      </c>
      <c r="H340" s="7" t="s">
        <v>26</v>
      </c>
      <c r="I340" s="7" t="s">
        <v>357</v>
      </c>
      <c r="J340" s="7" t="s">
        <v>1016</v>
      </c>
      <c r="K340" s="7" t="s">
        <v>29</v>
      </c>
      <c r="L340" s="3" t="str">
        <f>E340&amp;D340</f>
        <v>E.SP.IPAEE_INS_CONF_S_I_IAS_0030</v>
      </c>
      <c r="M340" s="3" t="str">
        <f>IFERROR(MID(D340,SEARCH("S_I_",D340,1),3),"")</f>
        <v>S_I</v>
      </c>
      <c r="N340" s="3" t="str">
        <f>IFERROR(MID(D340,SEARCH("C_I_",D340,1),3),"")</f>
        <v/>
      </c>
      <c r="O340" s="3" t="str">
        <f>IF(AND(M340="",N340=""),"Extra","")</f>
        <v/>
      </c>
      <c r="P340" s="3" t="str">
        <f>IF(Q340=0,"TERCEIRO","MRS")</f>
        <v>MRS</v>
      </c>
      <c r="Q340" s="8" t="str">
        <f>IFERROR(VLOOKUP(L340,#REF!,4,0),"0,00")</f>
        <v>0,00</v>
      </c>
      <c r="R340" s="9" t="s">
        <v>42</v>
      </c>
      <c r="S340" s="9">
        <f>COUNTIF(D340,"*_SEG_*")</f>
        <v>0</v>
      </c>
      <c r="T340" s="9">
        <f>COUNTIF(D340,"*_MAN_*")</f>
        <v>0</v>
      </c>
      <c r="U340" s="9">
        <f>(RIGHT(D340,4))*1</f>
        <v>30</v>
      </c>
      <c r="V340" s="9" t="str">
        <f>IFERROR(VLOOKUP(I340,#REF!,2,0),"Sinalização")</f>
        <v>Sinalização</v>
      </c>
    </row>
    <row r="341" spans="1:22" x14ac:dyDescent="0.25">
      <c r="A341" s="3" t="s">
        <v>22</v>
      </c>
      <c r="B341" s="4">
        <v>23520498</v>
      </c>
      <c r="C341" s="5" t="s">
        <v>23</v>
      </c>
      <c r="D341" s="6" t="s">
        <v>1015</v>
      </c>
      <c r="E341" s="6" t="s">
        <v>25</v>
      </c>
      <c r="F341" s="11">
        <v>46169</v>
      </c>
      <c r="G341" s="6" t="s">
        <v>1079</v>
      </c>
      <c r="H341" s="7" t="s">
        <v>32</v>
      </c>
      <c r="I341" s="7" t="s">
        <v>359</v>
      </c>
      <c r="J341" s="7" t="s">
        <v>1016</v>
      </c>
      <c r="K341" s="7" t="s">
        <v>29</v>
      </c>
      <c r="L341" s="3" t="str">
        <f>E341&amp;D341</f>
        <v>E.SP.IPAEE_INS_CONF_S_I_IAS_0030</v>
      </c>
      <c r="M341" s="3" t="str">
        <f>IFERROR(MID(D341,SEARCH("S_I_",D341,1),3),"")</f>
        <v>S_I</v>
      </c>
      <c r="N341" s="3" t="str">
        <f>IFERROR(MID(D341,SEARCH("C_I_",D341,1),3),"")</f>
        <v/>
      </c>
      <c r="O341" s="3" t="str">
        <f>IF(AND(M341="",N341=""),"Extra","")</f>
        <v/>
      </c>
      <c r="P341" s="3" t="str">
        <f>IF(Q341=0,"TERCEIRO","MRS")</f>
        <v>MRS</v>
      </c>
      <c r="Q341" s="8" t="str">
        <f>IFERROR(VLOOKUP(L341,#REF!,4,0),"0,00")</f>
        <v>0,00</v>
      </c>
      <c r="R341" s="9" t="s">
        <v>42</v>
      </c>
      <c r="S341" s="9">
        <f>COUNTIF(D341,"*_SEG_*")</f>
        <v>0</v>
      </c>
      <c r="T341" s="9">
        <f>COUNTIF(D341,"*_MAN_*")</f>
        <v>0</v>
      </c>
      <c r="U341" s="9">
        <f>(RIGHT(D341,4))*1</f>
        <v>30</v>
      </c>
      <c r="V341" s="9" t="str">
        <f>IFERROR(VLOOKUP(I341,#REF!,2,0),"Sinalização")</f>
        <v>Sinalização</v>
      </c>
    </row>
    <row r="342" spans="1:22" x14ac:dyDescent="0.25">
      <c r="A342" s="3" t="s">
        <v>22</v>
      </c>
      <c r="B342" s="4">
        <v>23520499</v>
      </c>
      <c r="C342" s="5" t="s">
        <v>23</v>
      </c>
      <c r="D342" s="6" t="s">
        <v>1015</v>
      </c>
      <c r="E342" s="6" t="s">
        <v>25</v>
      </c>
      <c r="F342" s="11">
        <v>46169</v>
      </c>
      <c r="G342" s="6" t="s">
        <v>1079</v>
      </c>
      <c r="H342" s="7" t="s">
        <v>32</v>
      </c>
      <c r="I342" s="7" t="s">
        <v>361</v>
      </c>
      <c r="J342" s="7" t="s">
        <v>1016</v>
      </c>
      <c r="K342" s="7" t="s">
        <v>29</v>
      </c>
      <c r="L342" s="3" t="str">
        <f>E342&amp;D342</f>
        <v>E.SP.IPAEE_INS_CONF_S_I_IAS_0030</v>
      </c>
      <c r="M342" s="3" t="str">
        <f>IFERROR(MID(D342,SEARCH("S_I_",D342,1),3),"")</f>
        <v>S_I</v>
      </c>
      <c r="N342" s="3" t="str">
        <f>IFERROR(MID(D342,SEARCH("C_I_",D342,1),3),"")</f>
        <v/>
      </c>
      <c r="O342" s="3" t="str">
        <f>IF(AND(M342="",N342=""),"Extra","")</f>
        <v/>
      </c>
      <c r="P342" s="3" t="str">
        <f>IF(Q342=0,"TERCEIRO","MRS")</f>
        <v>MRS</v>
      </c>
      <c r="Q342" s="8" t="str">
        <f>IFERROR(VLOOKUP(L342,#REF!,4,0),"0,00")</f>
        <v>0,00</v>
      </c>
      <c r="R342" s="9" t="s">
        <v>42</v>
      </c>
      <c r="S342" s="9">
        <f>COUNTIF(D342,"*_SEG_*")</f>
        <v>0</v>
      </c>
      <c r="T342" s="9">
        <f>COUNTIF(D342,"*_MAN_*")</f>
        <v>0</v>
      </c>
      <c r="U342" s="9">
        <f>(RIGHT(D342,4))*1</f>
        <v>30</v>
      </c>
      <c r="V342" s="9" t="str">
        <f>IFERROR(VLOOKUP(I342,#REF!,2,0),"Sinalização")</f>
        <v>Sinalização</v>
      </c>
    </row>
    <row r="343" spans="1:22" x14ac:dyDescent="0.25">
      <c r="A343" s="3" t="s">
        <v>22</v>
      </c>
      <c r="B343" s="4">
        <v>23520504</v>
      </c>
      <c r="C343" s="5" t="s">
        <v>23</v>
      </c>
      <c r="D343" s="6" t="s">
        <v>1015</v>
      </c>
      <c r="E343" s="6" t="s">
        <v>25</v>
      </c>
      <c r="F343" s="11">
        <v>46169</v>
      </c>
      <c r="G343" s="6" t="s">
        <v>1079</v>
      </c>
      <c r="H343" s="7" t="s">
        <v>26</v>
      </c>
      <c r="I343" s="7" t="s">
        <v>1055</v>
      </c>
      <c r="J343" s="7" t="s">
        <v>1016</v>
      </c>
      <c r="K343" s="7" t="s">
        <v>29</v>
      </c>
      <c r="L343" s="3" t="str">
        <f>E343&amp;D343</f>
        <v>E.SP.IPAEE_INS_CONF_S_I_IAS_0030</v>
      </c>
      <c r="M343" s="3" t="str">
        <f>IFERROR(MID(D343,SEARCH("S_I_",D343,1),3),"")</f>
        <v>S_I</v>
      </c>
      <c r="N343" s="3" t="str">
        <f>IFERROR(MID(D343,SEARCH("C_I_",D343,1),3),"")</f>
        <v/>
      </c>
      <c r="O343" s="3" t="str">
        <f>IF(AND(M343="",N343=""),"Extra","")</f>
        <v/>
      </c>
      <c r="P343" s="3" t="str">
        <f>IF(Q343=0,"TERCEIRO","MRS")</f>
        <v>MRS</v>
      </c>
      <c r="Q343" s="8" t="str">
        <f>IFERROR(VLOOKUP(L343,#REF!,4,0),"0,00")</f>
        <v>0,00</v>
      </c>
      <c r="R343" s="9" t="s">
        <v>42</v>
      </c>
      <c r="S343" s="9">
        <f>COUNTIF(D343,"*_SEG_*")</f>
        <v>0</v>
      </c>
      <c r="T343" s="9">
        <f>COUNTIF(D343,"*_MAN_*")</f>
        <v>0</v>
      </c>
      <c r="U343" s="9">
        <f>(RIGHT(D343,4))*1</f>
        <v>30</v>
      </c>
      <c r="V343" s="9" t="str">
        <f>IFERROR(VLOOKUP(I343,#REF!,2,0),"Sinalização")</f>
        <v>Sinalização</v>
      </c>
    </row>
    <row r="344" spans="1:22" x14ac:dyDescent="0.25">
      <c r="A344" s="3" t="s">
        <v>22</v>
      </c>
      <c r="B344" s="4">
        <v>23520505</v>
      </c>
      <c r="C344" s="5" t="s">
        <v>23</v>
      </c>
      <c r="D344" s="6" t="s">
        <v>1015</v>
      </c>
      <c r="E344" s="6" t="s">
        <v>25</v>
      </c>
      <c r="F344" s="11">
        <v>46169</v>
      </c>
      <c r="G344" s="6" t="s">
        <v>1079</v>
      </c>
      <c r="H344" s="7" t="s">
        <v>26</v>
      </c>
      <c r="I344" s="7" t="s">
        <v>1056</v>
      </c>
      <c r="J344" s="7" t="s">
        <v>1016</v>
      </c>
      <c r="K344" s="7" t="s">
        <v>29</v>
      </c>
      <c r="L344" s="3" t="str">
        <f>E344&amp;D344</f>
        <v>E.SP.IPAEE_INS_CONF_S_I_IAS_0030</v>
      </c>
      <c r="M344" s="3" t="str">
        <f>IFERROR(MID(D344,SEARCH("S_I_",D344,1),3),"")</f>
        <v>S_I</v>
      </c>
      <c r="N344" s="3" t="str">
        <f>IFERROR(MID(D344,SEARCH("C_I_",D344,1),3),"")</f>
        <v/>
      </c>
      <c r="O344" s="3" t="str">
        <f>IF(AND(M344="",N344=""),"Extra","")</f>
        <v/>
      </c>
      <c r="P344" s="3" t="str">
        <f>IF(Q344=0,"TERCEIRO","MRS")</f>
        <v>MRS</v>
      </c>
      <c r="Q344" s="8" t="str">
        <f>IFERROR(VLOOKUP(L344,#REF!,4,0),"0,00")</f>
        <v>0,00</v>
      </c>
      <c r="R344" s="9" t="s">
        <v>42</v>
      </c>
      <c r="S344" s="9">
        <f>COUNTIF(D344,"*_SEG_*")</f>
        <v>0</v>
      </c>
      <c r="T344" s="9">
        <f>COUNTIF(D344,"*_MAN_*")</f>
        <v>0</v>
      </c>
      <c r="U344" s="9">
        <f>(RIGHT(D344,4))*1</f>
        <v>30</v>
      </c>
      <c r="V344" s="9" t="str">
        <f>IFERROR(VLOOKUP(I344,#REF!,2,0),"Sinalização")</f>
        <v>Sinalização</v>
      </c>
    </row>
    <row r="345" spans="1:22" x14ac:dyDescent="0.25">
      <c r="A345" s="3" t="s">
        <v>22</v>
      </c>
      <c r="B345" s="4">
        <v>23520506</v>
      </c>
      <c r="C345" s="5" t="s">
        <v>23</v>
      </c>
      <c r="D345" s="6" t="s">
        <v>1015</v>
      </c>
      <c r="E345" s="6" t="s">
        <v>25</v>
      </c>
      <c r="F345" s="11">
        <v>46169</v>
      </c>
      <c r="G345" s="6" t="s">
        <v>1079</v>
      </c>
      <c r="H345" s="7" t="s">
        <v>32</v>
      </c>
      <c r="I345" s="7" t="s">
        <v>409</v>
      </c>
      <c r="J345" s="7" t="s">
        <v>1016</v>
      </c>
      <c r="K345" s="7" t="s">
        <v>29</v>
      </c>
      <c r="L345" s="3" t="str">
        <f>E345&amp;D345</f>
        <v>E.SP.IPAEE_INS_CONF_S_I_IAS_0030</v>
      </c>
      <c r="M345" s="3" t="str">
        <f>IFERROR(MID(D345,SEARCH("S_I_",D345,1),3),"")</f>
        <v>S_I</v>
      </c>
      <c r="N345" s="3" t="str">
        <f>IFERROR(MID(D345,SEARCH("C_I_",D345,1),3),"")</f>
        <v/>
      </c>
      <c r="O345" s="3" t="str">
        <f>IF(AND(M345="",N345=""),"Extra","")</f>
        <v/>
      </c>
      <c r="P345" s="3" t="str">
        <f>IF(Q345=0,"TERCEIRO","MRS")</f>
        <v>MRS</v>
      </c>
      <c r="Q345" s="8" t="str">
        <f>IFERROR(VLOOKUP(L345,#REF!,4,0),"0,00")</f>
        <v>0,00</v>
      </c>
      <c r="R345" s="9" t="s">
        <v>42</v>
      </c>
      <c r="S345" s="9">
        <f>COUNTIF(D345,"*_SEG_*")</f>
        <v>0</v>
      </c>
      <c r="T345" s="9">
        <f>COUNTIF(D345,"*_MAN_*")</f>
        <v>0</v>
      </c>
      <c r="U345" s="9">
        <f>(RIGHT(D345,4))*1</f>
        <v>30</v>
      </c>
      <c r="V345" s="9" t="str">
        <f>IFERROR(VLOOKUP(I345,#REF!,2,0),"Sinalização")</f>
        <v>Sinalização</v>
      </c>
    </row>
    <row r="346" spans="1:22" x14ac:dyDescent="0.25">
      <c r="A346" s="3" t="s">
        <v>22</v>
      </c>
      <c r="B346" s="4">
        <v>23520507</v>
      </c>
      <c r="C346" s="5" t="s">
        <v>23</v>
      </c>
      <c r="D346" s="6" t="s">
        <v>1015</v>
      </c>
      <c r="E346" s="6" t="s">
        <v>25</v>
      </c>
      <c r="F346" s="11">
        <v>46169</v>
      </c>
      <c r="G346" s="6" t="s">
        <v>1079</v>
      </c>
      <c r="H346" s="7" t="s">
        <v>32</v>
      </c>
      <c r="I346" s="7" t="s">
        <v>1076</v>
      </c>
      <c r="J346" s="7" t="s">
        <v>1016</v>
      </c>
      <c r="K346" s="7" t="s">
        <v>29</v>
      </c>
      <c r="L346" s="3" t="str">
        <f>E346&amp;D346</f>
        <v>E.SP.IPAEE_INS_CONF_S_I_IAS_0030</v>
      </c>
      <c r="M346" s="3" t="str">
        <f>IFERROR(MID(D346,SEARCH("S_I_",D346,1),3),"")</f>
        <v>S_I</v>
      </c>
      <c r="N346" s="3" t="str">
        <f>IFERROR(MID(D346,SEARCH("C_I_",D346,1),3),"")</f>
        <v/>
      </c>
      <c r="O346" s="3" t="str">
        <f>IF(AND(M346="",N346=""),"Extra","")</f>
        <v/>
      </c>
      <c r="P346" s="3" t="str">
        <f>IF(Q346=0,"TERCEIRO","MRS")</f>
        <v>MRS</v>
      </c>
      <c r="Q346" s="8" t="str">
        <f>IFERROR(VLOOKUP(L346,#REF!,4,0),"0,00")</f>
        <v>0,00</v>
      </c>
      <c r="R346" s="9" t="s">
        <v>42</v>
      </c>
      <c r="S346" s="9">
        <f>COUNTIF(D346,"*_SEG_*")</f>
        <v>0</v>
      </c>
      <c r="T346" s="9">
        <f>COUNTIF(D346,"*_MAN_*")</f>
        <v>0</v>
      </c>
      <c r="U346" s="9">
        <f>(RIGHT(D346,4))*1</f>
        <v>30</v>
      </c>
      <c r="V346" s="9" t="str">
        <f>IFERROR(VLOOKUP(I346,#REF!,2,0),"Sinalização")</f>
        <v>Sinalização</v>
      </c>
    </row>
    <row r="347" spans="1:22" x14ac:dyDescent="0.25">
      <c r="A347" s="3" t="s">
        <v>22</v>
      </c>
      <c r="B347" s="4">
        <v>23520508</v>
      </c>
      <c r="C347" s="5" t="s">
        <v>23</v>
      </c>
      <c r="D347" s="6" t="s">
        <v>1015</v>
      </c>
      <c r="E347" s="6" t="s">
        <v>25</v>
      </c>
      <c r="F347" s="11">
        <v>46169</v>
      </c>
      <c r="G347" s="6" t="s">
        <v>1079</v>
      </c>
      <c r="H347" s="7" t="s">
        <v>26</v>
      </c>
      <c r="I347" s="7" t="s">
        <v>1052</v>
      </c>
      <c r="J347" s="7" t="s">
        <v>1016</v>
      </c>
      <c r="K347" s="7" t="s">
        <v>29</v>
      </c>
      <c r="L347" s="3" t="str">
        <f>E347&amp;D347</f>
        <v>E.SP.IPAEE_INS_CONF_S_I_IAS_0030</v>
      </c>
      <c r="M347" s="3" t="str">
        <f>IFERROR(MID(D347,SEARCH("S_I_",D347,1),3),"")</f>
        <v>S_I</v>
      </c>
      <c r="N347" s="3" t="str">
        <f>IFERROR(MID(D347,SEARCH("C_I_",D347,1),3),"")</f>
        <v/>
      </c>
      <c r="O347" s="3" t="str">
        <f>IF(AND(M347="",N347=""),"Extra","")</f>
        <v/>
      </c>
      <c r="P347" s="3" t="str">
        <f>IF(Q347=0,"TERCEIRO","MRS")</f>
        <v>MRS</v>
      </c>
      <c r="Q347" s="8" t="str">
        <f>IFERROR(VLOOKUP(L347,#REF!,4,0),"0,00")</f>
        <v>0,00</v>
      </c>
      <c r="R347" s="9" t="s">
        <v>42</v>
      </c>
      <c r="S347" s="9">
        <f>COUNTIF(D347,"*_SEG_*")</f>
        <v>0</v>
      </c>
      <c r="T347" s="9">
        <f>COUNTIF(D347,"*_MAN_*")</f>
        <v>0</v>
      </c>
      <c r="U347" s="9">
        <f>(RIGHT(D347,4))*1</f>
        <v>30</v>
      </c>
      <c r="V347" s="9" t="str">
        <f>IFERROR(VLOOKUP(I347,#REF!,2,0),"Sinalização")</f>
        <v>Sinalização</v>
      </c>
    </row>
    <row r="348" spans="1:22" x14ac:dyDescent="0.25">
      <c r="A348" s="3" t="s">
        <v>22</v>
      </c>
      <c r="B348" s="4">
        <v>23520509</v>
      </c>
      <c r="C348" s="5" t="s">
        <v>23</v>
      </c>
      <c r="D348" s="6" t="s">
        <v>1015</v>
      </c>
      <c r="E348" s="6" t="s">
        <v>25</v>
      </c>
      <c r="F348" s="11">
        <v>46169</v>
      </c>
      <c r="G348" s="6" t="s">
        <v>1079</v>
      </c>
      <c r="H348" s="7" t="s">
        <v>26</v>
      </c>
      <c r="I348" s="7" t="s">
        <v>1054</v>
      </c>
      <c r="J348" s="7" t="s">
        <v>1016</v>
      </c>
      <c r="K348" s="7" t="s">
        <v>29</v>
      </c>
      <c r="L348" s="3" t="str">
        <f>E348&amp;D348</f>
        <v>E.SP.IPAEE_INS_CONF_S_I_IAS_0030</v>
      </c>
      <c r="M348" s="3" t="str">
        <f>IFERROR(MID(D348,SEARCH("S_I_",D348,1),3),"")</f>
        <v>S_I</v>
      </c>
      <c r="N348" s="3" t="str">
        <f>IFERROR(MID(D348,SEARCH("C_I_",D348,1),3),"")</f>
        <v/>
      </c>
      <c r="O348" s="3" t="str">
        <f>IF(AND(M348="",N348=""),"Extra","")</f>
        <v/>
      </c>
      <c r="P348" s="3" t="str">
        <f>IF(Q348=0,"TERCEIRO","MRS")</f>
        <v>MRS</v>
      </c>
      <c r="Q348" s="8" t="str">
        <f>IFERROR(VLOOKUP(L348,#REF!,4,0),"0,00")</f>
        <v>0,00</v>
      </c>
      <c r="R348" s="9" t="s">
        <v>42</v>
      </c>
      <c r="S348" s="9">
        <f>COUNTIF(D348,"*_SEG_*")</f>
        <v>0</v>
      </c>
      <c r="T348" s="9">
        <f>COUNTIF(D348,"*_MAN_*")</f>
        <v>0</v>
      </c>
      <c r="U348" s="9">
        <f>(RIGHT(D348,4))*1</f>
        <v>30</v>
      </c>
      <c r="V348" s="9" t="str">
        <f>IFERROR(VLOOKUP(I348,#REF!,2,0),"Sinalização")</f>
        <v>Sinalização</v>
      </c>
    </row>
    <row r="349" spans="1:22" x14ac:dyDescent="0.25">
      <c r="A349" s="3" t="s">
        <v>22</v>
      </c>
      <c r="B349" s="4">
        <v>23520510</v>
      </c>
      <c r="C349" s="5" t="s">
        <v>23</v>
      </c>
      <c r="D349" s="6" t="s">
        <v>1015</v>
      </c>
      <c r="E349" s="6" t="s">
        <v>25</v>
      </c>
      <c r="F349" s="11">
        <v>46169</v>
      </c>
      <c r="G349" s="6" t="s">
        <v>1079</v>
      </c>
      <c r="H349" s="7" t="s">
        <v>32</v>
      </c>
      <c r="I349" s="7" t="s">
        <v>1053</v>
      </c>
      <c r="J349" s="7" t="s">
        <v>1016</v>
      </c>
      <c r="K349" s="7" t="s">
        <v>29</v>
      </c>
      <c r="L349" s="3" t="str">
        <f>E349&amp;D349</f>
        <v>E.SP.IPAEE_INS_CONF_S_I_IAS_0030</v>
      </c>
      <c r="M349" s="3" t="str">
        <f>IFERROR(MID(D349,SEARCH("S_I_",D349,1),3),"")</f>
        <v>S_I</v>
      </c>
      <c r="N349" s="3" t="str">
        <f>IFERROR(MID(D349,SEARCH("C_I_",D349,1),3),"")</f>
        <v/>
      </c>
      <c r="O349" s="3" t="str">
        <f>IF(AND(M349="",N349=""),"Extra","")</f>
        <v/>
      </c>
      <c r="P349" s="3" t="str">
        <f>IF(Q349=0,"TERCEIRO","MRS")</f>
        <v>MRS</v>
      </c>
      <c r="Q349" s="8" t="str">
        <f>IFERROR(VLOOKUP(L349,#REF!,4,0),"0,00")</f>
        <v>0,00</v>
      </c>
      <c r="R349" s="9" t="s">
        <v>42</v>
      </c>
      <c r="S349" s="9">
        <f>COUNTIF(D349,"*_SEG_*")</f>
        <v>0</v>
      </c>
      <c r="T349" s="9">
        <f>COUNTIF(D349,"*_MAN_*")</f>
        <v>0</v>
      </c>
      <c r="U349" s="9">
        <f>(RIGHT(D349,4))*1</f>
        <v>30</v>
      </c>
      <c r="V349" s="9" t="str">
        <f>IFERROR(VLOOKUP(I349,#REF!,2,0),"Sinalização")</f>
        <v>Sinalização</v>
      </c>
    </row>
    <row r="350" spans="1:22" x14ac:dyDescent="0.25">
      <c r="A350" s="3" t="s">
        <v>22</v>
      </c>
      <c r="B350" s="4">
        <v>23520511</v>
      </c>
      <c r="C350" s="5" t="s">
        <v>23</v>
      </c>
      <c r="D350" s="6" t="s">
        <v>1015</v>
      </c>
      <c r="E350" s="6" t="s">
        <v>25</v>
      </c>
      <c r="F350" s="11">
        <v>46169</v>
      </c>
      <c r="G350" s="6" t="s">
        <v>1079</v>
      </c>
      <c r="H350" s="7" t="s">
        <v>32</v>
      </c>
      <c r="I350" s="7" t="s">
        <v>1077</v>
      </c>
      <c r="J350" s="7" t="s">
        <v>1016</v>
      </c>
      <c r="K350" s="7" t="s">
        <v>29</v>
      </c>
      <c r="L350" s="3" t="str">
        <f>E350&amp;D350</f>
        <v>E.SP.IPAEE_INS_CONF_S_I_IAS_0030</v>
      </c>
      <c r="M350" s="3" t="str">
        <f>IFERROR(MID(D350,SEARCH("S_I_",D350,1),3),"")</f>
        <v>S_I</v>
      </c>
      <c r="N350" s="3" t="str">
        <f>IFERROR(MID(D350,SEARCH("C_I_",D350,1),3),"")</f>
        <v/>
      </c>
      <c r="O350" s="3" t="str">
        <f>IF(AND(M350="",N350=""),"Extra","")</f>
        <v/>
      </c>
      <c r="P350" s="3" t="str">
        <f>IF(Q350=0,"TERCEIRO","MRS")</f>
        <v>MRS</v>
      </c>
      <c r="Q350" s="8" t="str">
        <f>IFERROR(VLOOKUP(L350,#REF!,4,0),"0,00")</f>
        <v>0,00</v>
      </c>
      <c r="R350" s="9" t="s">
        <v>42</v>
      </c>
      <c r="S350" s="9">
        <f>COUNTIF(D350,"*_SEG_*")</f>
        <v>0</v>
      </c>
      <c r="T350" s="9">
        <f>COUNTIF(D350,"*_MAN_*")</f>
        <v>0</v>
      </c>
      <c r="U350" s="9">
        <f>(RIGHT(D350,4))*1</f>
        <v>30</v>
      </c>
      <c r="V350" s="9" t="str">
        <f>IFERROR(VLOOKUP(I350,#REF!,2,0),"Sinalização")</f>
        <v>Sinalização</v>
      </c>
    </row>
    <row r="351" spans="1:22" x14ac:dyDescent="0.25">
      <c r="A351" s="3" t="s">
        <v>22</v>
      </c>
      <c r="B351" s="4">
        <v>23520512</v>
      </c>
      <c r="C351" s="5" t="s">
        <v>23</v>
      </c>
      <c r="D351" s="6" t="s">
        <v>1015</v>
      </c>
      <c r="E351" s="6" t="s">
        <v>25</v>
      </c>
      <c r="F351" s="11">
        <v>46169</v>
      </c>
      <c r="G351" s="6" t="s">
        <v>1079</v>
      </c>
      <c r="H351" s="7" t="s">
        <v>26</v>
      </c>
      <c r="I351" s="7" t="s">
        <v>1078</v>
      </c>
      <c r="J351" s="7" t="s">
        <v>1016</v>
      </c>
      <c r="K351" s="7" t="s">
        <v>29</v>
      </c>
      <c r="L351" s="3" t="str">
        <f>E351&amp;D351</f>
        <v>E.SP.IPAEE_INS_CONF_S_I_IAS_0030</v>
      </c>
      <c r="M351" s="3" t="str">
        <f>IFERROR(MID(D351,SEARCH("S_I_",D351,1),3),"")</f>
        <v>S_I</v>
      </c>
      <c r="N351" s="3" t="str">
        <f>IFERROR(MID(D351,SEARCH("C_I_",D351,1),3),"")</f>
        <v/>
      </c>
      <c r="O351" s="3" t="str">
        <f>IF(AND(M351="",N351=""),"Extra","")</f>
        <v/>
      </c>
      <c r="P351" s="3" t="str">
        <f>IF(Q351=0,"TERCEIRO","MRS")</f>
        <v>MRS</v>
      </c>
      <c r="Q351" s="8" t="str">
        <f>IFERROR(VLOOKUP(L351,#REF!,4,0),"0,00")</f>
        <v>0,00</v>
      </c>
      <c r="R351" s="9" t="s">
        <v>42</v>
      </c>
      <c r="S351" s="9">
        <f>COUNTIF(D351,"*_SEG_*")</f>
        <v>0</v>
      </c>
      <c r="T351" s="9">
        <f>COUNTIF(D351,"*_MAN_*")</f>
        <v>0</v>
      </c>
      <c r="U351" s="9">
        <f>(RIGHT(D351,4))*1</f>
        <v>30</v>
      </c>
      <c r="V351" s="9" t="str">
        <f>IFERROR(VLOOKUP(I351,#REF!,2,0),"Sinalização")</f>
        <v>Sinalização</v>
      </c>
    </row>
    <row r="352" spans="1:22" x14ac:dyDescent="0.25">
      <c r="A352" s="3" t="s">
        <v>22</v>
      </c>
      <c r="B352" s="4">
        <v>23520550</v>
      </c>
      <c r="C352" s="5" t="s">
        <v>23</v>
      </c>
      <c r="D352" s="6" t="s">
        <v>843</v>
      </c>
      <c r="E352" s="6" t="s">
        <v>25</v>
      </c>
      <c r="F352" s="11">
        <v>46169</v>
      </c>
      <c r="G352" s="6" t="s">
        <v>1079</v>
      </c>
      <c r="H352" s="7" t="s">
        <v>26</v>
      </c>
      <c r="I352" s="7" t="s">
        <v>272</v>
      </c>
      <c r="J352" s="7" t="s">
        <v>844</v>
      </c>
      <c r="K352" s="7" t="s">
        <v>29</v>
      </c>
      <c r="L352" s="3" t="str">
        <f>E352&amp;D352</f>
        <v>E.SP.IPAEE_MAN_CONF_C_I_MAQ CHAVE MOLA_0030</v>
      </c>
      <c r="M352" s="3" t="str">
        <f>IFERROR(MID(D352,SEARCH("S_I_",D352,1),3),"")</f>
        <v/>
      </c>
      <c r="N352" s="3" t="str">
        <f>IFERROR(MID(D352,SEARCH("C_I_",D352,1),3),"")</f>
        <v>C_I</v>
      </c>
      <c r="O352" s="3" t="str">
        <f>IF(AND(M352="",N352=""),"Extra","")</f>
        <v/>
      </c>
      <c r="P352" s="3" t="str">
        <f>IF(Q352=0,"TERCEIRO","MRS")</f>
        <v>MRS</v>
      </c>
      <c r="Q352" s="8" t="str">
        <f>IFERROR(VLOOKUP(L352,#REF!,4,0),"0,00")</f>
        <v>0,00</v>
      </c>
      <c r="R352" s="9" t="s">
        <v>42</v>
      </c>
      <c r="S352" s="9">
        <f>COUNTIF(D352,"*_SEG_*")</f>
        <v>0</v>
      </c>
      <c r="T352" s="9">
        <f>COUNTIF(D352,"*_MAN_*")</f>
        <v>1</v>
      </c>
      <c r="U352" s="9">
        <f>(RIGHT(D352,4))*1</f>
        <v>30</v>
      </c>
      <c r="V352" s="9" t="str">
        <f>IFERROR(VLOOKUP(I352,#REF!,2,0),"Sinalização")</f>
        <v>Sinalização</v>
      </c>
    </row>
    <row r="353" spans="1:22" x14ac:dyDescent="0.25">
      <c r="A353" s="3" t="s">
        <v>22</v>
      </c>
      <c r="B353" s="4">
        <v>23520551</v>
      </c>
      <c r="C353" s="5" t="s">
        <v>23</v>
      </c>
      <c r="D353" s="6" t="s">
        <v>843</v>
      </c>
      <c r="E353" s="6" t="s">
        <v>25</v>
      </c>
      <c r="F353" s="11">
        <v>46169</v>
      </c>
      <c r="G353" s="6" t="s">
        <v>1079</v>
      </c>
      <c r="H353" s="7" t="s">
        <v>32</v>
      </c>
      <c r="I353" s="7" t="s">
        <v>1060</v>
      </c>
      <c r="J353" s="7" t="s">
        <v>844</v>
      </c>
      <c r="K353" s="7" t="s">
        <v>29</v>
      </c>
      <c r="L353" s="3" t="str">
        <f>E353&amp;D353</f>
        <v>E.SP.IPAEE_MAN_CONF_C_I_MAQ CHAVE MOLA_0030</v>
      </c>
      <c r="M353" s="3" t="str">
        <f>IFERROR(MID(D353,SEARCH("S_I_",D353,1),3),"")</f>
        <v/>
      </c>
      <c r="N353" s="3" t="str">
        <f>IFERROR(MID(D353,SEARCH("C_I_",D353,1),3),"")</f>
        <v>C_I</v>
      </c>
      <c r="O353" s="3" t="str">
        <f>IF(AND(M353="",N353=""),"Extra","")</f>
        <v/>
      </c>
      <c r="P353" s="3" t="str">
        <f>IF(Q353=0,"TERCEIRO","MRS")</f>
        <v>MRS</v>
      </c>
      <c r="Q353" s="8" t="str">
        <f>IFERROR(VLOOKUP(L353,#REF!,4,0),"0,00")</f>
        <v>0,00</v>
      </c>
      <c r="R353" s="9" t="s">
        <v>42</v>
      </c>
      <c r="S353" s="9">
        <f>COUNTIF(D353,"*_SEG_*")</f>
        <v>0</v>
      </c>
      <c r="T353" s="9">
        <f>COUNTIF(D353,"*_MAN_*")</f>
        <v>1</v>
      </c>
      <c r="U353" s="9">
        <f>(RIGHT(D353,4))*1</f>
        <v>30</v>
      </c>
      <c r="V353" s="9" t="str">
        <f>IFERROR(VLOOKUP(I353,#REF!,2,0),"Sinalização")</f>
        <v>Sinalização</v>
      </c>
    </row>
    <row r="354" spans="1:22" x14ac:dyDescent="0.25">
      <c r="A354" s="3" t="s">
        <v>22</v>
      </c>
      <c r="B354" s="4">
        <v>23520599</v>
      </c>
      <c r="C354" s="5" t="s">
        <v>23</v>
      </c>
      <c r="D354" s="6" t="s">
        <v>1041</v>
      </c>
      <c r="E354" s="6" t="s">
        <v>25</v>
      </c>
      <c r="F354" s="11">
        <v>46169</v>
      </c>
      <c r="G354" s="6" t="s">
        <v>1079</v>
      </c>
      <c r="H354" s="7" t="s">
        <v>32</v>
      </c>
      <c r="I354" s="7" t="s">
        <v>361</v>
      </c>
      <c r="J354" s="7" t="s">
        <v>1042</v>
      </c>
      <c r="K354" s="7" t="s">
        <v>29</v>
      </c>
      <c r="L354" s="3" t="str">
        <f>E354&amp;D354</f>
        <v>E.SP.IPAEE_INS_CONF_C_I_IAS_0030</v>
      </c>
      <c r="M354" s="3" t="str">
        <f>IFERROR(MID(D354,SEARCH("S_I_",D354,1),3),"")</f>
        <v/>
      </c>
      <c r="N354" s="3" t="str">
        <f>IFERROR(MID(D354,SEARCH("C_I_",D354,1),3),"")</f>
        <v>C_I</v>
      </c>
      <c r="O354" s="3" t="str">
        <f>IF(AND(M354="",N354=""),"Extra","")</f>
        <v/>
      </c>
      <c r="P354" s="3" t="str">
        <f>IF(Q354=0,"TERCEIRO","MRS")</f>
        <v>MRS</v>
      </c>
      <c r="Q354" s="8" t="str">
        <f>IFERROR(VLOOKUP(L354,#REF!,4,0),"0,00")</f>
        <v>0,00</v>
      </c>
      <c r="R354" s="9" t="s">
        <v>42</v>
      </c>
      <c r="S354" s="9">
        <f>COUNTIF(D354,"*_SEG_*")</f>
        <v>0</v>
      </c>
      <c r="T354" s="9">
        <f>COUNTIF(D354,"*_MAN_*")</f>
        <v>0</v>
      </c>
      <c r="U354" s="9">
        <f>(RIGHT(D354,4))*1</f>
        <v>30</v>
      </c>
      <c r="V354" s="9" t="str">
        <f>IFERROR(VLOOKUP(I354,#REF!,2,0),"Sinalização")</f>
        <v>Sinalização</v>
      </c>
    </row>
    <row r="355" spans="1:22" x14ac:dyDescent="0.25">
      <c r="A355" s="3" t="s">
        <v>22</v>
      </c>
      <c r="B355" s="4">
        <v>23520640</v>
      </c>
      <c r="C355" s="5" t="s">
        <v>23</v>
      </c>
      <c r="D355" s="6" t="s">
        <v>1041</v>
      </c>
      <c r="E355" s="6" t="s">
        <v>25</v>
      </c>
      <c r="F355" s="11">
        <v>46169</v>
      </c>
      <c r="G355" s="6" t="s">
        <v>1079</v>
      </c>
      <c r="H355" s="7" t="s">
        <v>26</v>
      </c>
      <c r="I355" s="7" t="s">
        <v>359</v>
      </c>
      <c r="J355" s="7" t="s">
        <v>1042</v>
      </c>
      <c r="K355" s="7" t="s">
        <v>29</v>
      </c>
      <c r="L355" s="3" t="str">
        <f>E355&amp;D355</f>
        <v>E.SP.IPAEE_INS_CONF_C_I_IAS_0030</v>
      </c>
      <c r="M355" s="3" t="str">
        <f>IFERROR(MID(D355,SEARCH("S_I_",D355,1),3),"")</f>
        <v/>
      </c>
      <c r="N355" s="3" t="str">
        <f>IFERROR(MID(D355,SEARCH("C_I_",D355,1),3),"")</f>
        <v>C_I</v>
      </c>
      <c r="O355" s="3" t="str">
        <f>IF(AND(M355="",N355=""),"Extra","")</f>
        <v/>
      </c>
      <c r="P355" s="3" t="str">
        <f>IF(Q355=0,"TERCEIRO","MRS")</f>
        <v>MRS</v>
      </c>
      <c r="Q355" s="8" t="str">
        <f>IFERROR(VLOOKUP(L355,#REF!,4,0),"0,00")</f>
        <v>0,00</v>
      </c>
      <c r="R355" s="9" t="s">
        <v>42</v>
      </c>
      <c r="S355" s="9">
        <f>COUNTIF(D355,"*_SEG_*")</f>
        <v>0</v>
      </c>
      <c r="T355" s="9">
        <f>COUNTIF(D355,"*_MAN_*")</f>
        <v>0</v>
      </c>
      <c r="U355" s="9">
        <f>(RIGHT(D355,4))*1</f>
        <v>30</v>
      </c>
      <c r="V355" s="9" t="str">
        <f>IFERROR(VLOOKUP(I355,#REF!,2,0),"Sinalização")</f>
        <v>Sinalização</v>
      </c>
    </row>
    <row r="356" spans="1:22" x14ac:dyDescent="0.25">
      <c r="A356" s="3" t="s">
        <v>22</v>
      </c>
      <c r="B356" s="4">
        <v>23520641</v>
      </c>
      <c r="C356" s="5" t="s">
        <v>23</v>
      </c>
      <c r="D356" s="6" t="s">
        <v>1041</v>
      </c>
      <c r="E356" s="6" t="s">
        <v>25</v>
      </c>
      <c r="F356" s="11">
        <v>46169</v>
      </c>
      <c r="G356" s="6" t="s">
        <v>1079</v>
      </c>
      <c r="H356" s="7" t="s">
        <v>26</v>
      </c>
      <c r="I356" s="7" t="s">
        <v>358</v>
      </c>
      <c r="J356" s="7" t="s">
        <v>1042</v>
      </c>
      <c r="K356" s="7" t="s">
        <v>29</v>
      </c>
      <c r="L356" s="3" t="str">
        <f>E356&amp;D356</f>
        <v>E.SP.IPAEE_INS_CONF_C_I_IAS_0030</v>
      </c>
      <c r="M356" s="3" t="str">
        <f>IFERROR(MID(D356,SEARCH("S_I_",D356,1),3),"")</f>
        <v/>
      </c>
      <c r="N356" s="3" t="str">
        <f>IFERROR(MID(D356,SEARCH("C_I_",D356,1),3),"")</f>
        <v>C_I</v>
      </c>
      <c r="O356" s="3" t="str">
        <f>IF(AND(M356="",N356=""),"Extra","")</f>
        <v/>
      </c>
      <c r="P356" s="3" t="str">
        <f>IF(Q356=0,"TERCEIRO","MRS")</f>
        <v>MRS</v>
      </c>
      <c r="Q356" s="8" t="str">
        <f>IFERROR(VLOOKUP(L356,#REF!,4,0),"0,00")</f>
        <v>0,00</v>
      </c>
      <c r="R356" s="9" t="s">
        <v>42</v>
      </c>
      <c r="S356" s="9">
        <f>COUNTIF(D356,"*_SEG_*")</f>
        <v>0</v>
      </c>
      <c r="T356" s="9">
        <f>COUNTIF(D356,"*_MAN_*")</f>
        <v>0</v>
      </c>
      <c r="U356" s="9">
        <f>(RIGHT(D356,4))*1</f>
        <v>30</v>
      </c>
      <c r="V356" s="9" t="str">
        <f>IFERROR(VLOOKUP(I356,#REF!,2,0),"Sinalização")</f>
        <v>Sinalização</v>
      </c>
    </row>
    <row r="357" spans="1:22" x14ac:dyDescent="0.25">
      <c r="A357" s="3" t="s">
        <v>22</v>
      </c>
      <c r="B357" s="4">
        <v>23520657</v>
      </c>
      <c r="C357" s="5" t="s">
        <v>23</v>
      </c>
      <c r="D357" s="6" t="s">
        <v>1041</v>
      </c>
      <c r="E357" s="6" t="s">
        <v>25</v>
      </c>
      <c r="F357" s="11">
        <v>46169</v>
      </c>
      <c r="G357" s="6" t="s">
        <v>1079</v>
      </c>
      <c r="H357" s="7" t="s">
        <v>32</v>
      </c>
      <c r="I357" s="7" t="s">
        <v>1078</v>
      </c>
      <c r="J357" s="7" t="s">
        <v>1042</v>
      </c>
      <c r="K357" s="7" t="s">
        <v>29</v>
      </c>
      <c r="L357" s="3" t="str">
        <f>E357&amp;D357</f>
        <v>E.SP.IPAEE_INS_CONF_C_I_IAS_0030</v>
      </c>
      <c r="M357" s="3" t="str">
        <f>IFERROR(MID(D357,SEARCH("S_I_",D357,1),3),"")</f>
        <v/>
      </c>
      <c r="N357" s="3" t="str">
        <f>IFERROR(MID(D357,SEARCH("C_I_",D357,1),3),"")</f>
        <v>C_I</v>
      </c>
      <c r="O357" s="3" t="str">
        <f>IF(AND(M357="",N357=""),"Extra","")</f>
        <v/>
      </c>
      <c r="P357" s="3" t="str">
        <f>IF(Q357=0,"TERCEIRO","MRS")</f>
        <v>MRS</v>
      </c>
      <c r="Q357" s="8" t="str">
        <f>IFERROR(VLOOKUP(L357,#REF!,4,0),"0,00")</f>
        <v>0,00</v>
      </c>
      <c r="R357" s="9" t="s">
        <v>42</v>
      </c>
      <c r="S357" s="9">
        <f>COUNTIF(D357,"*_SEG_*")</f>
        <v>0</v>
      </c>
      <c r="T357" s="9">
        <f>COUNTIF(D357,"*_MAN_*")</f>
        <v>0</v>
      </c>
      <c r="U357" s="9">
        <f>(RIGHT(D357,4))*1</f>
        <v>30</v>
      </c>
      <c r="V357" s="9" t="str">
        <f>IFERROR(VLOOKUP(I357,#REF!,2,0),"Sinalização")</f>
        <v>Sinalização</v>
      </c>
    </row>
    <row r="358" spans="1:22" x14ac:dyDescent="0.25">
      <c r="A358" s="3" t="s">
        <v>22</v>
      </c>
      <c r="B358" s="4">
        <v>23520658</v>
      </c>
      <c r="C358" s="5" t="s">
        <v>23</v>
      </c>
      <c r="D358" s="6" t="s">
        <v>1041</v>
      </c>
      <c r="E358" s="6" t="s">
        <v>25</v>
      </c>
      <c r="F358" s="11">
        <v>46169</v>
      </c>
      <c r="G358" s="6" t="s">
        <v>1079</v>
      </c>
      <c r="H358" s="7" t="s">
        <v>32</v>
      </c>
      <c r="I358" s="7" t="s">
        <v>1075</v>
      </c>
      <c r="J358" s="7" t="s">
        <v>1042</v>
      </c>
      <c r="K358" s="7" t="s">
        <v>29</v>
      </c>
      <c r="L358" s="3" t="str">
        <f>E358&amp;D358</f>
        <v>E.SP.IPAEE_INS_CONF_C_I_IAS_0030</v>
      </c>
      <c r="M358" s="3" t="str">
        <f>IFERROR(MID(D358,SEARCH("S_I_",D358,1),3),"")</f>
        <v/>
      </c>
      <c r="N358" s="3" t="str">
        <f>IFERROR(MID(D358,SEARCH("C_I_",D358,1),3),"")</f>
        <v>C_I</v>
      </c>
      <c r="O358" s="3" t="str">
        <f>IF(AND(M358="",N358=""),"Extra","")</f>
        <v/>
      </c>
      <c r="P358" s="3" t="str">
        <f>IF(Q358=0,"TERCEIRO","MRS")</f>
        <v>MRS</v>
      </c>
      <c r="Q358" s="8" t="str">
        <f>IFERROR(VLOOKUP(L358,#REF!,4,0),"0,00")</f>
        <v>0,00</v>
      </c>
      <c r="R358" s="9" t="s">
        <v>42</v>
      </c>
      <c r="S358" s="9">
        <f>COUNTIF(D358,"*_SEG_*")</f>
        <v>0</v>
      </c>
      <c r="T358" s="9">
        <f>COUNTIF(D358,"*_MAN_*")</f>
        <v>0</v>
      </c>
      <c r="U358" s="9">
        <f>(RIGHT(D358,4))*1</f>
        <v>30</v>
      </c>
      <c r="V358" s="9" t="str">
        <f>IFERROR(VLOOKUP(I358,#REF!,2,0),"Sinalização")</f>
        <v>Sinalização</v>
      </c>
    </row>
    <row r="359" spans="1:22" x14ac:dyDescent="0.25">
      <c r="A359" s="3" t="s">
        <v>22</v>
      </c>
      <c r="B359" s="4">
        <v>23520660</v>
      </c>
      <c r="C359" s="5" t="s">
        <v>23</v>
      </c>
      <c r="D359" s="6" t="s">
        <v>1041</v>
      </c>
      <c r="E359" s="6" t="s">
        <v>25</v>
      </c>
      <c r="F359" s="11">
        <v>46169</v>
      </c>
      <c r="G359" s="6" t="s">
        <v>1079</v>
      </c>
      <c r="H359" s="7" t="s">
        <v>26</v>
      </c>
      <c r="I359" s="7" t="s">
        <v>357</v>
      </c>
      <c r="J359" s="7" t="s">
        <v>1042</v>
      </c>
      <c r="K359" s="7" t="s">
        <v>29</v>
      </c>
      <c r="L359" s="3" t="str">
        <f>E359&amp;D359</f>
        <v>E.SP.IPAEE_INS_CONF_C_I_IAS_0030</v>
      </c>
      <c r="M359" s="3" t="str">
        <f>IFERROR(MID(D359,SEARCH("S_I_",D359,1),3),"")</f>
        <v/>
      </c>
      <c r="N359" s="3" t="str">
        <f>IFERROR(MID(D359,SEARCH("C_I_",D359,1),3),"")</f>
        <v>C_I</v>
      </c>
      <c r="O359" s="3" t="str">
        <f>IF(AND(M359="",N359=""),"Extra","")</f>
        <v/>
      </c>
      <c r="P359" s="3" t="str">
        <f>IF(Q359=0,"TERCEIRO","MRS")</f>
        <v>MRS</v>
      </c>
      <c r="Q359" s="8" t="str">
        <f>IFERROR(VLOOKUP(L359,#REF!,4,0),"0,00")</f>
        <v>0,00</v>
      </c>
      <c r="R359" s="9" t="s">
        <v>42</v>
      </c>
      <c r="S359" s="9">
        <f>COUNTIF(D359,"*_SEG_*")</f>
        <v>0</v>
      </c>
      <c r="T359" s="9">
        <f>COUNTIF(D359,"*_MAN_*")</f>
        <v>0</v>
      </c>
      <c r="U359" s="9">
        <f>(RIGHT(D359,4))*1</f>
        <v>30</v>
      </c>
      <c r="V359" s="9" t="str">
        <f>IFERROR(VLOOKUP(I359,#REF!,2,0),"Sinalização")</f>
        <v>Sinalização</v>
      </c>
    </row>
    <row r="360" spans="1:22" x14ac:dyDescent="0.25">
      <c r="A360" s="3" t="s">
        <v>22</v>
      </c>
      <c r="B360" s="4">
        <v>23520661</v>
      </c>
      <c r="C360" s="5" t="s">
        <v>23</v>
      </c>
      <c r="D360" s="6" t="s">
        <v>1041</v>
      </c>
      <c r="E360" s="6" t="s">
        <v>25</v>
      </c>
      <c r="F360" s="11">
        <v>46169</v>
      </c>
      <c r="G360" s="6" t="s">
        <v>1079</v>
      </c>
      <c r="H360" s="7" t="s">
        <v>26</v>
      </c>
      <c r="I360" s="7" t="s">
        <v>356</v>
      </c>
      <c r="J360" s="7" t="s">
        <v>1042</v>
      </c>
      <c r="K360" s="7" t="s">
        <v>29</v>
      </c>
      <c r="L360" s="3" t="str">
        <f>E360&amp;D360</f>
        <v>E.SP.IPAEE_INS_CONF_C_I_IAS_0030</v>
      </c>
      <c r="M360" s="3" t="str">
        <f>IFERROR(MID(D360,SEARCH("S_I_",D360,1),3),"")</f>
        <v/>
      </c>
      <c r="N360" s="3" t="str">
        <f>IFERROR(MID(D360,SEARCH("C_I_",D360,1),3),"")</f>
        <v>C_I</v>
      </c>
      <c r="O360" s="3" t="str">
        <f>IF(AND(M360="",N360=""),"Extra","")</f>
        <v/>
      </c>
      <c r="P360" s="3" t="str">
        <f>IF(Q360=0,"TERCEIRO","MRS")</f>
        <v>MRS</v>
      </c>
      <c r="Q360" s="8" t="str">
        <f>IFERROR(VLOOKUP(L360,#REF!,4,0),"0,00")</f>
        <v>0,00</v>
      </c>
      <c r="R360" s="9" t="s">
        <v>42</v>
      </c>
      <c r="S360" s="9">
        <f>COUNTIF(D360,"*_SEG_*")</f>
        <v>0</v>
      </c>
      <c r="T360" s="9">
        <f>COUNTIF(D360,"*_MAN_*")</f>
        <v>0</v>
      </c>
      <c r="U360" s="9">
        <f>(RIGHT(D360,4))*1</f>
        <v>30</v>
      </c>
      <c r="V360" s="9" t="str">
        <f>IFERROR(VLOOKUP(I360,#REF!,2,0),"Sinalização")</f>
        <v>Sinalização</v>
      </c>
    </row>
    <row r="361" spans="1:22" x14ac:dyDescent="0.25">
      <c r="A361" s="3" t="s">
        <v>22</v>
      </c>
      <c r="B361" s="4">
        <v>23520667</v>
      </c>
      <c r="C361" s="5" t="s">
        <v>23</v>
      </c>
      <c r="D361" s="6" t="s">
        <v>1041</v>
      </c>
      <c r="E361" s="6" t="s">
        <v>25</v>
      </c>
      <c r="F361" s="11">
        <v>46169</v>
      </c>
      <c r="G361" s="6" t="s">
        <v>1079</v>
      </c>
      <c r="H361" s="7" t="s">
        <v>32</v>
      </c>
      <c r="I361" s="7" t="s">
        <v>1077</v>
      </c>
      <c r="J361" s="7" t="s">
        <v>1042</v>
      </c>
      <c r="K361" s="7" t="s">
        <v>29</v>
      </c>
      <c r="L361" s="3" t="str">
        <f>E361&amp;D361</f>
        <v>E.SP.IPAEE_INS_CONF_C_I_IAS_0030</v>
      </c>
      <c r="M361" s="3" t="str">
        <f>IFERROR(MID(D361,SEARCH("S_I_",D361,1),3),"")</f>
        <v/>
      </c>
      <c r="N361" s="3" t="str">
        <f>IFERROR(MID(D361,SEARCH("C_I_",D361,1),3),"")</f>
        <v>C_I</v>
      </c>
      <c r="O361" s="3" t="str">
        <f>IF(AND(M361="",N361=""),"Extra","")</f>
        <v/>
      </c>
      <c r="P361" s="3" t="str">
        <f>IF(Q361=0,"TERCEIRO","MRS")</f>
        <v>MRS</v>
      </c>
      <c r="Q361" s="8" t="str">
        <f>IFERROR(VLOOKUP(L361,#REF!,4,0),"0,00")</f>
        <v>0,00</v>
      </c>
      <c r="R361" s="9" t="s">
        <v>42</v>
      </c>
      <c r="S361" s="9">
        <f>COUNTIF(D361,"*_SEG_*")</f>
        <v>0</v>
      </c>
      <c r="T361" s="9">
        <f>COUNTIF(D361,"*_MAN_*")</f>
        <v>0</v>
      </c>
      <c r="U361" s="9">
        <f>(RIGHT(D361,4))*1</f>
        <v>30</v>
      </c>
      <c r="V361" s="9" t="str">
        <f>IFERROR(VLOOKUP(I361,#REF!,2,0),"Sinalização")</f>
        <v>Sinalização</v>
      </c>
    </row>
    <row r="362" spans="1:22" x14ac:dyDescent="0.25">
      <c r="A362" s="3" t="s">
        <v>22</v>
      </c>
      <c r="B362" s="4">
        <v>23520668</v>
      </c>
      <c r="C362" s="5" t="s">
        <v>23</v>
      </c>
      <c r="D362" s="6" t="s">
        <v>1041</v>
      </c>
      <c r="E362" s="6" t="s">
        <v>25</v>
      </c>
      <c r="F362" s="11">
        <v>46169</v>
      </c>
      <c r="G362" s="6" t="s">
        <v>1079</v>
      </c>
      <c r="H362" s="7" t="s">
        <v>32</v>
      </c>
      <c r="I362" s="7" t="s">
        <v>1076</v>
      </c>
      <c r="J362" s="7" t="s">
        <v>1042</v>
      </c>
      <c r="K362" s="7" t="s">
        <v>29</v>
      </c>
      <c r="L362" s="3" t="str">
        <f>E362&amp;D362</f>
        <v>E.SP.IPAEE_INS_CONF_C_I_IAS_0030</v>
      </c>
      <c r="M362" s="3" t="str">
        <f>IFERROR(MID(D362,SEARCH("S_I_",D362,1),3),"")</f>
        <v/>
      </c>
      <c r="N362" s="3" t="str">
        <f>IFERROR(MID(D362,SEARCH("C_I_",D362,1),3),"")</f>
        <v>C_I</v>
      </c>
      <c r="O362" s="3" t="str">
        <f>IF(AND(M362="",N362=""),"Extra","")</f>
        <v/>
      </c>
      <c r="P362" s="3" t="str">
        <f>IF(Q362=0,"TERCEIRO","MRS")</f>
        <v>MRS</v>
      </c>
      <c r="Q362" s="8" t="str">
        <f>IFERROR(VLOOKUP(L362,#REF!,4,0),"0,00")</f>
        <v>0,00</v>
      </c>
      <c r="R362" s="9" t="s">
        <v>42</v>
      </c>
      <c r="S362" s="9">
        <f>COUNTIF(D362,"*_SEG_*")</f>
        <v>0</v>
      </c>
      <c r="T362" s="9">
        <f>COUNTIF(D362,"*_MAN_*")</f>
        <v>0</v>
      </c>
      <c r="U362" s="9">
        <f>(RIGHT(D362,4))*1</f>
        <v>30</v>
      </c>
      <c r="V362" s="9" t="str">
        <f>IFERROR(VLOOKUP(I362,#REF!,2,0),"Sinalização")</f>
        <v>Sinalização</v>
      </c>
    </row>
    <row r="363" spans="1:22" x14ac:dyDescent="0.25">
      <c r="A363" s="3" t="s">
        <v>22</v>
      </c>
      <c r="B363" s="4">
        <v>23520680</v>
      </c>
      <c r="C363" s="5" t="s">
        <v>23</v>
      </c>
      <c r="D363" s="6" t="s">
        <v>1041</v>
      </c>
      <c r="E363" s="6" t="s">
        <v>25</v>
      </c>
      <c r="F363" s="11">
        <v>46169</v>
      </c>
      <c r="G363" s="6" t="s">
        <v>1079</v>
      </c>
      <c r="H363" s="7" t="s">
        <v>26</v>
      </c>
      <c r="I363" s="7" t="s">
        <v>409</v>
      </c>
      <c r="J363" s="7" t="s">
        <v>1042</v>
      </c>
      <c r="K363" s="7" t="s">
        <v>29</v>
      </c>
      <c r="L363" s="3" t="str">
        <f>E363&amp;D363</f>
        <v>E.SP.IPAEE_INS_CONF_C_I_IAS_0030</v>
      </c>
      <c r="M363" s="3" t="str">
        <f>IFERROR(MID(D363,SEARCH("S_I_",D363,1),3),"")</f>
        <v/>
      </c>
      <c r="N363" s="3" t="str">
        <f>IFERROR(MID(D363,SEARCH("C_I_",D363,1),3),"")</f>
        <v>C_I</v>
      </c>
      <c r="O363" s="3" t="str">
        <f>IF(AND(M363="",N363=""),"Extra","")</f>
        <v/>
      </c>
      <c r="P363" s="3" t="str">
        <f>IF(Q363=0,"TERCEIRO","MRS")</f>
        <v>MRS</v>
      </c>
      <c r="Q363" s="8" t="str">
        <f>IFERROR(VLOOKUP(L363,#REF!,4,0),"0,00")</f>
        <v>0,00</v>
      </c>
      <c r="R363" s="9" t="s">
        <v>42</v>
      </c>
      <c r="S363" s="9">
        <f>COUNTIF(D363,"*_SEG_*")</f>
        <v>0</v>
      </c>
      <c r="T363" s="9">
        <f>COUNTIF(D363,"*_MAN_*")</f>
        <v>0</v>
      </c>
      <c r="U363" s="9">
        <f>(RIGHT(D363,4))*1</f>
        <v>30</v>
      </c>
      <c r="V363" s="9" t="str">
        <f>IFERROR(VLOOKUP(I363,#REF!,2,0),"Sinalização")</f>
        <v>Sinalização</v>
      </c>
    </row>
    <row r="364" spans="1:22" x14ac:dyDescent="0.25">
      <c r="A364" s="3" t="s">
        <v>22</v>
      </c>
      <c r="B364" s="4">
        <v>23520793</v>
      </c>
      <c r="C364" s="5" t="s">
        <v>23</v>
      </c>
      <c r="D364" s="6" t="s">
        <v>838</v>
      </c>
      <c r="E364" s="6" t="s">
        <v>25</v>
      </c>
      <c r="F364" s="11">
        <v>46169</v>
      </c>
      <c r="G364" s="6" t="s">
        <v>1079</v>
      </c>
      <c r="H364" s="7" t="s">
        <v>26</v>
      </c>
      <c r="I364" s="7" t="s">
        <v>427</v>
      </c>
      <c r="J364" s="7" t="s">
        <v>839</v>
      </c>
      <c r="K364" s="7" t="s">
        <v>29</v>
      </c>
      <c r="L364" s="3" t="str">
        <f>E364&amp;D364</f>
        <v>E.SP.IPAEE_INS_CONF_C_I_MAQ CHAVE MOLA_0030</v>
      </c>
      <c r="M364" s="3" t="str">
        <f>IFERROR(MID(D364,SEARCH("S_I_",D364,1),3),"")</f>
        <v/>
      </c>
      <c r="N364" s="3" t="str">
        <f>IFERROR(MID(D364,SEARCH("C_I_",D364,1),3),"")</f>
        <v>C_I</v>
      </c>
      <c r="O364" s="3" t="str">
        <f>IF(AND(M364="",N364=""),"Extra","")</f>
        <v/>
      </c>
      <c r="P364" s="3" t="str">
        <f>IF(Q364=0,"TERCEIRO","MRS")</f>
        <v>MRS</v>
      </c>
      <c r="Q364" s="8" t="str">
        <f>IFERROR(VLOOKUP(L364,#REF!,4,0),"0,00")</f>
        <v>0,00</v>
      </c>
      <c r="R364" s="9" t="s">
        <v>42</v>
      </c>
      <c r="S364" s="9">
        <f>COUNTIF(D364,"*_SEG_*")</f>
        <v>0</v>
      </c>
      <c r="T364" s="9">
        <f>COUNTIF(D364,"*_MAN_*")</f>
        <v>0</v>
      </c>
      <c r="U364" s="9">
        <f>(RIGHT(D364,4))*1</f>
        <v>30</v>
      </c>
      <c r="V364" s="9" t="str">
        <f>IFERROR(VLOOKUP(I364,#REF!,2,0),"Sinalização")</f>
        <v>Sinalização</v>
      </c>
    </row>
    <row r="365" spans="1:22" x14ac:dyDescent="0.25">
      <c r="A365" s="3" t="s">
        <v>22</v>
      </c>
      <c r="B365" s="4">
        <v>23520832</v>
      </c>
      <c r="C365" s="5" t="s">
        <v>23</v>
      </c>
      <c r="D365" s="6" t="s">
        <v>960</v>
      </c>
      <c r="E365" s="6" t="s">
        <v>25</v>
      </c>
      <c r="F365" s="11">
        <v>46169</v>
      </c>
      <c r="G365" s="6" t="s">
        <v>1079</v>
      </c>
      <c r="H365" s="7" t="s">
        <v>32</v>
      </c>
      <c r="I365" s="7" t="s">
        <v>727</v>
      </c>
      <c r="J365" s="7" t="s">
        <v>910</v>
      </c>
      <c r="K365" s="7" t="s">
        <v>29</v>
      </c>
      <c r="L365" s="3" t="str">
        <f>E365&amp;D365</f>
        <v>E.SP.IPAEE_MAN_CONF_S_I_SINAL L MULTI AUT_0030</v>
      </c>
      <c r="M365" s="3" t="str">
        <f>IFERROR(MID(D365,SEARCH("S_I_",D365,1),3),"")</f>
        <v>S_I</v>
      </c>
      <c r="N365" s="3" t="str">
        <f>IFERROR(MID(D365,SEARCH("C_I_",D365,1),3),"")</f>
        <v/>
      </c>
      <c r="O365" s="3" t="str">
        <f>IF(AND(M365="",N365=""),"Extra","")</f>
        <v/>
      </c>
      <c r="P365" s="3" t="str">
        <f>IF(Q365=0,"TERCEIRO","MRS")</f>
        <v>MRS</v>
      </c>
      <c r="Q365" s="8" t="str">
        <f>IFERROR(VLOOKUP(L365,#REF!,4,0),"0,00")</f>
        <v>0,00</v>
      </c>
      <c r="R365" s="9" t="s">
        <v>42</v>
      </c>
      <c r="S365" s="9">
        <f>COUNTIF(D365,"*_SEG_*")</f>
        <v>0</v>
      </c>
      <c r="T365" s="9">
        <f>COUNTIF(D365,"*_MAN_*")</f>
        <v>1</v>
      </c>
      <c r="U365" s="9">
        <f>(RIGHT(D365,4))*1</f>
        <v>30</v>
      </c>
      <c r="V365" s="9" t="str">
        <f>IFERROR(VLOOKUP(I365,#REF!,2,0),"Sinalização")</f>
        <v>Sinalização</v>
      </c>
    </row>
    <row r="366" spans="1:22" x14ac:dyDescent="0.25">
      <c r="A366" s="3" t="s">
        <v>22</v>
      </c>
      <c r="B366" s="4">
        <v>23520833</v>
      </c>
      <c r="C366" s="5" t="s">
        <v>23</v>
      </c>
      <c r="D366" s="6" t="s">
        <v>960</v>
      </c>
      <c r="E366" s="6" t="s">
        <v>25</v>
      </c>
      <c r="F366" s="11">
        <v>46169</v>
      </c>
      <c r="G366" s="6" t="s">
        <v>1079</v>
      </c>
      <c r="H366" s="7" t="s">
        <v>32</v>
      </c>
      <c r="I366" s="7" t="s">
        <v>728</v>
      </c>
      <c r="J366" s="7" t="s">
        <v>910</v>
      </c>
      <c r="K366" s="7" t="s">
        <v>29</v>
      </c>
      <c r="L366" s="3" t="str">
        <f>E366&amp;D366</f>
        <v>E.SP.IPAEE_MAN_CONF_S_I_SINAL L MULTI AUT_0030</v>
      </c>
      <c r="M366" s="3" t="str">
        <f>IFERROR(MID(D366,SEARCH("S_I_",D366,1),3),"")</f>
        <v>S_I</v>
      </c>
      <c r="N366" s="3" t="str">
        <f>IFERROR(MID(D366,SEARCH("C_I_",D366,1),3),"")</f>
        <v/>
      </c>
      <c r="O366" s="3" t="str">
        <f>IF(AND(M366="",N366=""),"Extra","")</f>
        <v/>
      </c>
      <c r="P366" s="3" t="str">
        <f>IF(Q366=0,"TERCEIRO","MRS")</f>
        <v>MRS</v>
      </c>
      <c r="Q366" s="8" t="str">
        <f>IFERROR(VLOOKUP(L366,#REF!,4,0),"0,00")</f>
        <v>0,00</v>
      </c>
      <c r="R366" s="9" t="s">
        <v>42</v>
      </c>
      <c r="S366" s="9">
        <f>COUNTIF(D366,"*_SEG_*")</f>
        <v>0</v>
      </c>
      <c r="T366" s="9">
        <f>COUNTIF(D366,"*_MAN_*")</f>
        <v>1</v>
      </c>
      <c r="U366" s="9">
        <f>(RIGHT(D366,4))*1</f>
        <v>30</v>
      </c>
      <c r="V366" s="9" t="str">
        <f>IFERROR(VLOOKUP(I366,#REF!,2,0),"Sinalização")</f>
        <v>Sinalização</v>
      </c>
    </row>
    <row r="367" spans="1:22" x14ac:dyDescent="0.25">
      <c r="A367" s="3" t="s">
        <v>22</v>
      </c>
      <c r="B367" s="4">
        <v>23520869</v>
      </c>
      <c r="C367" s="5" t="s">
        <v>23</v>
      </c>
      <c r="D367" s="6" t="s">
        <v>984</v>
      </c>
      <c r="E367" s="6" t="s">
        <v>25</v>
      </c>
      <c r="F367" s="11">
        <v>46169</v>
      </c>
      <c r="G367" s="6" t="s">
        <v>1079</v>
      </c>
      <c r="H367" s="7" t="s">
        <v>26</v>
      </c>
      <c r="I367" s="7" t="s">
        <v>175</v>
      </c>
      <c r="J367" s="7" t="s">
        <v>958</v>
      </c>
      <c r="K367" s="7" t="s">
        <v>29</v>
      </c>
      <c r="L367" s="3" t="str">
        <f>E367&amp;D367</f>
        <v>E.SP.IPAEE_INS_SEG_C_I_MCH 110VCC GRS 55BR_0030</v>
      </c>
      <c r="M367" s="3" t="str">
        <f>IFERROR(MID(D367,SEARCH("S_I_",D367,1),3),"")</f>
        <v/>
      </c>
      <c r="N367" s="3" t="str">
        <f>IFERROR(MID(D367,SEARCH("C_I_",D367,1),3),"")</f>
        <v>C_I</v>
      </c>
      <c r="O367" s="3" t="str">
        <f>IF(AND(M367="",N367=""),"Extra","")</f>
        <v/>
      </c>
      <c r="P367" s="3" t="str">
        <f>IF(Q367=0,"TERCEIRO","MRS")</f>
        <v>MRS</v>
      </c>
      <c r="Q367" s="8" t="str">
        <f>IFERROR(VLOOKUP(L367,#REF!,4,0),"0,00")</f>
        <v>0,00</v>
      </c>
      <c r="R367" s="9" t="s">
        <v>42</v>
      </c>
      <c r="S367" s="9">
        <f>COUNTIF(D367,"*_SEG_*")</f>
        <v>1</v>
      </c>
      <c r="T367" s="9">
        <f>COUNTIF(D367,"*_MAN_*")</f>
        <v>0</v>
      </c>
      <c r="U367" s="9">
        <f>(RIGHT(D367,4))*1</f>
        <v>30</v>
      </c>
      <c r="V367" s="9" t="str">
        <f>IFERROR(VLOOKUP(I367,#REF!,2,0),"Sinalização")</f>
        <v>Sinalização</v>
      </c>
    </row>
    <row r="368" spans="1:22" x14ac:dyDescent="0.25">
      <c r="A368" s="3" t="s">
        <v>22</v>
      </c>
      <c r="B368" s="4">
        <v>23520872</v>
      </c>
      <c r="C368" s="5" t="s">
        <v>23</v>
      </c>
      <c r="D368" s="6" t="s">
        <v>935</v>
      </c>
      <c r="E368" s="6" t="s">
        <v>25</v>
      </c>
      <c r="F368" s="11">
        <v>46169</v>
      </c>
      <c r="G368" s="6" t="s">
        <v>1079</v>
      </c>
      <c r="H368" s="7" t="s">
        <v>26</v>
      </c>
      <c r="I368" s="7" t="s">
        <v>175</v>
      </c>
      <c r="J368" s="7" t="s">
        <v>834</v>
      </c>
      <c r="K368" s="7" t="s">
        <v>29</v>
      </c>
      <c r="L368" s="3" t="str">
        <f>E368&amp;D368</f>
        <v>E.SP.IPAEE_INS_CONF_S_I_MCH 110VCC GRS 55BR_0030</v>
      </c>
      <c r="M368" s="3" t="str">
        <f>IFERROR(MID(D368,SEARCH("S_I_",D368,1),3),"")</f>
        <v>S_I</v>
      </c>
      <c r="N368" s="3" t="str">
        <f>IFERROR(MID(D368,SEARCH("C_I_",D368,1),3),"")</f>
        <v/>
      </c>
      <c r="O368" s="3" t="str">
        <f>IF(AND(M368="",N368=""),"Extra","")</f>
        <v/>
      </c>
      <c r="P368" s="3" t="str">
        <f>IF(Q368=0,"TERCEIRO","MRS")</f>
        <v>MRS</v>
      </c>
      <c r="Q368" s="8" t="str">
        <f>IFERROR(VLOOKUP(L368,#REF!,4,0),"0,00")</f>
        <v>0,00</v>
      </c>
      <c r="R368" s="9" t="s">
        <v>42</v>
      </c>
      <c r="S368" s="9">
        <f>COUNTIF(D368,"*_SEG_*")</f>
        <v>0</v>
      </c>
      <c r="T368" s="9">
        <f>COUNTIF(D368,"*_MAN_*")</f>
        <v>0</v>
      </c>
      <c r="U368" s="9">
        <f>(RIGHT(D368,4))*1</f>
        <v>30</v>
      </c>
      <c r="V368" s="9" t="str">
        <f>IFERROR(VLOOKUP(I368,#REF!,2,0),"Sinalização")</f>
        <v>Sinalização</v>
      </c>
    </row>
    <row r="369" spans="1:22" x14ac:dyDescent="0.25">
      <c r="A369" s="3" t="s">
        <v>22</v>
      </c>
      <c r="B369" s="4">
        <v>23520874</v>
      </c>
      <c r="C369" s="5" t="s">
        <v>23</v>
      </c>
      <c r="D369" s="6" t="s">
        <v>929</v>
      </c>
      <c r="E369" s="6" t="s">
        <v>25</v>
      </c>
      <c r="F369" s="11">
        <v>46169</v>
      </c>
      <c r="G369" s="6" t="s">
        <v>1079</v>
      </c>
      <c r="H369" s="7" t="s">
        <v>32</v>
      </c>
      <c r="I369" s="7" t="s">
        <v>175</v>
      </c>
      <c r="J369" s="7" t="s">
        <v>810</v>
      </c>
      <c r="K369" s="7" t="s">
        <v>29</v>
      </c>
      <c r="L369" s="3" t="str">
        <f>E369&amp;D369</f>
        <v>E.SP.IPAEE_MAN_CONF_C_I_MCH 110VCC GRS 55BR_0030</v>
      </c>
      <c r="M369" s="3" t="str">
        <f>IFERROR(MID(D369,SEARCH("S_I_",D369,1),3),"")</f>
        <v/>
      </c>
      <c r="N369" s="3" t="str">
        <f>IFERROR(MID(D369,SEARCH("C_I_",D369,1),3),"")</f>
        <v>C_I</v>
      </c>
      <c r="O369" s="3" t="str">
        <f>IF(AND(M369="",N369=""),"Extra","")</f>
        <v/>
      </c>
      <c r="P369" s="3" t="str">
        <f>IF(Q369=0,"TERCEIRO","MRS")</f>
        <v>MRS</v>
      </c>
      <c r="Q369" s="8" t="str">
        <f>IFERROR(VLOOKUP(L369,#REF!,4,0),"0,00")</f>
        <v>0,00</v>
      </c>
      <c r="R369" s="9" t="s">
        <v>42</v>
      </c>
      <c r="S369" s="9">
        <f>COUNTIF(D369,"*_SEG_*")</f>
        <v>0</v>
      </c>
      <c r="T369" s="9">
        <f>COUNTIF(D369,"*_MAN_*")</f>
        <v>1</v>
      </c>
      <c r="U369" s="9">
        <f>(RIGHT(D369,4))*1</f>
        <v>30</v>
      </c>
      <c r="V369" s="9" t="str">
        <f>IFERROR(VLOOKUP(I369,#REF!,2,0),"Sinalização")</f>
        <v>Sinalização</v>
      </c>
    </row>
    <row r="370" spans="1:22" x14ac:dyDescent="0.25">
      <c r="A370" s="3" t="s">
        <v>22</v>
      </c>
      <c r="B370" s="4">
        <v>23122882</v>
      </c>
      <c r="C370" s="5" t="s">
        <v>23</v>
      </c>
      <c r="D370" s="6" t="s">
        <v>183</v>
      </c>
      <c r="E370" s="6" t="s">
        <v>25</v>
      </c>
      <c r="F370" s="11">
        <v>46167</v>
      </c>
      <c r="G370" s="6" t="s">
        <v>1079</v>
      </c>
      <c r="H370" s="7" t="s">
        <v>32</v>
      </c>
      <c r="I370" s="7" t="s">
        <v>430</v>
      </c>
      <c r="J370" s="7" t="s">
        <v>185</v>
      </c>
      <c r="K370" s="7" t="s">
        <v>29</v>
      </c>
      <c r="L370" s="3" t="str">
        <f>E370&amp;D370</f>
        <v>E.SP.IPAEE_INS_CONF_S_I_BARRAMENTO 3KV_0180</v>
      </c>
      <c r="M370" s="3" t="str">
        <f>IFERROR(MID(D370,SEARCH("S_I_",D370,1),3),"")</f>
        <v>S_I</v>
      </c>
      <c r="N370" s="3" t="str">
        <f>IFERROR(MID(D370,SEARCH("C_I_",D370,1),3),"")</f>
        <v/>
      </c>
      <c r="O370" s="3" t="str">
        <f>IF(AND(M370="",N370=""),"Extra","")</f>
        <v/>
      </c>
      <c r="P370" s="3" t="str">
        <f>IF(Q370=0,"TERCEIRO","MRS")</f>
        <v>MRS</v>
      </c>
      <c r="Q370" s="8" t="str">
        <f>IFERROR(VLOOKUP(L370,#REF!,4,0),"0,00")</f>
        <v>0,00</v>
      </c>
      <c r="R370" s="9" t="s">
        <v>42</v>
      </c>
      <c r="S370" s="9">
        <f>COUNTIF(D370,"*_SEG_*")</f>
        <v>0</v>
      </c>
      <c r="T370" s="9">
        <f>COUNTIF(D370,"*_MAN_*")</f>
        <v>0</v>
      </c>
      <c r="U370" s="9">
        <f>(RIGHT(D370,4))*1</f>
        <v>180</v>
      </c>
      <c r="V370" s="9" t="str">
        <f>IFERROR(VLOOKUP(I370,#REF!,2,0),"Sinalização")</f>
        <v>Sinalização</v>
      </c>
    </row>
    <row r="371" spans="1:22" x14ac:dyDescent="0.25">
      <c r="A371" s="3" t="s">
        <v>22</v>
      </c>
      <c r="B371" s="4">
        <v>23122884</v>
      </c>
      <c r="C371" s="5" t="s">
        <v>23</v>
      </c>
      <c r="D371" s="6" t="s">
        <v>183</v>
      </c>
      <c r="E371" s="6" t="s">
        <v>25</v>
      </c>
      <c r="F371" s="11">
        <v>46167</v>
      </c>
      <c r="G371" s="6" t="s">
        <v>1079</v>
      </c>
      <c r="H371" s="7" t="s">
        <v>26</v>
      </c>
      <c r="I371" s="7" t="s">
        <v>431</v>
      </c>
      <c r="J371" s="7" t="s">
        <v>185</v>
      </c>
      <c r="K371" s="7" t="s">
        <v>29</v>
      </c>
      <c r="L371" s="3" t="str">
        <f>E371&amp;D371</f>
        <v>E.SP.IPAEE_INS_CONF_S_I_BARRAMENTO 3KV_0180</v>
      </c>
      <c r="M371" s="3" t="str">
        <f>IFERROR(MID(D371,SEARCH("S_I_",D371,1),3),"")</f>
        <v>S_I</v>
      </c>
      <c r="N371" s="3" t="str">
        <f>IFERROR(MID(D371,SEARCH("C_I_",D371,1),3),"")</f>
        <v/>
      </c>
      <c r="O371" s="3" t="str">
        <f>IF(AND(M371="",N371=""),"Extra","")</f>
        <v/>
      </c>
      <c r="P371" s="3" t="str">
        <f>IF(Q371=0,"TERCEIRO","MRS")</f>
        <v>MRS</v>
      </c>
      <c r="Q371" s="8" t="str">
        <f>IFERROR(VLOOKUP(L371,#REF!,4,0),"0,00")</f>
        <v>0,00</v>
      </c>
      <c r="R371" s="9" t="s">
        <v>42</v>
      </c>
      <c r="S371" s="9">
        <f>COUNTIF(D371,"*_SEG_*")</f>
        <v>0</v>
      </c>
      <c r="T371" s="9">
        <f>COUNTIF(D371,"*_MAN_*")</f>
        <v>0</v>
      </c>
      <c r="U371" s="9">
        <f>(RIGHT(D371,4))*1</f>
        <v>180</v>
      </c>
      <c r="V371" s="9" t="str">
        <f>IFERROR(VLOOKUP(I371,#REF!,2,0),"Sinalização")</f>
        <v>Sinalização</v>
      </c>
    </row>
    <row r="372" spans="1:22" x14ac:dyDescent="0.25">
      <c r="A372" s="3" t="s">
        <v>22</v>
      </c>
      <c r="B372" s="4">
        <v>23122886</v>
      </c>
      <c r="C372" s="5" t="s">
        <v>23</v>
      </c>
      <c r="D372" s="6" t="s">
        <v>183</v>
      </c>
      <c r="E372" s="6" t="s">
        <v>25</v>
      </c>
      <c r="F372" s="11">
        <v>46167</v>
      </c>
      <c r="G372" s="6" t="s">
        <v>1079</v>
      </c>
      <c r="H372" s="7" t="s">
        <v>26</v>
      </c>
      <c r="I372" s="7" t="s">
        <v>432</v>
      </c>
      <c r="J372" s="7" t="s">
        <v>185</v>
      </c>
      <c r="K372" s="7" t="s">
        <v>29</v>
      </c>
      <c r="L372" s="3" t="str">
        <f>E372&amp;D372</f>
        <v>E.SP.IPAEE_INS_CONF_S_I_BARRAMENTO 3KV_0180</v>
      </c>
      <c r="M372" s="3" t="str">
        <f>IFERROR(MID(D372,SEARCH("S_I_",D372,1),3),"")</f>
        <v>S_I</v>
      </c>
      <c r="N372" s="3" t="str">
        <f>IFERROR(MID(D372,SEARCH("C_I_",D372,1),3),"")</f>
        <v/>
      </c>
      <c r="O372" s="3" t="str">
        <f>IF(AND(M372="",N372=""),"Extra","")</f>
        <v/>
      </c>
      <c r="P372" s="3" t="str">
        <f>IF(Q372=0,"TERCEIRO","MRS")</f>
        <v>MRS</v>
      </c>
      <c r="Q372" s="8" t="str">
        <f>IFERROR(VLOOKUP(L372,#REF!,4,0),"0,00")</f>
        <v>0,00</v>
      </c>
      <c r="R372" s="9" t="s">
        <v>42</v>
      </c>
      <c r="S372" s="9">
        <f>COUNTIF(D372,"*_SEG_*")</f>
        <v>0</v>
      </c>
      <c r="T372" s="9">
        <f>COUNTIF(D372,"*_MAN_*")</f>
        <v>0</v>
      </c>
      <c r="U372" s="9">
        <f>(RIGHT(D372,4))*1</f>
        <v>180</v>
      </c>
      <c r="V372" s="9" t="str">
        <f>IFERROR(VLOOKUP(I372,#REF!,2,0),"Sinalização")</f>
        <v>Sinalização</v>
      </c>
    </row>
    <row r="373" spans="1:22" x14ac:dyDescent="0.25">
      <c r="A373" s="3" t="s">
        <v>22</v>
      </c>
      <c r="B373" s="4">
        <v>23122887</v>
      </c>
      <c r="C373" s="5" t="s">
        <v>23</v>
      </c>
      <c r="D373" s="6" t="s">
        <v>183</v>
      </c>
      <c r="E373" s="6" t="s">
        <v>25</v>
      </c>
      <c r="F373" s="11">
        <v>46167</v>
      </c>
      <c r="G373" s="6" t="s">
        <v>1079</v>
      </c>
      <c r="H373" s="7" t="s">
        <v>32</v>
      </c>
      <c r="I373" s="7" t="s">
        <v>433</v>
      </c>
      <c r="J373" s="7" t="s">
        <v>185</v>
      </c>
      <c r="K373" s="7" t="s">
        <v>29</v>
      </c>
      <c r="L373" s="3" t="str">
        <f>E373&amp;D373</f>
        <v>E.SP.IPAEE_INS_CONF_S_I_BARRAMENTO 3KV_0180</v>
      </c>
      <c r="M373" s="3" t="str">
        <f>IFERROR(MID(D373,SEARCH("S_I_",D373,1),3),"")</f>
        <v>S_I</v>
      </c>
      <c r="N373" s="3" t="str">
        <f>IFERROR(MID(D373,SEARCH("C_I_",D373,1),3),"")</f>
        <v/>
      </c>
      <c r="O373" s="3" t="str">
        <f>IF(AND(M373="",N373=""),"Extra","")</f>
        <v/>
      </c>
      <c r="P373" s="3" t="str">
        <f>IF(Q373=0,"TERCEIRO","MRS")</f>
        <v>MRS</v>
      </c>
      <c r="Q373" s="8" t="str">
        <f>IFERROR(VLOOKUP(L373,#REF!,4,0),"0,00")</f>
        <v>0,00</v>
      </c>
      <c r="R373" s="9" t="s">
        <v>42</v>
      </c>
      <c r="S373" s="9">
        <f>COUNTIF(D373,"*_SEG_*")</f>
        <v>0</v>
      </c>
      <c r="T373" s="9">
        <f>COUNTIF(D373,"*_MAN_*")</f>
        <v>0</v>
      </c>
      <c r="U373" s="9">
        <f>(RIGHT(D373,4))*1</f>
        <v>180</v>
      </c>
      <c r="V373" s="9" t="str">
        <f>IFERROR(VLOOKUP(I373,#REF!,2,0),"Sinalização")</f>
        <v>Sinalização</v>
      </c>
    </row>
    <row r="374" spans="1:22" x14ac:dyDescent="0.25">
      <c r="A374" s="3" t="s">
        <v>22</v>
      </c>
      <c r="B374" s="4">
        <v>23122969</v>
      </c>
      <c r="C374" s="5" t="s">
        <v>23</v>
      </c>
      <c r="D374" s="6" t="s">
        <v>193</v>
      </c>
      <c r="E374" s="6" t="s">
        <v>25</v>
      </c>
      <c r="F374" s="11">
        <v>46167</v>
      </c>
      <c r="G374" s="6" t="s">
        <v>1079</v>
      </c>
      <c r="H374" s="7" t="s">
        <v>32</v>
      </c>
      <c r="I374" s="7" t="s">
        <v>434</v>
      </c>
      <c r="J374" s="7" t="s">
        <v>195</v>
      </c>
      <c r="K374" s="7" t="s">
        <v>29</v>
      </c>
      <c r="L374" s="3" t="str">
        <f>E374&amp;D374</f>
        <v>E.SP.IPAEE_INS_SEG_S_I_CIRCUITO VIA CA_0180</v>
      </c>
      <c r="M374" s="3" t="str">
        <f>IFERROR(MID(D374,SEARCH("S_I_",D374,1),3),"")</f>
        <v>S_I</v>
      </c>
      <c r="N374" s="3" t="str">
        <f>IFERROR(MID(D374,SEARCH("C_I_",D374,1),3),"")</f>
        <v/>
      </c>
      <c r="O374" s="3" t="str">
        <f>IF(AND(M374="",N374=""),"Extra","")</f>
        <v/>
      </c>
      <c r="P374" s="3" t="str">
        <f>IF(Q374=0,"TERCEIRO","MRS")</f>
        <v>MRS</v>
      </c>
      <c r="Q374" s="8" t="str">
        <f>IFERROR(VLOOKUP(L374,#REF!,4,0),"0,00")</f>
        <v>0,00</v>
      </c>
      <c r="R374" s="9" t="s">
        <v>30</v>
      </c>
      <c r="S374" s="9">
        <f>COUNTIF(D374,"*_SEG_*")</f>
        <v>1</v>
      </c>
      <c r="T374" s="9">
        <f>COUNTIF(D374,"*_MAN_*")</f>
        <v>0</v>
      </c>
      <c r="U374" s="9">
        <f>(RIGHT(D374,4))*1</f>
        <v>180</v>
      </c>
      <c r="V374" s="9" t="str">
        <f>IFERROR(VLOOKUP(I374,#REF!,2,0),"Sinalização")</f>
        <v>Sinalização</v>
      </c>
    </row>
    <row r="375" spans="1:22" x14ac:dyDescent="0.25">
      <c r="A375" s="3" t="s">
        <v>22</v>
      </c>
      <c r="B375" s="4">
        <v>23122970</v>
      </c>
      <c r="C375" s="5" t="s">
        <v>23</v>
      </c>
      <c r="D375" s="6" t="s">
        <v>193</v>
      </c>
      <c r="E375" s="6" t="s">
        <v>25</v>
      </c>
      <c r="F375" s="11">
        <v>46167</v>
      </c>
      <c r="G375" s="6" t="s">
        <v>1079</v>
      </c>
      <c r="H375" s="7" t="s">
        <v>26</v>
      </c>
      <c r="I375" s="7" t="s">
        <v>435</v>
      </c>
      <c r="J375" s="7" t="s">
        <v>195</v>
      </c>
      <c r="K375" s="7" t="s">
        <v>29</v>
      </c>
      <c r="L375" s="3" t="str">
        <f>E375&amp;D375</f>
        <v>E.SP.IPAEE_INS_SEG_S_I_CIRCUITO VIA CA_0180</v>
      </c>
      <c r="M375" s="3" t="str">
        <f>IFERROR(MID(D375,SEARCH("S_I_",D375,1),3),"")</f>
        <v>S_I</v>
      </c>
      <c r="N375" s="3" t="str">
        <f>IFERROR(MID(D375,SEARCH("C_I_",D375,1),3),"")</f>
        <v/>
      </c>
      <c r="O375" s="3" t="str">
        <f>IF(AND(M375="",N375=""),"Extra","")</f>
        <v/>
      </c>
      <c r="P375" s="3" t="str">
        <f>IF(Q375=0,"TERCEIRO","MRS")</f>
        <v>MRS</v>
      </c>
      <c r="Q375" s="8" t="str">
        <f>IFERROR(VLOOKUP(L375,#REF!,4,0),"0,00")</f>
        <v>0,00</v>
      </c>
      <c r="R375" s="9" t="s">
        <v>30</v>
      </c>
      <c r="S375" s="9">
        <f>COUNTIF(D375,"*_SEG_*")</f>
        <v>1</v>
      </c>
      <c r="T375" s="9">
        <f>COUNTIF(D375,"*_MAN_*")</f>
        <v>0</v>
      </c>
      <c r="U375" s="9">
        <f>(RIGHT(D375,4))*1</f>
        <v>180</v>
      </c>
      <c r="V375" s="9" t="str">
        <f>IFERROR(VLOOKUP(I375,#REF!,2,0),"Sinalização")</f>
        <v>Sinalização</v>
      </c>
    </row>
    <row r="376" spans="1:22" x14ac:dyDescent="0.25">
      <c r="A376" s="3" t="s">
        <v>22</v>
      </c>
      <c r="B376" s="4">
        <v>23122971</v>
      </c>
      <c r="C376" s="5" t="s">
        <v>23</v>
      </c>
      <c r="D376" s="6" t="s">
        <v>193</v>
      </c>
      <c r="E376" s="6" t="s">
        <v>25</v>
      </c>
      <c r="F376" s="11">
        <v>46167</v>
      </c>
      <c r="G376" s="6" t="s">
        <v>1079</v>
      </c>
      <c r="H376" s="7" t="s">
        <v>26</v>
      </c>
      <c r="I376" s="7" t="s">
        <v>436</v>
      </c>
      <c r="J376" s="7" t="s">
        <v>195</v>
      </c>
      <c r="K376" s="7" t="s">
        <v>29</v>
      </c>
      <c r="L376" s="3" t="str">
        <f>E376&amp;D376</f>
        <v>E.SP.IPAEE_INS_SEG_S_I_CIRCUITO VIA CA_0180</v>
      </c>
      <c r="M376" s="3" t="str">
        <f>IFERROR(MID(D376,SEARCH("S_I_",D376,1),3),"")</f>
        <v>S_I</v>
      </c>
      <c r="N376" s="3" t="str">
        <f>IFERROR(MID(D376,SEARCH("C_I_",D376,1),3),"")</f>
        <v/>
      </c>
      <c r="O376" s="3" t="str">
        <f>IF(AND(M376="",N376=""),"Extra","")</f>
        <v/>
      </c>
      <c r="P376" s="3" t="str">
        <f>IF(Q376=0,"TERCEIRO","MRS")</f>
        <v>MRS</v>
      </c>
      <c r="Q376" s="8" t="str">
        <f>IFERROR(VLOOKUP(L376,#REF!,4,0),"0,00")</f>
        <v>0,00</v>
      </c>
      <c r="R376" s="9" t="s">
        <v>30</v>
      </c>
      <c r="S376" s="9">
        <f>COUNTIF(D376,"*_SEG_*")</f>
        <v>1</v>
      </c>
      <c r="T376" s="9">
        <f>COUNTIF(D376,"*_MAN_*")</f>
        <v>0</v>
      </c>
      <c r="U376" s="9">
        <f>(RIGHT(D376,4))*1</f>
        <v>180</v>
      </c>
      <c r="V376" s="9" t="str">
        <f>IFERROR(VLOOKUP(I376,#REF!,2,0),"Sinalização")</f>
        <v>Sinalização</v>
      </c>
    </row>
    <row r="377" spans="1:22" x14ac:dyDescent="0.25">
      <c r="A377" s="3" t="s">
        <v>22</v>
      </c>
      <c r="B377" s="4">
        <v>23122972</v>
      </c>
      <c r="C377" s="5" t="s">
        <v>23</v>
      </c>
      <c r="D377" s="6" t="s">
        <v>193</v>
      </c>
      <c r="E377" s="6" t="s">
        <v>25</v>
      </c>
      <c r="F377" s="11">
        <v>46167</v>
      </c>
      <c r="G377" s="6" t="s">
        <v>1079</v>
      </c>
      <c r="H377" s="7" t="s">
        <v>32</v>
      </c>
      <c r="I377" s="7" t="s">
        <v>437</v>
      </c>
      <c r="J377" s="7" t="s">
        <v>195</v>
      </c>
      <c r="K377" s="7" t="s">
        <v>29</v>
      </c>
      <c r="L377" s="3" t="str">
        <f>E377&amp;D377</f>
        <v>E.SP.IPAEE_INS_SEG_S_I_CIRCUITO VIA CA_0180</v>
      </c>
      <c r="M377" s="3" t="str">
        <f>IFERROR(MID(D377,SEARCH("S_I_",D377,1),3),"")</f>
        <v>S_I</v>
      </c>
      <c r="N377" s="3" t="str">
        <f>IFERROR(MID(D377,SEARCH("C_I_",D377,1),3),"")</f>
        <v/>
      </c>
      <c r="O377" s="3" t="str">
        <f>IF(AND(M377="",N377=""),"Extra","")</f>
        <v/>
      </c>
      <c r="P377" s="3" t="str">
        <f>IF(Q377=0,"TERCEIRO","MRS")</f>
        <v>MRS</v>
      </c>
      <c r="Q377" s="8" t="str">
        <f>IFERROR(VLOOKUP(L377,#REF!,4,0),"0,00")</f>
        <v>0,00</v>
      </c>
      <c r="R377" s="9" t="s">
        <v>30</v>
      </c>
      <c r="S377" s="9">
        <f>COUNTIF(D377,"*_SEG_*")</f>
        <v>1</v>
      </c>
      <c r="T377" s="9">
        <f>COUNTIF(D377,"*_MAN_*")</f>
        <v>0</v>
      </c>
      <c r="U377" s="9">
        <f>(RIGHT(D377,4))*1</f>
        <v>180</v>
      </c>
      <c r="V377" s="9" t="str">
        <f>IFERROR(VLOOKUP(I377,#REF!,2,0),"Sinalização")</f>
        <v>Sinalização</v>
      </c>
    </row>
    <row r="378" spans="1:22" x14ac:dyDescent="0.25">
      <c r="A378" s="3" t="s">
        <v>22</v>
      </c>
      <c r="B378" s="4">
        <v>23122973</v>
      </c>
      <c r="C378" s="5" t="s">
        <v>23</v>
      </c>
      <c r="D378" s="6" t="s">
        <v>193</v>
      </c>
      <c r="E378" s="6" t="s">
        <v>25</v>
      </c>
      <c r="F378" s="11">
        <v>46167</v>
      </c>
      <c r="G378" s="6" t="s">
        <v>1079</v>
      </c>
      <c r="H378" s="7" t="s">
        <v>32</v>
      </c>
      <c r="I378" s="7" t="s">
        <v>438</v>
      </c>
      <c r="J378" s="7" t="s">
        <v>195</v>
      </c>
      <c r="K378" s="7" t="s">
        <v>29</v>
      </c>
      <c r="L378" s="3" t="str">
        <f>E378&amp;D378</f>
        <v>E.SP.IPAEE_INS_SEG_S_I_CIRCUITO VIA CA_0180</v>
      </c>
      <c r="M378" s="3" t="str">
        <f>IFERROR(MID(D378,SEARCH("S_I_",D378,1),3),"")</f>
        <v>S_I</v>
      </c>
      <c r="N378" s="3" t="str">
        <f>IFERROR(MID(D378,SEARCH("C_I_",D378,1),3),"")</f>
        <v/>
      </c>
      <c r="O378" s="3" t="str">
        <f>IF(AND(M378="",N378=""),"Extra","")</f>
        <v/>
      </c>
      <c r="P378" s="3" t="str">
        <f>IF(Q378=0,"TERCEIRO","MRS")</f>
        <v>MRS</v>
      </c>
      <c r="Q378" s="8" t="str">
        <f>IFERROR(VLOOKUP(L378,#REF!,4,0),"0,00")</f>
        <v>0,00</v>
      </c>
      <c r="R378" s="9" t="s">
        <v>30</v>
      </c>
      <c r="S378" s="9">
        <f>COUNTIF(D378,"*_SEG_*")</f>
        <v>1</v>
      </c>
      <c r="T378" s="9">
        <f>COUNTIF(D378,"*_MAN_*")</f>
        <v>0</v>
      </c>
      <c r="U378" s="9">
        <f>(RIGHT(D378,4))*1</f>
        <v>180</v>
      </c>
      <c r="V378" s="9" t="str">
        <f>IFERROR(VLOOKUP(I378,#REF!,2,0),"Sinalização")</f>
        <v>Sinalização</v>
      </c>
    </row>
    <row r="379" spans="1:22" x14ac:dyDescent="0.25">
      <c r="A379" s="3" t="s">
        <v>22</v>
      </c>
      <c r="B379" s="4">
        <v>23123063</v>
      </c>
      <c r="C379" s="5" t="s">
        <v>23</v>
      </c>
      <c r="D379" s="6" t="s">
        <v>198</v>
      </c>
      <c r="E379" s="6" t="s">
        <v>25</v>
      </c>
      <c r="F379" s="11">
        <v>46167</v>
      </c>
      <c r="G379" s="6" t="s">
        <v>1079</v>
      </c>
      <c r="H379" s="7" t="s">
        <v>26</v>
      </c>
      <c r="I379" s="7" t="s">
        <v>439</v>
      </c>
      <c r="J379" s="7" t="s">
        <v>200</v>
      </c>
      <c r="K379" s="7" t="s">
        <v>29</v>
      </c>
      <c r="L379" s="3" t="str">
        <f>E379&amp;D379</f>
        <v>E.SP.IPAEE_INS_CONF_S_I_CAIXA DE LOCAÇÃO_0180</v>
      </c>
      <c r="M379" s="3" t="str">
        <f>IFERROR(MID(D379,SEARCH("S_I_",D379,1),3),"")</f>
        <v>S_I</v>
      </c>
      <c r="N379" s="3" t="str">
        <f>IFERROR(MID(D379,SEARCH("C_I_",D379,1),3),"")</f>
        <v/>
      </c>
      <c r="O379" s="3" t="str">
        <f>IF(AND(M379="",N379=""),"Extra","")</f>
        <v/>
      </c>
      <c r="P379" s="3" t="str">
        <f>IF(Q379=0,"TERCEIRO","MRS")</f>
        <v>MRS</v>
      </c>
      <c r="Q379" s="8" t="str">
        <f>IFERROR(VLOOKUP(L379,#REF!,4,0),"0,00")</f>
        <v>0,00</v>
      </c>
      <c r="R379" s="9" t="s">
        <v>98</v>
      </c>
      <c r="S379" s="9">
        <f>COUNTIF(D379,"*_SEG_*")</f>
        <v>0</v>
      </c>
      <c r="T379" s="9">
        <f>COUNTIF(D379,"*_MAN_*")</f>
        <v>0</v>
      </c>
      <c r="U379" s="9">
        <f>(RIGHT(D379,4))*1</f>
        <v>180</v>
      </c>
      <c r="V379" s="9" t="str">
        <f>IFERROR(VLOOKUP(I379,#REF!,2,0),"Sinalização")</f>
        <v>Sinalização</v>
      </c>
    </row>
    <row r="380" spans="1:22" x14ac:dyDescent="0.25">
      <c r="A380" s="3" t="s">
        <v>22</v>
      </c>
      <c r="B380" s="4">
        <v>23123064</v>
      </c>
      <c r="C380" s="5" t="s">
        <v>23</v>
      </c>
      <c r="D380" s="6" t="s">
        <v>198</v>
      </c>
      <c r="E380" s="6" t="s">
        <v>25</v>
      </c>
      <c r="F380" s="11">
        <v>46167</v>
      </c>
      <c r="G380" s="6" t="s">
        <v>1079</v>
      </c>
      <c r="H380" s="7" t="s">
        <v>26</v>
      </c>
      <c r="I380" s="7" t="s">
        <v>440</v>
      </c>
      <c r="J380" s="7" t="s">
        <v>200</v>
      </c>
      <c r="K380" s="7" t="s">
        <v>29</v>
      </c>
      <c r="L380" s="3" t="str">
        <f>E380&amp;D380</f>
        <v>E.SP.IPAEE_INS_CONF_S_I_CAIXA DE LOCAÇÃO_0180</v>
      </c>
      <c r="M380" s="3" t="str">
        <f>IFERROR(MID(D380,SEARCH("S_I_",D380,1),3),"")</f>
        <v>S_I</v>
      </c>
      <c r="N380" s="3" t="str">
        <f>IFERROR(MID(D380,SEARCH("C_I_",D380,1),3),"")</f>
        <v/>
      </c>
      <c r="O380" s="3" t="str">
        <f>IF(AND(M380="",N380=""),"Extra","")</f>
        <v/>
      </c>
      <c r="P380" s="3" t="str">
        <f>IF(Q380=0,"TERCEIRO","MRS")</f>
        <v>MRS</v>
      </c>
      <c r="Q380" s="8" t="str">
        <f>IFERROR(VLOOKUP(L380,#REF!,4,0),"0,00")</f>
        <v>0,00</v>
      </c>
      <c r="R380" s="9" t="s">
        <v>98</v>
      </c>
      <c r="S380" s="9">
        <f>COUNTIF(D380,"*_SEG_*")</f>
        <v>0</v>
      </c>
      <c r="T380" s="9">
        <f>COUNTIF(D380,"*_MAN_*")</f>
        <v>0</v>
      </c>
      <c r="U380" s="9">
        <f>(RIGHT(D380,4))*1</f>
        <v>180</v>
      </c>
      <c r="V380" s="9" t="str">
        <f>IFERROR(VLOOKUP(I380,#REF!,2,0),"Sinalização")</f>
        <v>Sinalização</v>
      </c>
    </row>
    <row r="381" spans="1:22" x14ac:dyDescent="0.25">
      <c r="A381" s="3" t="s">
        <v>22</v>
      </c>
      <c r="B381" s="4">
        <v>23123072</v>
      </c>
      <c r="C381" s="5" t="s">
        <v>23</v>
      </c>
      <c r="D381" s="6" t="s">
        <v>198</v>
      </c>
      <c r="E381" s="6" t="s">
        <v>25</v>
      </c>
      <c r="F381" s="11">
        <v>46167</v>
      </c>
      <c r="G381" s="6" t="s">
        <v>1079</v>
      </c>
      <c r="H381" s="7" t="s">
        <v>32</v>
      </c>
      <c r="I381" s="7" t="s">
        <v>441</v>
      </c>
      <c r="J381" s="7" t="s">
        <v>200</v>
      </c>
      <c r="K381" s="7" t="s">
        <v>29</v>
      </c>
      <c r="L381" s="3" t="str">
        <f>E381&amp;D381</f>
        <v>E.SP.IPAEE_INS_CONF_S_I_CAIXA DE LOCAÇÃO_0180</v>
      </c>
      <c r="M381" s="3" t="str">
        <f>IFERROR(MID(D381,SEARCH("S_I_",D381,1),3),"")</f>
        <v>S_I</v>
      </c>
      <c r="N381" s="3" t="str">
        <f>IFERROR(MID(D381,SEARCH("C_I_",D381,1),3),"")</f>
        <v/>
      </c>
      <c r="O381" s="3" t="str">
        <f>IF(AND(M381="",N381=""),"Extra","")</f>
        <v/>
      </c>
      <c r="P381" s="3" t="str">
        <f>IF(Q381=0,"TERCEIRO","MRS")</f>
        <v>MRS</v>
      </c>
      <c r="Q381" s="8" t="str">
        <f>IFERROR(VLOOKUP(L381,#REF!,4,0),"0,00")</f>
        <v>0,00</v>
      </c>
      <c r="R381" s="9" t="s">
        <v>98</v>
      </c>
      <c r="S381" s="9">
        <f>COUNTIF(D381,"*_SEG_*")</f>
        <v>0</v>
      </c>
      <c r="T381" s="9">
        <f>COUNTIF(D381,"*_MAN_*")</f>
        <v>0</v>
      </c>
      <c r="U381" s="9">
        <f>(RIGHT(D381,4))*1</f>
        <v>180</v>
      </c>
      <c r="V381" s="9" t="str">
        <f>IFERROR(VLOOKUP(I381,#REF!,2,0),"Sinalização")</f>
        <v>Sinalização</v>
      </c>
    </row>
    <row r="382" spans="1:22" x14ac:dyDescent="0.25">
      <c r="A382" s="3" t="s">
        <v>22</v>
      </c>
      <c r="B382" s="4">
        <v>23123073</v>
      </c>
      <c r="C382" s="5" t="s">
        <v>23</v>
      </c>
      <c r="D382" s="6" t="s">
        <v>198</v>
      </c>
      <c r="E382" s="6" t="s">
        <v>25</v>
      </c>
      <c r="F382" s="11">
        <v>46167</v>
      </c>
      <c r="G382" s="6" t="s">
        <v>1079</v>
      </c>
      <c r="H382" s="7" t="s">
        <v>32</v>
      </c>
      <c r="I382" s="7" t="s">
        <v>442</v>
      </c>
      <c r="J382" s="7" t="s">
        <v>200</v>
      </c>
      <c r="K382" s="7" t="s">
        <v>29</v>
      </c>
      <c r="L382" s="3" t="str">
        <f>E382&amp;D382</f>
        <v>E.SP.IPAEE_INS_CONF_S_I_CAIXA DE LOCAÇÃO_0180</v>
      </c>
      <c r="M382" s="3" t="str">
        <f>IFERROR(MID(D382,SEARCH("S_I_",D382,1),3),"")</f>
        <v>S_I</v>
      </c>
      <c r="N382" s="3" t="str">
        <f>IFERROR(MID(D382,SEARCH("C_I_",D382,1),3),"")</f>
        <v/>
      </c>
      <c r="O382" s="3" t="str">
        <f>IF(AND(M382="",N382=""),"Extra","")</f>
        <v/>
      </c>
      <c r="P382" s="3" t="str">
        <f>IF(Q382=0,"TERCEIRO","MRS")</f>
        <v>MRS</v>
      </c>
      <c r="Q382" s="8" t="str">
        <f>IFERROR(VLOOKUP(L382,#REF!,4,0),"0,00")</f>
        <v>0,00</v>
      </c>
      <c r="R382" s="9" t="s">
        <v>98</v>
      </c>
      <c r="S382" s="9">
        <f>COUNTIF(D382,"*_SEG_*")</f>
        <v>0</v>
      </c>
      <c r="T382" s="9">
        <f>COUNTIF(D382,"*_MAN_*")</f>
        <v>0</v>
      </c>
      <c r="U382" s="9">
        <f>(RIGHT(D382,4))*1</f>
        <v>180</v>
      </c>
      <c r="V382" s="9" t="str">
        <f>IFERROR(VLOOKUP(I382,#REF!,2,0),"Sinalização")</f>
        <v>Sinalização</v>
      </c>
    </row>
    <row r="383" spans="1:22" x14ac:dyDescent="0.25">
      <c r="A383" s="3" t="s">
        <v>22</v>
      </c>
      <c r="B383" s="4">
        <v>23123081</v>
      </c>
      <c r="C383" s="5" t="s">
        <v>23</v>
      </c>
      <c r="D383" s="6" t="s">
        <v>443</v>
      </c>
      <c r="E383" s="6" t="s">
        <v>25</v>
      </c>
      <c r="F383" s="11">
        <v>46167</v>
      </c>
      <c r="G383" s="6" t="s">
        <v>1079</v>
      </c>
      <c r="H383" s="7" t="s">
        <v>26</v>
      </c>
      <c r="I383" s="7" t="s">
        <v>62</v>
      </c>
      <c r="J383" s="7" t="s">
        <v>444</v>
      </c>
      <c r="K383" s="7" t="s">
        <v>29</v>
      </c>
      <c r="L383" s="3" t="str">
        <f>E383&amp;D383</f>
        <v>E.SP.IPAEE_INS_CONF_S_I_BAT ESTAC BDD_0180</v>
      </c>
      <c r="M383" s="3" t="str">
        <f>IFERROR(MID(D383,SEARCH("S_I_",D383,1),3),"")</f>
        <v>S_I</v>
      </c>
      <c r="N383" s="3" t="str">
        <f>IFERROR(MID(D383,SEARCH("C_I_",D383,1),3),"")</f>
        <v/>
      </c>
      <c r="O383" s="3" t="str">
        <f>IF(AND(M383="",N383=""),"Extra","")</f>
        <v/>
      </c>
      <c r="P383" s="3" t="str">
        <f>IF(Q383=0,"TERCEIRO","MRS")</f>
        <v>MRS</v>
      </c>
      <c r="Q383" s="8" t="str">
        <f>IFERROR(VLOOKUP(L383,#REF!,4,0),"0,00")</f>
        <v>0,00</v>
      </c>
      <c r="R383" s="9" t="s">
        <v>42</v>
      </c>
      <c r="S383" s="9">
        <f>COUNTIF(D383,"*_SEG_*")</f>
        <v>0</v>
      </c>
      <c r="T383" s="9">
        <f>COUNTIF(D383,"*_MAN_*")</f>
        <v>0</v>
      </c>
      <c r="U383" s="9">
        <f>(RIGHT(D383,4))*1</f>
        <v>180</v>
      </c>
      <c r="V383" s="9" t="str">
        <f>IFERROR(VLOOKUP(I383,#REF!,2,0),"Sinalização")</f>
        <v>Sinalização</v>
      </c>
    </row>
    <row r="384" spans="1:22" x14ac:dyDescent="0.25">
      <c r="A384" s="3" t="s">
        <v>22</v>
      </c>
      <c r="B384" s="4">
        <v>23123083</v>
      </c>
      <c r="C384" s="5" t="s">
        <v>23</v>
      </c>
      <c r="D384" s="6" t="s">
        <v>443</v>
      </c>
      <c r="E384" s="6" t="s">
        <v>25</v>
      </c>
      <c r="F384" s="11">
        <v>46167</v>
      </c>
      <c r="G384" s="6" t="s">
        <v>1079</v>
      </c>
      <c r="H384" s="7" t="s">
        <v>26</v>
      </c>
      <c r="I384" s="7" t="s">
        <v>155</v>
      </c>
      <c r="J384" s="7" t="s">
        <v>444</v>
      </c>
      <c r="K384" s="7" t="s">
        <v>29</v>
      </c>
      <c r="L384" s="3" t="str">
        <f>E384&amp;D384</f>
        <v>E.SP.IPAEE_INS_CONF_S_I_BAT ESTAC BDD_0180</v>
      </c>
      <c r="M384" s="3" t="str">
        <f>IFERROR(MID(D384,SEARCH("S_I_",D384,1),3),"")</f>
        <v>S_I</v>
      </c>
      <c r="N384" s="3" t="str">
        <f>IFERROR(MID(D384,SEARCH("C_I_",D384,1),3),"")</f>
        <v/>
      </c>
      <c r="O384" s="3" t="str">
        <f>IF(AND(M384="",N384=""),"Extra","")</f>
        <v/>
      </c>
      <c r="P384" s="3" t="str">
        <f>IF(Q384=0,"TERCEIRO","MRS")</f>
        <v>MRS</v>
      </c>
      <c r="Q384" s="8" t="str">
        <f>IFERROR(VLOOKUP(L384,#REF!,4,0),"0,00")</f>
        <v>0,00</v>
      </c>
      <c r="R384" s="9" t="s">
        <v>42</v>
      </c>
      <c r="S384" s="9">
        <f>COUNTIF(D384,"*_SEG_*")</f>
        <v>0</v>
      </c>
      <c r="T384" s="9">
        <f>COUNTIF(D384,"*_MAN_*")</f>
        <v>0</v>
      </c>
      <c r="U384" s="9">
        <f>(RIGHT(D384,4))*1</f>
        <v>180</v>
      </c>
      <c r="V384" s="9" t="str">
        <f>IFERROR(VLOOKUP(I384,#REF!,2,0),"Sinalização")</f>
        <v>Sinalização</v>
      </c>
    </row>
    <row r="385" spans="1:22" x14ac:dyDescent="0.25">
      <c r="A385" s="3" t="s">
        <v>22</v>
      </c>
      <c r="B385" s="4">
        <v>23123084</v>
      </c>
      <c r="C385" s="5" t="s">
        <v>23</v>
      </c>
      <c r="D385" s="6" t="s">
        <v>443</v>
      </c>
      <c r="E385" s="6" t="s">
        <v>25</v>
      </c>
      <c r="F385" s="11">
        <v>46167</v>
      </c>
      <c r="G385" s="6" t="s">
        <v>1079</v>
      </c>
      <c r="H385" s="7" t="s">
        <v>32</v>
      </c>
      <c r="I385" s="7" t="s">
        <v>156</v>
      </c>
      <c r="J385" s="7" t="s">
        <v>444</v>
      </c>
      <c r="K385" s="7" t="s">
        <v>29</v>
      </c>
      <c r="L385" s="3" t="str">
        <f>E385&amp;D385</f>
        <v>E.SP.IPAEE_INS_CONF_S_I_BAT ESTAC BDD_0180</v>
      </c>
      <c r="M385" s="3" t="str">
        <f>IFERROR(MID(D385,SEARCH("S_I_",D385,1),3),"")</f>
        <v>S_I</v>
      </c>
      <c r="N385" s="3" t="str">
        <f>IFERROR(MID(D385,SEARCH("C_I_",D385,1),3),"")</f>
        <v/>
      </c>
      <c r="O385" s="3" t="str">
        <f>IF(AND(M385="",N385=""),"Extra","")</f>
        <v/>
      </c>
      <c r="P385" s="3" t="str">
        <f>IF(Q385=0,"TERCEIRO","MRS")</f>
        <v>MRS</v>
      </c>
      <c r="Q385" s="8" t="str">
        <f>IFERROR(VLOOKUP(L385,#REF!,4,0),"0,00")</f>
        <v>0,00</v>
      </c>
      <c r="R385" s="9" t="s">
        <v>42</v>
      </c>
      <c r="S385" s="9">
        <f>COUNTIF(D385,"*_SEG_*")</f>
        <v>0</v>
      </c>
      <c r="T385" s="9">
        <f>COUNTIF(D385,"*_MAN_*")</f>
        <v>0</v>
      </c>
      <c r="U385" s="9">
        <f>(RIGHT(D385,4))*1</f>
        <v>180</v>
      </c>
      <c r="V385" s="9" t="str">
        <f>IFERROR(VLOOKUP(I385,#REF!,2,0),"Sinalização")</f>
        <v>Sinalização</v>
      </c>
    </row>
    <row r="386" spans="1:22" x14ac:dyDescent="0.25">
      <c r="A386" s="3" t="s">
        <v>22</v>
      </c>
      <c r="B386" s="4">
        <v>23123085</v>
      </c>
      <c r="C386" s="5" t="s">
        <v>23</v>
      </c>
      <c r="D386" s="6" t="s">
        <v>443</v>
      </c>
      <c r="E386" s="6" t="s">
        <v>25</v>
      </c>
      <c r="F386" s="11">
        <v>46167</v>
      </c>
      <c r="G386" s="6" t="s">
        <v>1079</v>
      </c>
      <c r="H386" s="7" t="s">
        <v>32</v>
      </c>
      <c r="I386" s="7" t="s">
        <v>157</v>
      </c>
      <c r="J386" s="7" t="s">
        <v>444</v>
      </c>
      <c r="K386" s="7" t="s">
        <v>29</v>
      </c>
      <c r="L386" s="3" t="str">
        <f>E386&amp;D386</f>
        <v>E.SP.IPAEE_INS_CONF_S_I_BAT ESTAC BDD_0180</v>
      </c>
      <c r="M386" s="3" t="str">
        <f>IFERROR(MID(D386,SEARCH("S_I_",D386,1),3),"")</f>
        <v>S_I</v>
      </c>
      <c r="N386" s="3" t="str">
        <f>IFERROR(MID(D386,SEARCH("C_I_",D386,1),3),"")</f>
        <v/>
      </c>
      <c r="O386" s="3" t="str">
        <f>IF(AND(M386="",N386=""),"Extra","")</f>
        <v/>
      </c>
      <c r="P386" s="3" t="str">
        <f>IF(Q386=0,"TERCEIRO","MRS")</f>
        <v>MRS</v>
      </c>
      <c r="Q386" s="8" t="str">
        <f>IFERROR(VLOOKUP(L386,#REF!,4,0),"0,00")</f>
        <v>0,00</v>
      </c>
      <c r="R386" s="9" t="s">
        <v>42</v>
      </c>
      <c r="S386" s="9">
        <f>COUNTIF(D386,"*_SEG_*")</f>
        <v>0</v>
      </c>
      <c r="T386" s="9">
        <f>COUNTIF(D386,"*_MAN_*")</f>
        <v>0</v>
      </c>
      <c r="U386" s="9">
        <f>(RIGHT(D386,4))*1</f>
        <v>180</v>
      </c>
      <c r="V386" s="9" t="str">
        <f>IFERROR(VLOOKUP(I386,#REF!,2,0),"Sinalização")</f>
        <v>Sinalização</v>
      </c>
    </row>
    <row r="387" spans="1:22" x14ac:dyDescent="0.25">
      <c r="A387" s="3" t="s">
        <v>22</v>
      </c>
      <c r="B387" s="4">
        <v>23123086</v>
      </c>
      <c r="C387" s="5" t="s">
        <v>23</v>
      </c>
      <c r="D387" s="6" t="s">
        <v>443</v>
      </c>
      <c r="E387" s="6" t="s">
        <v>25</v>
      </c>
      <c r="F387" s="11">
        <v>46167</v>
      </c>
      <c r="G387" s="6" t="s">
        <v>1079</v>
      </c>
      <c r="H387" s="7" t="s">
        <v>26</v>
      </c>
      <c r="I387" s="7" t="s">
        <v>158</v>
      </c>
      <c r="J387" s="7" t="s">
        <v>444</v>
      </c>
      <c r="K387" s="7" t="s">
        <v>29</v>
      </c>
      <c r="L387" s="3" t="str">
        <f>E387&amp;D387</f>
        <v>E.SP.IPAEE_INS_CONF_S_I_BAT ESTAC BDD_0180</v>
      </c>
      <c r="M387" s="3" t="str">
        <f>IFERROR(MID(D387,SEARCH("S_I_",D387,1),3),"")</f>
        <v>S_I</v>
      </c>
      <c r="N387" s="3" t="str">
        <f>IFERROR(MID(D387,SEARCH("C_I_",D387,1),3),"")</f>
        <v/>
      </c>
      <c r="O387" s="3" t="str">
        <f>IF(AND(M387="",N387=""),"Extra","")</f>
        <v/>
      </c>
      <c r="P387" s="3" t="str">
        <f>IF(Q387=0,"TERCEIRO","MRS")</f>
        <v>MRS</v>
      </c>
      <c r="Q387" s="8" t="str">
        <f>IFERROR(VLOOKUP(L387,#REF!,4,0),"0,00")</f>
        <v>0,00</v>
      </c>
      <c r="R387" s="9" t="s">
        <v>42</v>
      </c>
      <c r="S387" s="9">
        <f>COUNTIF(D387,"*_SEG_*")</f>
        <v>0</v>
      </c>
      <c r="T387" s="9">
        <f>COUNTIF(D387,"*_MAN_*")</f>
        <v>0</v>
      </c>
      <c r="U387" s="9">
        <f>(RIGHT(D387,4))*1</f>
        <v>180</v>
      </c>
      <c r="V387" s="9" t="str">
        <f>IFERROR(VLOOKUP(I387,#REF!,2,0),"Sinalização")</f>
        <v>Sinalização</v>
      </c>
    </row>
    <row r="388" spans="1:22" x14ac:dyDescent="0.25">
      <c r="A388" s="3" t="s">
        <v>22</v>
      </c>
      <c r="B388" s="4">
        <v>23123087</v>
      </c>
      <c r="C388" s="5" t="s">
        <v>23</v>
      </c>
      <c r="D388" s="6" t="s">
        <v>443</v>
      </c>
      <c r="E388" s="6" t="s">
        <v>25</v>
      </c>
      <c r="F388" s="11">
        <v>46167</v>
      </c>
      <c r="G388" s="6" t="s">
        <v>1079</v>
      </c>
      <c r="H388" s="7" t="s">
        <v>26</v>
      </c>
      <c r="I388" s="7" t="s">
        <v>159</v>
      </c>
      <c r="J388" s="7" t="s">
        <v>444</v>
      </c>
      <c r="K388" s="7" t="s">
        <v>29</v>
      </c>
      <c r="L388" s="3" t="str">
        <f>E388&amp;D388</f>
        <v>E.SP.IPAEE_INS_CONF_S_I_BAT ESTAC BDD_0180</v>
      </c>
      <c r="M388" s="3" t="str">
        <f>IFERROR(MID(D388,SEARCH("S_I_",D388,1),3),"")</f>
        <v>S_I</v>
      </c>
      <c r="N388" s="3" t="str">
        <f>IFERROR(MID(D388,SEARCH("C_I_",D388,1),3),"")</f>
        <v/>
      </c>
      <c r="O388" s="3" t="str">
        <f>IF(AND(M388="",N388=""),"Extra","")</f>
        <v/>
      </c>
      <c r="P388" s="3" t="str">
        <f>IF(Q388=0,"TERCEIRO","MRS")</f>
        <v>MRS</v>
      </c>
      <c r="Q388" s="8" t="str">
        <f>IFERROR(VLOOKUP(L388,#REF!,4,0),"0,00")</f>
        <v>0,00</v>
      </c>
      <c r="R388" s="9" t="s">
        <v>42</v>
      </c>
      <c r="S388" s="9">
        <f>COUNTIF(D388,"*_SEG_*")</f>
        <v>0</v>
      </c>
      <c r="T388" s="9">
        <f>COUNTIF(D388,"*_MAN_*")</f>
        <v>0</v>
      </c>
      <c r="U388" s="9">
        <f>(RIGHT(D388,4))*1</f>
        <v>180</v>
      </c>
      <c r="V388" s="9" t="str">
        <f>IFERROR(VLOOKUP(I388,#REF!,2,0),"Sinalização")</f>
        <v>Sinalização</v>
      </c>
    </row>
    <row r="389" spans="1:22" x14ac:dyDescent="0.25">
      <c r="A389" s="3" t="s">
        <v>22</v>
      </c>
      <c r="B389" s="4">
        <v>23123088</v>
      </c>
      <c r="C389" s="5" t="s">
        <v>23</v>
      </c>
      <c r="D389" s="6" t="s">
        <v>443</v>
      </c>
      <c r="E389" s="6" t="s">
        <v>25</v>
      </c>
      <c r="F389" s="11">
        <v>46167</v>
      </c>
      <c r="G389" s="6" t="s">
        <v>1079</v>
      </c>
      <c r="H389" s="7" t="s">
        <v>32</v>
      </c>
      <c r="I389" s="7" t="s">
        <v>160</v>
      </c>
      <c r="J389" s="7" t="s">
        <v>444</v>
      </c>
      <c r="K389" s="7" t="s">
        <v>29</v>
      </c>
      <c r="L389" s="3" t="str">
        <f>E389&amp;D389</f>
        <v>E.SP.IPAEE_INS_CONF_S_I_BAT ESTAC BDD_0180</v>
      </c>
      <c r="M389" s="3" t="str">
        <f>IFERROR(MID(D389,SEARCH("S_I_",D389,1),3),"")</f>
        <v>S_I</v>
      </c>
      <c r="N389" s="3" t="str">
        <f>IFERROR(MID(D389,SEARCH("C_I_",D389,1),3),"")</f>
        <v/>
      </c>
      <c r="O389" s="3" t="str">
        <f>IF(AND(M389="",N389=""),"Extra","")</f>
        <v/>
      </c>
      <c r="P389" s="3" t="str">
        <f>IF(Q389=0,"TERCEIRO","MRS")</f>
        <v>MRS</v>
      </c>
      <c r="Q389" s="8" t="str">
        <f>IFERROR(VLOOKUP(L389,#REF!,4,0),"0,00")</f>
        <v>0,00</v>
      </c>
      <c r="R389" s="9" t="s">
        <v>42</v>
      </c>
      <c r="S389" s="9">
        <f>COUNTIF(D389,"*_SEG_*")</f>
        <v>0</v>
      </c>
      <c r="T389" s="9">
        <f>COUNTIF(D389,"*_MAN_*")</f>
        <v>0</v>
      </c>
      <c r="U389" s="9">
        <f>(RIGHT(D389,4))*1</f>
        <v>180</v>
      </c>
      <c r="V389" s="9" t="str">
        <f>IFERROR(VLOOKUP(I389,#REF!,2,0),"Sinalização")</f>
        <v>Sinalização</v>
      </c>
    </row>
    <row r="390" spans="1:22" x14ac:dyDescent="0.25">
      <c r="A390" s="3" t="s">
        <v>22</v>
      </c>
      <c r="B390" s="4">
        <v>23123091</v>
      </c>
      <c r="C390" s="5" t="s">
        <v>23</v>
      </c>
      <c r="D390" s="6" t="s">
        <v>443</v>
      </c>
      <c r="E390" s="6" t="s">
        <v>25</v>
      </c>
      <c r="F390" s="11">
        <v>46167</v>
      </c>
      <c r="G390" s="6" t="s">
        <v>1079</v>
      </c>
      <c r="H390" s="7" t="s">
        <v>32</v>
      </c>
      <c r="I390" s="7" t="s">
        <v>161</v>
      </c>
      <c r="J390" s="7" t="s">
        <v>444</v>
      </c>
      <c r="K390" s="7" t="s">
        <v>29</v>
      </c>
      <c r="L390" s="3" t="str">
        <f>E390&amp;D390</f>
        <v>E.SP.IPAEE_INS_CONF_S_I_BAT ESTAC BDD_0180</v>
      </c>
      <c r="M390" s="3" t="str">
        <f>IFERROR(MID(D390,SEARCH("S_I_",D390,1),3),"")</f>
        <v>S_I</v>
      </c>
      <c r="N390" s="3" t="str">
        <f>IFERROR(MID(D390,SEARCH("C_I_",D390,1),3),"")</f>
        <v/>
      </c>
      <c r="O390" s="3" t="str">
        <f>IF(AND(M390="",N390=""),"Extra","")</f>
        <v/>
      </c>
      <c r="P390" s="3" t="str">
        <f>IF(Q390=0,"TERCEIRO","MRS")</f>
        <v>MRS</v>
      </c>
      <c r="Q390" s="8" t="str">
        <f>IFERROR(VLOOKUP(L390,#REF!,4,0),"0,00")</f>
        <v>0,00</v>
      </c>
      <c r="R390" s="9" t="s">
        <v>42</v>
      </c>
      <c r="S390" s="9">
        <f>COUNTIF(D390,"*_SEG_*")</f>
        <v>0</v>
      </c>
      <c r="T390" s="9">
        <f>COUNTIF(D390,"*_MAN_*")</f>
        <v>0</v>
      </c>
      <c r="U390" s="9">
        <f>(RIGHT(D390,4))*1</f>
        <v>180</v>
      </c>
      <c r="V390" s="9" t="str">
        <f>IFERROR(VLOOKUP(I390,#REF!,2,0),"Sinalização")</f>
        <v>Sinalização</v>
      </c>
    </row>
    <row r="391" spans="1:22" x14ac:dyDescent="0.25">
      <c r="A391" s="3" t="s">
        <v>22</v>
      </c>
      <c r="B391" s="4">
        <v>23123140</v>
      </c>
      <c r="C391" s="5" t="s">
        <v>23</v>
      </c>
      <c r="D391" s="6" t="s">
        <v>445</v>
      </c>
      <c r="E391" s="6" t="s">
        <v>25</v>
      </c>
      <c r="F391" s="11">
        <v>46167</v>
      </c>
      <c r="G391" s="6" t="s">
        <v>1079</v>
      </c>
      <c r="H391" s="7" t="s">
        <v>26</v>
      </c>
      <c r="I391" s="7" t="s">
        <v>446</v>
      </c>
      <c r="J391" s="7" t="s">
        <v>447</v>
      </c>
      <c r="K391" s="7" t="s">
        <v>29</v>
      </c>
      <c r="L391" s="3" t="str">
        <f>E391&amp;D391</f>
        <v>E.SP.IPAEE_MAN_CONF_C_I_MCH 110V GRS 55BR R_0180</v>
      </c>
      <c r="M391" s="3" t="str">
        <f>IFERROR(MID(D391,SEARCH("S_I_",D391,1),3),"")</f>
        <v/>
      </c>
      <c r="N391" s="3" t="str">
        <f>IFERROR(MID(D391,SEARCH("C_I_",D391,1),3),"")</f>
        <v>C_I</v>
      </c>
      <c r="O391" s="3" t="str">
        <f>IF(AND(M391="",N391=""),"Extra","")</f>
        <v/>
      </c>
      <c r="P391" s="3" t="str">
        <f>IF(Q391=0,"TERCEIRO","MRS")</f>
        <v>MRS</v>
      </c>
      <c r="Q391" s="8" t="str">
        <f>IFERROR(VLOOKUP(L391,#REF!,4,0),"0,00")</f>
        <v>0,00</v>
      </c>
      <c r="R391" s="9" t="s">
        <v>42</v>
      </c>
      <c r="S391" s="9">
        <f>COUNTIF(D391,"*_SEG_*")</f>
        <v>0</v>
      </c>
      <c r="T391" s="9">
        <f>COUNTIF(D391,"*_MAN_*")</f>
        <v>1</v>
      </c>
      <c r="U391" s="9">
        <f>(RIGHT(D391,4))*1</f>
        <v>180</v>
      </c>
      <c r="V391" s="9" t="str">
        <f>IFERROR(VLOOKUP(I391,#REF!,2,0),"Sinalização")</f>
        <v>Sinalização</v>
      </c>
    </row>
    <row r="392" spans="1:22" x14ac:dyDescent="0.25">
      <c r="A392" s="3" t="s">
        <v>22</v>
      </c>
      <c r="B392" s="4">
        <v>23123340</v>
      </c>
      <c r="C392" s="5" t="s">
        <v>23</v>
      </c>
      <c r="D392" s="6" t="s">
        <v>387</v>
      </c>
      <c r="E392" s="6" t="s">
        <v>25</v>
      </c>
      <c r="F392" s="11">
        <v>46167</v>
      </c>
      <c r="G392" s="6" t="s">
        <v>1079</v>
      </c>
      <c r="H392" s="7" t="s">
        <v>26</v>
      </c>
      <c r="I392" s="7" t="s">
        <v>448</v>
      </c>
      <c r="J392" s="7" t="s">
        <v>389</v>
      </c>
      <c r="K392" s="7" t="s">
        <v>29</v>
      </c>
      <c r="L392" s="3" t="str">
        <f>E392&amp;D392</f>
        <v>E.SP.IPAEE_MAN_CONF_S_I_BL INT RELÉ S/ BAT_0180</v>
      </c>
      <c r="M392" s="3" t="str">
        <f>IFERROR(MID(D392,SEARCH("S_I_",D392,1),3),"")</f>
        <v>S_I</v>
      </c>
      <c r="N392" s="3" t="str">
        <f>IFERROR(MID(D392,SEARCH("C_I_",D392,1),3),"")</f>
        <v/>
      </c>
      <c r="O392" s="3" t="str">
        <f>IF(AND(M392="",N392=""),"Extra","")</f>
        <v/>
      </c>
      <c r="P392" s="3" t="str">
        <f>IF(Q392=0,"TERCEIRO","MRS")</f>
        <v>MRS</v>
      </c>
      <c r="Q392" s="8" t="str">
        <f>IFERROR(VLOOKUP(L392,#REF!,4,0),"0,00")</f>
        <v>0,00</v>
      </c>
      <c r="R392" s="9" t="s">
        <v>42</v>
      </c>
      <c r="S392" s="9">
        <f>COUNTIF(D392,"*_SEG_*")</f>
        <v>0</v>
      </c>
      <c r="T392" s="9">
        <f>COUNTIF(D392,"*_MAN_*")</f>
        <v>1</v>
      </c>
      <c r="U392" s="9">
        <f>(RIGHT(D392,4))*1</f>
        <v>180</v>
      </c>
      <c r="V392" s="9" t="str">
        <f>IFERROR(VLOOKUP(I392,#REF!,2,0),"Sinalização")</f>
        <v>Sinalização</v>
      </c>
    </row>
    <row r="393" spans="1:22" x14ac:dyDescent="0.25">
      <c r="A393" s="3" t="s">
        <v>22</v>
      </c>
      <c r="B393" s="4">
        <v>23123347</v>
      </c>
      <c r="C393" s="5" t="s">
        <v>23</v>
      </c>
      <c r="D393" s="6" t="s">
        <v>212</v>
      </c>
      <c r="E393" s="6" t="s">
        <v>25</v>
      </c>
      <c r="F393" s="11">
        <v>46167</v>
      </c>
      <c r="G393" s="6" t="s">
        <v>1079</v>
      </c>
      <c r="H393" s="7" t="s">
        <v>32</v>
      </c>
      <c r="I393" s="7" t="s">
        <v>449</v>
      </c>
      <c r="J393" s="7" t="s">
        <v>189</v>
      </c>
      <c r="K393" s="7" t="s">
        <v>29</v>
      </c>
      <c r="L393" s="3" t="str">
        <f>E393&amp;D393</f>
        <v>E.SP.IPAEE_INS_SEG_C_I_MCH 110V GRS 55BR R_0180</v>
      </c>
      <c r="M393" s="3" t="str">
        <f>IFERROR(MID(D393,SEARCH("S_I_",D393,1),3),"")</f>
        <v/>
      </c>
      <c r="N393" s="3" t="str">
        <f>IFERROR(MID(D393,SEARCH("C_I_",D393,1),3),"")</f>
        <v>C_I</v>
      </c>
      <c r="O393" s="3" t="str">
        <f>IF(AND(M393="",N393=""),"Extra","")</f>
        <v/>
      </c>
      <c r="P393" s="3" t="str">
        <f>IF(Q393=0,"TERCEIRO","MRS")</f>
        <v>MRS</v>
      </c>
      <c r="Q393" s="8" t="str">
        <f>IFERROR(VLOOKUP(L393,#REF!,4,0),"0,00")</f>
        <v>0,00</v>
      </c>
      <c r="R393" s="9" t="s">
        <v>30</v>
      </c>
      <c r="S393" s="9">
        <f>COUNTIF(D393,"*_SEG_*")</f>
        <v>1</v>
      </c>
      <c r="T393" s="9">
        <f>COUNTIF(D393,"*_MAN_*")</f>
        <v>0</v>
      </c>
      <c r="U393" s="9">
        <f>(RIGHT(D393,4))*1</f>
        <v>180</v>
      </c>
      <c r="V393" s="9" t="str">
        <f>IFERROR(VLOOKUP(I393,#REF!,2,0),"Sinalização")</f>
        <v>Sinalização</v>
      </c>
    </row>
    <row r="394" spans="1:22" x14ac:dyDescent="0.25">
      <c r="A394" s="3" t="s">
        <v>22</v>
      </c>
      <c r="B394" s="4">
        <v>23123348</v>
      </c>
      <c r="C394" s="5" t="s">
        <v>23</v>
      </c>
      <c r="D394" s="6" t="s">
        <v>212</v>
      </c>
      <c r="E394" s="6" t="s">
        <v>25</v>
      </c>
      <c r="F394" s="11">
        <v>46167</v>
      </c>
      <c r="G394" s="6" t="s">
        <v>1079</v>
      </c>
      <c r="H394" s="7" t="s">
        <v>32</v>
      </c>
      <c r="I394" s="7" t="s">
        <v>450</v>
      </c>
      <c r="J394" s="7" t="s">
        <v>189</v>
      </c>
      <c r="K394" s="7" t="s">
        <v>29</v>
      </c>
      <c r="L394" s="3" t="str">
        <f>E394&amp;D394</f>
        <v>E.SP.IPAEE_INS_SEG_C_I_MCH 110V GRS 55BR R_0180</v>
      </c>
      <c r="M394" s="3" t="str">
        <f>IFERROR(MID(D394,SEARCH("S_I_",D394,1),3),"")</f>
        <v/>
      </c>
      <c r="N394" s="3" t="str">
        <f>IFERROR(MID(D394,SEARCH("C_I_",D394,1),3),"")</f>
        <v>C_I</v>
      </c>
      <c r="O394" s="3" t="str">
        <f>IF(AND(M394="",N394=""),"Extra","")</f>
        <v/>
      </c>
      <c r="P394" s="3" t="str">
        <f>IF(Q394=0,"TERCEIRO","MRS")</f>
        <v>MRS</v>
      </c>
      <c r="Q394" s="8" t="str">
        <f>IFERROR(VLOOKUP(L394,#REF!,4,0),"0,00")</f>
        <v>0,00</v>
      </c>
      <c r="R394" s="9" t="s">
        <v>30</v>
      </c>
      <c r="S394" s="9">
        <f>COUNTIF(D394,"*_SEG_*")</f>
        <v>1</v>
      </c>
      <c r="T394" s="9">
        <f>COUNTIF(D394,"*_MAN_*")</f>
        <v>0</v>
      </c>
      <c r="U394" s="9">
        <f>(RIGHT(D394,4))*1</f>
        <v>180</v>
      </c>
      <c r="V394" s="9" t="str">
        <f>IFERROR(VLOOKUP(I394,#REF!,2,0),"Sinalização")</f>
        <v>Sinalização</v>
      </c>
    </row>
    <row r="395" spans="1:22" x14ac:dyDescent="0.25">
      <c r="A395" s="3" t="s">
        <v>22</v>
      </c>
      <c r="B395" s="4">
        <v>23123350</v>
      </c>
      <c r="C395" s="5" t="s">
        <v>23</v>
      </c>
      <c r="D395" s="6" t="s">
        <v>212</v>
      </c>
      <c r="E395" s="6" t="s">
        <v>25</v>
      </c>
      <c r="F395" s="11">
        <v>46167</v>
      </c>
      <c r="G395" s="6" t="s">
        <v>1079</v>
      </c>
      <c r="H395" s="7" t="s">
        <v>26</v>
      </c>
      <c r="I395" s="7" t="s">
        <v>446</v>
      </c>
      <c r="J395" s="7" t="s">
        <v>189</v>
      </c>
      <c r="K395" s="7" t="s">
        <v>29</v>
      </c>
      <c r="L395" s="3" t="str">
        <f>E395&amp;D395</f>
        <v>E.SP.IPAEE_INS_SEG_C_I_MCH 110V GRS 55BR R_0180</v>
      </c>
      <c r="M395" s="3" t="str">
        <f>IFERROR(MID(D395,SEARCH("S_I_",D395,1),3),"")</f>
        <v/>
      </c>
      <c r="N395" s="3" t="str">
        <f>IFERROR(MID(D395,SEARCH("C_I_",D395,1),3),"")</f>
        <v>C_I</v>
      </c>
      <c r="O395" s="3" t="str">
        <f>IF(AND(M395="",N395=""),"Extra","")</f>
        <v/>
      </c>
      <c r="P395" s="3" t="str">
        <f>IF(Q395=0,"TERCEIRO","MRS")</f>
        <v>MRS</v>
      </c>
      <c r="Q395" s="8" t="str">
        <f>IFERROR(VLOOKUP(L395,#REF!,4,0),"0,00")</f>
        <v>0,00</v>
      </c>
      <c r="R395" s="9" t="s">
        <v>30</v>
      </c>
      <c r="S395" s="9">
        <f>COUNTIF(D395,"*_SEG_*")</f>
        <v>1</v>
      </c>
      <c r="T395" s="9">
        <f>COUNTIF(D395,"*_MAN_*")</f>
        <v>0</v>
      </c>
      <c r="U395" s="9">
        <f>(RIGHT(D395,4))*1</f>
        <v>180</v>
      </c>
      <c r="V395" s="9" t="str">
        <f>IFERROR(VLOOKUP(I395,#REF!,2,0),"Sinalização")</f>
        <v>Sinalização</v>
      </c>
    </row>
    <row r="396" spans="1:22" x14ac:dyDescent="0.25">
      <c r="A396" s="3" t="s">
        <v>22</v>
      </c>
      <c r="B396" s="4">
        <v>23123395</v>
      </c>
      <c r="C396" s="5" t="s">
        <v>23</v>
      </c>
      <c r="D396" s="6" t="s">
        <v>213</v>
      </c>
      <c r="E396" s="6" t="s">
        <v>25</v>
      </c>
      <c r="F396" s="11">
        <v>46167</v>
      </c>
      <c r="G396" s="6" t="s">
        <v>1079</v>
      </c>
      <c r="H396" s="7" t="s">
        <v>26</v>
      </c>
      <c r="I396" s="7" t="s">
        <v>451</v>
      </c>
      <c r="J396" s="7" t="s">
        <v>215</v>
      </c>
      <c r="K396" s="7" t="s">
        <v>29</v>
      </c>
      <c r="L396" s="3" t="str">
        <f>E396&amp;D396</f>
        <v>E.SP.IPAEE_MAN_CONF_S_I_CIRCUITO VIA CA_0180</v>
      </c>
      <c r="M396" s="3" t="str">
        <f>IFERROR(MID(D396,SEARCH("S_I_",D396,1),3),"")</f>
        <v>S_I</v>
      </c>
      <c r="N396" s="3" t="str">
        <f>IFERROR(MID(D396,SEARCH("C_I_",D396,1),3),"")</f>
        <v/>
      </c>
      <c r="O396" s="3" t="str">
        <f>IF(AND(M396="",N396=""),"Extra","")</f>
        <v/>
      </c>
      <c r="P396" s="3" t="str">
        <f>IF(Q396=0,"TERCEIRO","MRS")</f>
        <v>MRS</v>
      </c>
      <c r="Q396" s="8" t="str">
        <f>IFERROR(VLOOKUP(L396,#REF!,4,0),"0,00")</f>
        <v>0,00</v>
      </c>
      <c r="R396" s="9" t="s">
        <v>98</v>
      </c>
      <c r="S396" s="9">
        <f>COUNTIF(D396,"*_SEG_*")</f>
        <v>0</v>
      </c>
      <c r="T396" s="9">
        <f>COUNTIF(D396,"*_MAN_*")</f>
        <v>1</v>
      </c>
      <c r="U396" s="9">
        <f>(RIGHT(D396,4))*1</f>
        <v>180</v>
      </c>
      <c r="V396" s="9" t="str">
        <f>IFERROR(VLOOKUP(I396,#REF!,2,0),"Sinalização")</f>
        <v>Sinalização</v>
      </c>
    </row>
    <row r="397" spans="1:22" x14ac:dyDescent="0.25">
      <c r="A397" s="3" t="s">
        <v>22</v>
      </c>
      <c r="B397" s="4">
        <v>23123798</v>
      </c>
      <c r="C397" s="5" t="s">
        <v>23</v>
      </c>
      <c r="D397" s="6" t="s">
        <v>397</v>
      </c>
      <c r="E397" s="6" t="s">
        <v>25</v>
      </c>
      <c r="F397" s="11">
        <v>46167</v>
      </c>
      <c r="G397" s="6" t="s">
        <v>1079</v>
      </c>
      <c r="H397" s="7" t="s">
        <v>32</v>
      </c>
      <c r="I397" s="7" t="s">
        <v>448</v>
      </c>
      <c r="J397" s="7" t="s">
        <v>398</v>
      </c>
      <c r="K397" s="7" t="s">
        <v>29</v>
      </c>
      <c r="L397" s="3" t="str">
        <f>E397&amp;D397</f>
        <v>E.SP.IPAEE_INS_CONF_S_I_BL INT RELÉ S/ BAT_0180</v>
      </c>
      <c r="M397" s="3" t="str">
        <f>IFERROR(MID(D397,SEARCH("S_I_",D397,1),3),"")</f>
        <v>S_I</v>
      </c>
      <c r="N397" s="3" t="str">
        <f>IFERROR(MID(D397,SEARCH("C_I_",D397,1),3),"")</f>
        <v/>
      </c>
      <c r="O397" s="3" t="str">
        <f>IF(AND(M397="",N397=""),"Extra","")</f>
        <v/>
      </c>
      <c r="P397" s="3" t="str">
        <f>IF(Q397=0,"TERCEIRO","MRS")</f>
        <v>MRS</v>
      </c>
      <c r="Q397" s="8" t="str">
        <f>IFERROR(VLOOKUP(L397,#REF!,4,0),"0,00")</f>
        <v>0,00</v>
      </c>
      <c r="R397" s="9" t="s">
        <v>42</v>
      </c>
      <c r="S397" s="9">
        <f>COUNTIF(D397,"*_SEG_*")</f>
        <v>0</v>
      </c>
      <c r="T397" s="9">
        <f>COUNTIF(D397,"*_MAN_*")</f>
        <v>0</v>
      </c>
      <c r="U397" s="9">
        <f>(RIGHT(D397,4))*1</f>
        <v>180</v>
      </c>
      <c r="V397" s="9" t="str">
        <f>IFERROR(VLOOKUP(I397,#REF!,2,0),"Sinalização")</f>
        <v>Sinalização</v>
      </c>
    </row>
    <row r="398" spans="1:22" x14ac:dyDescent="0.25">
      <c r="A398" s="3" t="s">
        <v>22</v>
      </c>
      <c r="B398" s="4">
        <v>23123836</v>
      </c>
      <c r="C398" s="5" t="s">
        <v>23</v>
      </c>
      <c r="D398" s="6" t="s">
        <v>246</v>
      </c>
      <c r="E398" s="6" t="s">
        <v>25</v>
      </c>
      <c r="F398" s="11">
        <v>46167</v>
      </c>
      <c r="G398" s="6" t="s">
        <v>1079</v>
      </c>
      <c r="H398" s="7" t="s">
        <v>32</v>
      </c>
      <c r="I398" s="7" t="s">
        <v>446</v>
      </c>
      <c r="J398" s="7" t="s">
        <v>248</v>
      </c>
      <c r="K398" s="7" t="s">
        <v>29</v>
      </c>
      <c r="L398" s="3" t="str">
        <f>E398&amp;D398</f>
        <v>E.SP.IPAEE_INS_CONF_C_I_MCH 110V GRS 55BR R_0180</v>
      </c>
      <c r="M398" s="3" t="str">
        <f>IFERROR(MID(D398,SEARCH("S_I_",D398,1),3),"")</f>
        <v/>
      </c>
      <c r="N398" s="3" t="str">
        <f>IFERROR(MID(D398,SEARCH("C_I_",D398,1),3),"")</f>
        <v>C_I</v>
      </c>
      <c r="O398" s="3" t="str">
        <f>IF(AND(M398="",N398=""),"Extra","")</f>
        <v/>
      </c>
      <c r="P398" s="3" t="str">
        <f>IF(Q398=0,"TERCEIRO","MRS")</f>
        <v>MRS</v>
      </c>
      <c r="Q398" s="8" t="str">
        <f>IFERROR(VLOOKUP(L398,#REF!,4,0),"0,00")</f>
        <v>0,00</v>
      </c>
      <c r="R398" s="9" t="s">
        <v>42</v>
      </c>
      <c r="S398" s="9">
        <f>COUNTIF(D398,"*_SEG_*")</f>
        <v>0</v>
      </c>
      <c r="T398" s="9">
        <f>COUNTIF(D398,"*_MAN_*")</f>
        <v>0</v>
      </c>
      <c r="U398" s="9">
        <f>(RIGHT(D398,4))*1</f>
        <v>180</v>
      </c>
      <c r="V398" s="9" t="str">
        <f>IFERROR(VLOOKUP(I398,#REF!,2,0),"Sinalização")</f>
        <v>Sinalização</v>
      </c>
    </row>
    <row r="399" spans="1:22" x14ac:dyDescent="0.25">
      <c r="A399" s="3" t="s">
        <v>22</v>
      </c>
      <c r="B399" s="4">
        <v>23123902</v>
      </c>
      <c r="C399" s="5" t="s">
        <v>23</v>
      </c>
      <c r="D399" s="6" t="s">
        <v>135</v>
      </c>
      <c r="E399" s="6" t="s">
        <v>25</v>
      </c>
      <c r="F399" s="11">
        <v>46167</v>
      </c>
      <c r="G399" s="6" t="s">
        <v>1079</v>
      </c>
      <c r="H399" s="7" t="s">
        <v>26</v>
      </c>
      <c r="I399" s="7" t="s">
        <v>452</v>
      </c>
      <c r="J399" s="7" t="s">
        <v>137</v>
      </c>
      <c r="K399" s="7" t="s">
        <v>29</v>
      </c>
      <c r="L399" s="3" t="str">
        <f>E399&amp;D399</f>
        <v>E.SP.IPAEE_MAN_CONF_S_I_MALHA ATERRAMENTO_0360</v>
      </c>
      <c r="M399" s="3" t="str">
        <f>IFERROR(MID(D399,SEARCH("S_I_",D399,1),3),"")</f>
        <v>S_I</v>
      </c>
      <c r="N399" s="3" t="str">
        <f>IFERROR(MID(D399,SEARCH("C_I_",D399,1),3),"")</f>
        <v/>
      </c>
      <c r="O399" s="3" t="str">
        <f>IF(AND(M399="",N399=""),"Extra","")</f>
        <v/>
      </c>
      <c r="P399" s="3" t="str">
        <f>IF(Q399=0,"TERCEIRO","MRS")</f>
        <v>MRS</v>
      </c>
      <c r="Q399" s="8" t="str">
        <f>IFERROR(VLOOKUP(L399,#REF!,4,0),"0,00")</f>
        <v>0,00</v>
      </c>
      <c r="R399" s="9" t="s">
        <v>42</v>
      </c>
      <c r="S399" s="9">
        <f>COUNTIF(D399,"*_SEG_*")</f>
        <v>0</v>
      </c>
      <c r="T399" s="9">
        <f>COUNTIF(D399,"*_MAN_*")</f>
        <v>1</v>
      </c>
      <c r="U399" s="9">
        <f>(RIGHT(D399,4))*1</f>
        <v>360</v>
      </c>
      <c r="V399" s="9" t="str">
        <f>IFERROR(VLOOKUP(I399,#REF!,2,0),"Sinalização")</f>
        <v>Sinalização</v>
      </c>
    </row>
    <row r="400" spans="1:22" x14ac:dyDescent="0.25">
      <c r="A400" s="3" t="s">
        <v>22</v>
      </c>
      <c r="B400" s="4">
        <v>23123903</v>
      </c>
      <c r="C400" s="5" t="s">
        <v>23</v>
      </c>
      <c r="D400" s="6" t="s">
        <v>135</v>
      </c>
      <c r="E400" s="6" t="s">
        <v>25</v>
      </c>
      <c r="F400" s="11">
        <v>46167</v>
      </c>
      <c r="G400" s="6" t="s">
        <v>1079</v>
      </c>
      <c r="H400" s="7" t="s">
        <v>26</v>
      </c>
      <c r="I400" s="7" t="s">
        <v>453</v>
      </c>
      <c r="J400" s="7" t="s">
        <v>137</v>
      </c>
      <c r="K400" s="7" t="s">
        <v>29</v>
      </c>
      <c r="L400" s="3" t="str">
        <f>E400&amp;D400</f>
        <v>E.SP.IPAEE_MAN_CONF_S_I_MALHA ATERRAMENTO_0360</v>
      </c>
      <c r="M400" s="3" t="str">
        <f>IFERROR(MID(D400,SEARCH("S_I_",D400,1),3),"")</f>
        <v>S_I</v>
      </c>
      <c r="N400" s="3" t="str">
        <f>IFERROR(MID(D400,SEARCH("C_I_",D400,1),3),"")</f>
        <v/>
      </c>
      <c r="O400" s="3" t="str">
        <f>IF(AND(M400="",N400=""),"Extra","")</f>
        <v/>
      </c>
      <c r="P400" s="3" t="str">
        <f>IF(Q400=0,"TERCEIRO","MRS")</f>
        <v>MRS</v>
      </c>
      <c r="Q400" s="8" t="str">
        <f>IFERROR(VLOOKUP(L400,#REF!,4,0),"0,00")</f>
        <v>0,00</v>
      </c>
      <c r="R400" s="9" t="s">
        <v>42</v>
      </c>
      <c r="S400" s="9">
        <f>COUNTIF(D400,"*_SEG_*")</f>
        <v>0</v>
      </c>
      <c r="T400" s="9">
        <f>COUNTIF(D400,"*_MAN_*")</f>
        <v>1</v>
      </c>
      <c r="U400" s="9">
        <f>(RIGHT(D400,4))*1</f>
        <v>360</v>
      </c>
      <c r="V400" s="9" t="str">
        <f>IFERROR(VLOOKUP(I400,#REF!,2,0),"Sinalização")</f>
        <v>Sinalização</v>
      </c>
    </row>
    <row r="401" spans="1:22" x14ac:dyDescent="0.25">
      <c r="A401" s="3" t="s">
        <v>22</v>
      </c>
      <c r="B401" s="4">
        <v>23123904</v>
      </c>
      <c r="C401" s="5" t="s">
        <v>23</v>
      </c>
      <c r="D401" s="6" t="s">
        <v>135</v>
      </c>
      <c r="E401" s="6" t="s">
        <v>25</v>
      </c>
      <c r="F401" s="11">
        <v>46167</v>
      </c>
      <c r="G401" s="6" t="s">
        <v>1079</v>
      </c>
      <c r="H401" s="7" t="s">
        <v>32</v>
      </c>
      <c r="I401" s="7" t="s">
        <v>454</v>
      </c>
      <c r="J401" s="7" t="s">
        <v>137</v>
      </c>
      <c r="K401" s="7" t="s">
        <v>29</v>
      </c>
      <c r="L401" s="3" t="str">
        <f>E401&amp;D401</f>
        <v>E.SP.IPAEE_MAN_CONF_S_I_MALHA ATERRAMENTO_0360</v>
      </c>
      <c r="M401" s="3" t="str">
        <f>IFERROR(MID(D401,SEARCH("S_I_",D401,1),3),"")</f>
        <v>S_I</v>
      </c>
      <c r="N401" s="3" t="str">
        <f>IFERROR(MID(D401,SEARCH("C_I_",D401,1),3),"")</f>
        <v/>
      </c>
      <c r="O401" s="3" t="str">
        <f>IF(AND(M401="",N401=""),"Extra","")</f>
        <v/>
      </c>
      <c r="P401" s="3" t="str">
        <f>IF(Q401=0,"TERCEIRO","MRS")</f>
        <v>MRS</v>
      </c>
      <c r="Q401" s="8" t="str">
        <f>IFERROR(VLOOKUP(L401,#REF!,4,0),"0,00")</f>
        <v>0,00</v>
      </c>
      <c r="R401" s="9" t="s">
        <v>42</v>
      </c>
      <c r="S401" s="9">
        <f>COUNTIF(D401,"*_SEG_*")</f>
        <v>0</v>
      </c>
      <c r="T401" s="9">
        <f>COUNTIF(D401,"*_MAN_*")</f>
        <v>1</v>
      </c>
      <c r="U401" s="9">
        <f>(RIGHT(D401,4))*1</f>
        <v>360</v>
      </c>
      <c r="V401" s="9" t="str">
        <f>IFERROR(VLOOKUP(I401,#REF!,2,0),"Sinalização")</f>
        <v>Sinalização</v>
      </c>
    </row>
    <row r="402" spans="1:22" x14ac:dyDescent="0.25">
      <c r="A402" s="3" t="s">
        <v>22</v>
      </c>
      <c r="B402" s="4">
        <v>23123905</v>
      </c>
      <c r="C402" s="5" t="s">
        <v>23</v>
      </c>
      <c r="D402" s="6" t="s">
        <v>135</v>
      </c>
      <c r="E402" s="6" t="s">
        <v>25</v>
      </c>
      <c r="F402" s="11">
        <v>46167</v>
      </c>
      <c r="G402" s="6" t="s">
        <v>1079</v>
      </c>
      <c r="H402" s="7" t="s">
        <v>32</v>
      </c>
      <c r="I402" s="7" t="s">
        <v>455</v>
      </c>
      <c r="J402" s="7" t="s">
        <v>137</v>
      </c>
      <c r="K402" s="7" t="s">
        <v>29</v>
      </c>
      <c r="L402" s="3" t="str">
        <f>E402&amp;D402</f>
        <v>E.SP.IPAEE_MAN_CONF_S_I_MALHA ATERRAMENTO_0360</v>
      </c>
      <c r="M402" s="3" t="str">
        <f>IFERROR(MID(D402,SEARCH("S_I_",D402,1),3),"")</f>
        <v>S_I</v>
      </c>
      <c r="N402" s="3" t="str">
        <f>IFERROR(MID(D402,SEARCH("C_I_",D402,1),3),"")</f>
        <v/>
      </c>
      <c r="O402" s="3" t="str">
        <f>IF(AND(M402="",N402=""),"Extra","")</f>
        <v/>
      </c>
      <c r="P402" s="3" t="str">
        <f>IF(Q402=0,"TERCEIRO","MRS")</f>
        <v>MRS</v>
      </c>
      <c r="Q402" s="8" t="str">
        <f>IFERROR(VLOOKUP(L402,#REF!,4,0),"0,00")</f>
        <v>0,00</v>
      </c>
      <c r="R402" s="9" t="s">
        <v>42</v>
      </c>
      <c r="S402" s="9">
        <f>COUNTIF(D402,"*_SEG_*")</f>
        <v>0</v>
      </c>
      <c r="T402" s="9">
        <f>COUNTIF(D402,"*_MAN_*")</f>
        <v>1</v>
      </c>
      <c r="U402" s="9">
        <f>(RIGHT(D402,4))*1</f>
        <v>360</v>
      </c>
      <c r="V402" s="9" t="str">
        <f>IFERROR(VLOOKUP(I402,#REF!,2,0),"Sinalização")</f>
        <v>Sinalização</v>
      </c>
    </row>
    <row r="403" spans="1:22" x14ac:dyDescent="0.25">
      <c r="A403" s="3" t="s">
        <v>22</v>
      </c>
      <c r="B403" s="4">
        <v>23124066</v>
      </c>
      <c r="C403" s="5" t="s">
        <v>23</v>
      </c>
      <c r="D403" s="6" t="s">
        <v>255</v>
      </c>
      <c r="E403" s="6" t="s">
        <v>25</v>
      </c>
      <c r="F403" s="11">
        <v>46167</v>
      </c>
      <c r="G403" s="6" t="s">
        <v>1079</v>
      </c>
      <c r="H403" s="7" t="s">
        <v>26</v>
      </c>
      <c r="I403" s="7" t="s">
        <v>456</v>
      </c>
      <c r="J403" s="7" t="s">
        <v>257</v>
      </c>
      <c r="K403" s="7" t="s">
        <v>29</v>
      </c>
      <c r="L403" s="3" t="str">
        <f>E403&amp;D403</f>
        <v>E.SP.IPAEE_INS_CONF_S_I_MCH 110V GRS 55BR R_0180</v>
      </c>
      <c r="M403" s="3" t="str">
        <f>IFERROR(MID(D403,SEARCH("S_I_",D403,1),3),"")</f>
        <v>S_I</v>
      </c>
      <c r="N403" s="3" t="str">
        <f>IFERROR(MID(D403,SEARCH("C_I_",D403,1),3),"")</f>
        <v/>
      </c>
      <c r="O403" s="3" t="str">
        <f>IF(AND(M403="",N403=""),"Extra","")</f>
        <v/>
      </c>
      <c r="P403" s="3" t="str">
        <f>IF(Q403=0,"TERCEIRO","MRS")</f>
        <v>MRS</v>
      </c>
      <c r="Q403" s="8" t="str">
        <f>IFERROR(VLOOKUP(L403,#REF!,4,0),"0,00")</f>
        <v>0,00</v>
      </c>
      <c r="R403" s="9" t="s">
        <v>42</v>
      </c>
      <c r="S403" s="9">
        <f>COUNTIF(D403,"*_SEG_*")</f>
        <v>0</v>
      </c>
      <c r="T403" s="9">
        <f>COUNTIF(D403,"*_MAN_*")</f>
        <v>0</v>
      </c>
      <c r="U403" s="9">
        <f>(RIGHT(D403,4))*1</f>
        <v>180</v>
      </c>
      <c r="V403" s="9" t="str">
        <f>IFERROR(VLOOKUP(I403,#REF!,2,0),"Sinalização")</f>
        <v>Sinalização</v>
      </c>
    </row>
    <row r="404" spans="1:22" x14ac:dyDescent="0.25">
      <c r="A404" s="3" t="s">
        <v>22</v>
      </c>
      <c r="B404" s="4">
        <v>23124067</v>
      </c>
      <c r="C404" s="5" t="s">
        <v>23</v>
      </c>
      <c r="D404" s="6" t="s">
        <v>255</v>
      </c>
      <c r="E404" s="6" t="s">
        <v>25</v>
      </c>
      <c r="F404" s="11">
        <v>46167</v>
      </c>
      <c r="G404" s="6" t="s">
        <v>1079</v>
      </c>
      <c r="H404" s="7" t="s">
        <v>26</v>
      </c>
      <c r="I404" s="7" t="s">
        <v>446</v>
      </c>
      <c r="J404" s="7" t="s">
        <v>257</v>
      </c>
      <c r="K404" s="7" t="s">
        <v>29</v>
      </c>
      <c r="L404" s="3" t="str">
        <f>E404&amp;D404</f>
        <v>E.SP.IPAEE_INS_CONF_S_I_MCH 110V GRS 55BR R_0180</v>
      </c>
      <c r="M404" s="3" t="str">
        <f>IFERROR(MID(D404,SEARCH("S_I_",D404,1),3),"")</f>
        <v>S_I</v>
      </c>
      <c r="N404" s="3" t="str">
        <f>IFERROR(MID(D404,SEARCH("C_I_",D404,1),3),"")</f>
        <v/>
      </c>
      <c r="O404" s="3" t="str">
        <f>IF(AND(M404="",N404=""),"Extra","")</f>
        <v/>
      </c>
      <c r="P404" s="3" t="str">
        <f>IF(Q404=0,"TERCEIRO","MRS")</f>
        <v>MRS</v>
      </c>
      <c r="Q404" s="8" t="str">
        <f>IFERROR(VLOOKUP(L404,#REF!,4,0),"0,00")</f>
        <v>0,00</v>
      </c>
      <c r="R404" s="9" t="s">
        <v>42</v>
      </c>
      <c r="S404" s="9">
        <f>COUNTIF(D404,"*_SEG_*")</f>
        <v>0</v>
      </c>
      <c r="T404" s="9">
        <f>COUNTIF(D404,"*_MAN_*")</f>
        <v>0</v>
      </c>
      <c r="U404" s="9">
        <f>(RIGHT(D404,4))*1</f>
        <v>180</v>
      </c>
      <c r="V404" s="9" t="str">
        <f>IFERROR(VLOOKUP(I404,#REF!,2,0),"Sinalização")</f>
        <v>Sinalização</v>
      </c>
    </row>
    <row r="405" spans="1:22" x14ac:dyDescent="0.25">
      <c r="A405" s="3" t="s">
        <v>22</v>
      </c>
      <c r="B405" s="4">
        <v>23124328</v>
      </c>
      <c r="C405" s="5" t="s">
        <v>23</v>
      </c>
      <c r="D405" s="6" t="s">
        <v>259</v>
      </c>
      <c r="E405" s="6" t="s">
        <v>25</v>
      </c>
      <c r="F405" s="11">
        <v>46167</v>
      </c>
      <c r="G405" s="6" t="s">
        <v>1079</v>
      </c>
      <c r="H405" s="7" t="s">
        <v>32</v>
      </c>
      <c r="I405" s="7" t="s">
        <v>457</v>
      </c>
      <c r="J405" s="7" t="s">
        <v>261</v>
      </c>
      <c r="K405" s="7" t="s">
        <v>29</v>
      </c>
      <c r="L405" s="3" t="str">
        <f>E405&amp;D405</f>
        <v>E.SP.IPAEE_INS_SEG_S_I_BL INT RELÉ S/ BAT_0180</v>
      </c>
      <c r="M405" s="3" t="str">
        <f>IFERROR(MID(D405,SEARCH("S_I_",D405,1),3),"")</f>
        <v>S_I</v>
      </c>
      <c r="N405" s="3" t="str">
        <f>IFERROR(MID(D405,SEARCH("C_I_",D405,1),3),"")</f>
        <v/>
      </c>
      <c r="O405" s="3" t="str">
        <f>IF(AND(M405="",N405=""),"Extra","")</f>
        <v/>
      </c>
      <c r="P405" s="3" t="str">
        <f>IF(Q405=0,"TERCEIRO","MRS")</f>
        <v>MRS</v>
      </c>
      <c r="Q405" s="8" t="str">
        <f>IFERROR(VLOOKUP(L405,#REF!,4,0),"0,00")</f>
        <v>0,00</v>
      </c>
      <c r="R405" s="9" t="s">
        <v>30</v>
      </c>
      <c r="S405" s="9">
        <f>COUNTIF(D405,"*_SEG_*")</f>
        <v>1</v>
      </c>
      <c r="T405" s="9">
        <f>COUNTIF(D405,"*_MAN_*")</f>
        <v>0</v>
      </c>
      <c r="U405" s="9">
        <f>(RIGHT(D405,4))*1</f>
        <v>180</v>
      </c>
      <c r="V405" s="9" t="str">
        <f>IFERROR(VLOOKUP(I405,#REF!,2,0),"Sinalização")</f>
        <v>Sinalização</v>
      </c>
    </row>
    <row r="406" spans="1:22" x14ac:dyDescent="0.25">
      <c r="A406" s="3" t="s">
        <v>22</v>
      </c>
      <c r="B406" s="4">
        <v>23124329</v>
      </c>
      <c r="C406" s="5" t="s">
        <v>23</v>
      </c>
      <c r="D406" s="6" t="s">
        <v>259</v>
      </c>
      <c r="E406" s="6" t="s">
        <v>25</v>
      </c>
      <c r="F406" s="11">
        <v>46167</v>
      </c>
      <c r="G406" s="6" t="s">
        <v>1079</v>
      </c>
      <c r="H406" s="7" t="s">
        <v>32</v>
      </c>
      <c r="I406" s="7" t="s">
        <v>458</v>
      </c>
      <c r="J406" s="7" t="s">
        <v>261</v>
      </c>
      <c r="K406" s="7" t="s">
        <v>29</v>
      </c>
      <c r="L406" s="3" t="str">
        <f>E406&amp;D406</f>
        <v>E.SP.IPAEE_INS_SEG_S_I_BL INT RELÉ S/ BAT_0180</v>
      </c>
      <c r="M406" s="3" t="str">
        <f>IFERROR(MID(D406,SEARCH("S_I_",D406,1),3),"")</f>
        <v>S_I</v>
      </c>
      <c r="N406" s="3" t="str">
        <f>IFERROR(MID(D406,SEARCH("C_I_",D406,1),3),"")</f>
        <v/>
      </c>
      <c r="O406" s="3" t="str">
        <f>IF(AND(M406="",N406=""),"Extra","")</f>
        <v/>
      </c>
      <c r="P406" s="3" t="str">
        <f>IF(Q406=0,"TERCEIRO","MRS")</f>
        <v>MRS</v>
      </c>
      <c r="Q406" s="8" t="str">
        <f>IFERROR(VLOOKUP(L406,#REF!,4,0),"0,00")</f>
        <v>0,00</v>
      </c>
      <c r="R406" s="9" t="s">
        <v>30</v>
      </c>
      <c r="S406" s="9">
        <f>COUNTIF(D406,"*_SEG_*")</f>
        <v>1</v>
      </c>
      <c r="T406" s="9">
        <f>COUNTIF(D406,"*_MAN_*")</f>
        <v>0</v>
      </c>
      <c r="U406" s="9">
        <f>(RIGHT(D406,4))*1</f>
        <v>180</v>
      </c>
      <c r="V406" s="9" t="str">
        <f>IFERROR(VLOOKUP(I406,#REF!,2,0),"Sinalização")</f>
        <v>Sinalização</v>
      </c>
    </row>
    <row r="407" spans="1:22" x14ac:dyDescent="0.25">
      <c r="A407" s="3" t="s">
        <v>22</v>
      </c>
      <c r="B407" s="4">
        <v>23124330</v>
      </c>
      <c r="C407" s="5" t="s">
        <v>23</v>
      </c>
      <c r="D407" s="6" t="s">
        <v>259</v>
      </c>
      <c r="E407" s="6" t="s">
        <v>25</v>
      </c>
      <c r="F407" s="11">
        <v>46167</v>
      </c>
      <c r="G407" s="6" t="s">
        <v>1079</v>
      </c>
      <c r="H407" s="7" t="s">
        <v>26</v>
      </c>
      <c r="I407" s="7" t="s">
        <v>459</v>
      </c>
      <c r="J407" s="7" t="s">
        <v>261</v>
      </c>
      <c r="K407" s="7" t="s">
        <v>29</v>
      </c>
      <c r="L407" s="3" t="str">
        <f>E407&amp;D407</f>
        <v>E.SP.IPAEE_INS_SEG_S_I_BL INT RELÉ S/ BAT_0180</v>
      </c>
      <c r="M407" s="3" t="str">
        <f>IFERROR(MID(D407,SEARCH("S_I_",D407,1),3),"")</f>
        <v>S_I</v>
      </c>
      <c r="N407" s="3" t="str">
        <f>IFERROR(MID(D407,SEARCH("C_I_",D407,1),3),"")</f>
        <v/>
      </c>
      <c r="O407" s="3" t="str">
        <f>IF(AND(M407="",N407=""),"Extra","")</f>
        <v/>
      </c>
      <c r="P407" s="3" t="str">
        <f>IF(Q407=0,"TERCEIRO","MRS")</f>
        <v>MRS</v>
      </c>
      <c r="Q407" s="8" t="str">
        <f>IFERROR(VLOOKUP(L407,#REF!,4,0),"0,00")</f>
        <v>0,00</v>
      </c>
      <c r="R407" s="9" t="s">
        <v>30</v>
      </c>
      <c r="S407" s="9">
        <f>COUNTIF(D407,"*_SEG_*")</f>
        <v>1</v>
      </c>
      <c r="T407" s="9">
        <f>COUNTIF(D407,"*_MAN_*")</f>
        <v>0</v>
      </c>
      <c r="U407" s="9">
        <f>(RIGHT(D407,4))*1</f>
        <v>180</v>
      </c>
      <c r="V407" s="9" t="str">
        <f>IFERROR(VLOOKUP(I407,#REF!,2,0),"Sinalização")</f>
        <v>Sinalização</v>
      </c>
    </row>
    <row r="408" spans="1:22" x14ac:dyDescent="0.25">
      <c r="A408" s="3" t="s">
        <v>22</v>
      </c>
      <c r="B408" s="4">
        <v>23124331</v>
      </c>
      <c r="C408" s="5" t="s">
        <v>23</v>
      </c>
      <c r="D408" s="6" t="s">
        <v>259</v>
      </c>
      <c r="E408" s="6" t="s">
        <v>25</v>
      </c>
      <c r="F408" s="11">
        <v>46167</v>
      </c>
      <c r="G408" s="6" t="s">
        <v>1079</v>
      </c>
      <c r="H408" s="7" t="s">
        <v>26</v>
      </c>
      <c r="I408" s="7" t="s">
        <v>448</v>
      </c>
      <c r="J408" s="7" t="s">
        <v>261</v>
      </c>
      <c r="K408" s="7" t="s">
        <v>29</v>
      </c>
      <c r="L408" s="3" t="str">
        <f>E408&amp;D408</f>
        <v>E.SP.IPAEE_INS_SEG_S_I_BL INT RELÉ S/ BAT_0180</v>
      </c>
      <c r="M408" s="3" t="str">
        <f>IFERROR(MID(D408,SEARCH("S_I_",D408,1),3),"")</f>
        <v>S_I</v>
      </c>
      <c r="N408" s="3" t="str">
        <f>IFERROR(MID(D408,SEARCH("C_I_",D408,1),3),"")</f>
        <v/>
      </c>
      <c r="O408" s="3" t="str">
        <f>IF(AND(M408="",N408=""),"Extra","")</f>
        <v/>
      </c>
      <c r="P408" s="3" t="str">
        <f>IF(Q408=0,"TERCEIRO","MRS")</f>
        <v>MRS</v>
      </c>
      <c r="Q408" s="8" t="str">
        <f>IFERROR(VLOOKUP(L408,#REF!,4,0),"0,00")</f>
        <v>0,00</v>
      </c>
      <c r="R408" s="9" t="s">
        <v>30</v>
      </c>
      <c r="S408" s="9">
        <f>COUNTIF(D408,"*_SEG_*")</f>
        <v>1</v>
      </c>
      <c r="T408" s="9">
        <f>COUNTIF(D408,"*_MAN_*")</f>
        <v>0</v>
      </c>
      <c r="U408" s="9">
        <f>(RIGHT(D408,4))*1</f>
        <v>180</v>
      </c>
      <c r="V408" s="9" t="str">
        <f>IFERROR(VLOOKUP(I408,#REF!,2,0),"Sinalização")</f>
        <v>Sinalização</v>
      </c>
    </row>
    <row r="409" spans="1:22" x14ac:dyDescent="0.25">
      <c r="A409" s="3" t="s">
        <v>22</v>
      </c>
      <c r="B409" s="4">
        <v>23125585</v>
      </c>
      <c r="C409" s="5" t="s">
        <v>23</v>
      </c>
      <c r="D409" s="6" t="s">
        <v>460</v>
      </c>
      <c r="E409" s="6" t="s">
        <v>25</v>
      </c>
      <c r="F409" s="11">
        <v>46167</v>
      </c>
      <c r="G409" s="6" t="s">
        <v>1079</v>
      </c>
      <c r="H409" s="7" t="s">
        <v>32</v>
      </c>
      <c r="I409" s="7" t="s">
        <v>461</v>
      </c>
      <c r="J409" s="7" t="s">
        <v>462</v>
      </c>
      <c r="K409" s="7" t="s">
        <v>29</v>
      </c>
      <c r="L409" s="3" t="str">
        <f>E409&amp;D409</f>
        <v>E.SP.IPAEE_INS_CONF_S_I_33 KV CREMALHEIRA_0180</v>
      </c>
      <c r="M409" s="3" t="str">
        <f>IFERROR(MID(D409,SEARCH("S_I_",D409,1),3),"")</f>
        <v>S_I</v>
      </c>
      <c r="N409" s="3" t="str">
        <f>IFERROR(MID(D409,SEARCH("C_I_",D409,1),3),"")</f>
        <v/>
      </c>
      <c r="O409" s="3" t="str">
        <f>IF(AND(M409="",N409=""),"Extra","")</f>
        <v/>
      </c>
      <c r="P409" s="3" t="str">
        <f>IF(Q409=0,"TERCEIRO","MRS")</f>
        <v>MRS</v>
      </c>
      <c r="Q409" s="8" t="str">
        <f>IFERROR(VLOOKUP(L409,#REF!,4,0),"0,00")</f>
        <v>0,00</v>
      </c>
      <c r="R409" s="9" t="s">
        <v>42</v>
      </c>
      <c r="S409" s="9">
        <f>COUNTIF(D409,"*_SEG_*")</f>
        <v>0</v>
      </c>
      <c r="T409" s="9">
        <f>COUNTIF(D409,"*_MAN_*")</f>
        <v>0</v>
      </c>
      <c r="U409" s="9">
        <f>(RIGHT(D409,4))*1</f>
        <v>180</v>
      </c>
      <c r="V409" s="9" t="str">
        <f>IFERROR(VLOOKUP(I409,#REF!,2,0),"Sinalização")</f>
        <v>Sinalização</v>
      </c>
    </row>
    <row r="410" spans="1:22" x14ac:dyDescent="0.25">
      <c r="A410" s="3" t="s">
        <v>22</v>
      </c>
      <c r="B410" s="4">
        <v>23125586</v>
      </c>
      <c r="C410" s="5" t="s">
        <v>23</v>
      </c>
      <c r="D410" s="6" t="s">
        <v>460</v>
      </c>
      <c r="E410" s="6" t="s">
        <v>25</v>
      </c>
      <c r="F410" s="11">
        <v>46167</v>
      </c>
      <c r="G410" s="6" t="s">
        <v>1079</v>
      </c>
      <c r="H410" s="7" t="s">
        <v>32</v>
      </c>
      <c r="I410" s="7" t="s">
        <v>463</v>
      </c>
      <c r="J410" s="7" t="s">
        <v>462</v>
      </c>
      <c r="K410" s="7" t="s">
        <v>29</v>
      </c>
      <c r="L410" s="3" t="str">
        <f>E410&amp;D410</f>
        <v>E.SP.IPAEE_INS_CONF_S_I_33 KV CREMALHEIRA_0180</v>
      </c>
      <c r="M410" s="3" t="str">
        <f>IFERROR(MID(D410,SEARCH("S_I_",D410,1),3),"")</f>
        <v>S_I</v>
      </c>
      <c r="N410" s="3" t="str">
        <f>IFERROR(MID(D410,SEARCH("C_I_",D410,1),3),"")</f>
        <v/>
      </c>
      <c r="O410" s="3" t="str">
        <f>IF(AND(M410="",N410=""),"Extra","")</f>
        <v/>
      </c>
      <c r="P410" s="3" t="str">
        <f>IF(Q410=0,"TERCEIRO","MRS")</f>
        <v>MRS</v>
      </c>
      <c r="Q410" s="8" t="str">
        <f>IFERROR(VLOOKUP(L410,#REF!,4,0),"0,00")</f>
        <v>0,00</v>
      </c>
      <c r="R410" s="9" t="s">
        <v>42</v>
      </c>
      <c r="S410" s="9">
        <f>COUNTIF(D410,"*_SEG_*")</f>
        <v>0</v>
      </c>
      <c r="T410" s="9">
        <f>COUNTIF(D410,"*_MAN_*")</f>
        <v>0</v>
      </c>
      <c r="U410" s="9">
        <f>(RIGHT(D410,4))*1</f>
        <v>180</v>
      </c>
      <c r="V410" s="9" t="str">
        <f>IFERROR(VLOOKUP(I410,#REF!,2,0),"Sinalização")</f>
        <v>Sinalização</v>
      </c>
    </row>
    <row r="411" spans="1:22" x14ac:dyDescent="0.25">
      <c r="A411" s="3" t="s">
        <v>22</v>
      </c>
      <c r="B411" s="4">
        <v>23125587</v>
      </c>
      <c r="C411" s="5" t="s">
        <v>23</v>
      </c>
      <c r="D411" s="6" t="s">
        <v>460</v>
      </c>
      <c r="E411" s="6" t="s">
        <v>25</v>
      </c>
      <c r="F411" s="11">
        <v>46167</v>
      </c>
      <c r="G411" s="6" t="s">
        <v>1079</v>
      </c>
      <c r="H411" s="7" t="s">
        <v>26</v>
      </c>
      <c r="I411" s="7" t="s">
        <v>464</v>
      </c>
      <c r="J411" s="7" t="s">
        <v>462</v>
      </c>
      <c r="K411" s="7" t="s">
        <v>29</v>
      </c>
      <c r="L411" s="3" t="str">
        <f>E411&amp;D411</f>
        <v>E.SP.IPAEE_INS_CONF_S_I_33 KV CREMALHEIRA_0180</v>
      </c>
      <c r="M411" s="3" t="str">
        <f>IFERROR(MID(D411,SEARCH("S_I_",D411,1),3),"")</f>
        <v>S_I</v>
      </c>
      <c r="N411" s="3" t="str">
        <f>IFERROR(MID(D411,SEARCH("C_I_",D411,1),3),"")</f>
        <v/>
      </c>
      <c r="O411" s="3" t="str">
        <f>IF(AND(M411="",N411=""),"Extra","")</f>
        <v/>
      </c>
      <c r="P411" s="3" t="str">
        <f>IF(Q411=0,"TERCEIRO","MRS")</f>
        <v>MRS</v>
      </c>
      <c r="Q411" s="8" t="str">
        <f>IFERROR(VLOOKUP(L411,#REF!,4,0),"0,00")</f>
        <v>0,00</v>
      </c>
      <c r="R411" s="9" t="s">
        <v>42</v>
      </c>
      <c r="S411" s="9">
        <f>COUNTIF(D411,"*_SEG_*")</f>
        <v>0</v>
      </c>
      <c r="T411" s="9">
        <f>COUNTIF(D411,"*_MAN_*")</f>
        <v>0</v>
      </c>
      <c r="U411" s="9">
        <f>(RIGHT(D411,4))*1</f>
        <v>180</v>
      </c>
      <c r="V411" s="9" t="str">
        <f>IFERROR(VLOOKUP(I411,#REF!,2,0),"Sinalização")</f>
        <v>Sinalização</v>
      </c>
    </row>
    <row r="412" spans="1:22" x14ac:dyDescent="0.25">
      <c r="A412" s="3" t="s">
        <v>22</v>
      </c>
      <c r="B412" s="4">
        <v>23125588</v>
      </c>
      <c r="C412" s="5" t="s">
        <v>23</v>
      </c>
      <c r="D412" s="6" t="s">
        <v>460</v>
      </c>
      <c r="E412" s="6" t="s">
        <v>25</v>
      </c>
      <c r="F412" s="11">
        <v>46167</v>
      </c>
      <c r="G412" s="6" t="s">
        <v>1079</v>
      </c>
      <c r="H412" s="7" t="s">
        <v>26</v>
      </c>
      <c r="I412" s="7" t="s">
        <v>465</v>
      </c>
      <c r="J412" s="7" t="s">
        <v>462</v>
      </c>
      <c r="K412" s="7" t="s">
        <v>29</v>
      </c>
      <c r="L412" s="3" t="str">
        <f>E412&amp;D412</f>
        <v>E.SP.IPAEE_INS_CONF_S_I_33 KV CREMALHEIRA_0180</v>
      </c>
      <c r="M412" s="3" t="str">
        <f>IFERROR(MID(D412,SEARCH("S_I_",D412,1),3),"")</f>
        <v>S_I</v>
      </c>
      <c r="N412" s="3" t="str">
        <f>IFERROR(MID(D412,SEARCH("C_I_",D412,1),3),"")</f>
        <v/>
      </c>
      <c r="O412" s="3" t="str">
        <f>IF(AND(M412="",N412=""),"Extra","")</f>
        <v/>
      </c>
      <c r="P412" s="3" t="str">
        <f>IF(Q412=0,"TERCEIRO","MRS")</f>
        <v>MRS</v>
      </c>
      <c r="Q412" s="8" t="str">
        <f>IFERROR(VLOOKUP(L412,#REF!,4,0),"0,00")</f>
        <v>0,00</v>
      </c>
      <c r="R412" s="9" t="s">
        <v>42</v>
      </c>
      <c r="S412" s="9">
        <f>COUNTIF(D412,"*_SEG_*")</f>
        <v>0</v>
      </c>
      <c r="T412" s="9">
        <f>COUNTIF(D412,"*_MAN_*")</f>
        <v>0</v>
      </c>
      <c r="U412" s="9">
        <f>(RIGHT(D412,4))*1</f>
        <v>180</v>
      </c>
      <c r="V412" s="9" t="str">
        <f>IFERROR(VLOOKUP(I412,#REF!,2,0),"Sinalização")</f>
        <v>Sinalização</v>
      </c>
    </row>
    <row r="413" spans="1:22" x14ac:dyDescent="0.25">
      <c r="A413" s="3" t="s">
        <v>22</v>
      </c>
      <c r="B413" s="4">
        <v>23125589</v>
      </c>
      <c r="C413" s="5" t="s">
        <v>23</v>
      </c>
      <c r="D413" s="6" t="s">
        <v>460</v>
      </c>
      <c r="E413" s="6" t="s">
        <v>25</v>
      </c>
      <c r="F413" s="11">
        <v>46167</v>
      </c>
      <c r="G413" s="6" t="s">
        <v>1079</v>
      </c>
      <c r="H413" s="7" t="s">
        <v>32</v>
      </c>
      <c r="I413" s="7" t="s">
        <v>466</v>
      </c>
      <c r="J413" s="7" t="s">
        <v>462</v>
      </c>
      <c r="K413" s="7" t="s">
        <v>29</v>
      </c>
      <c r="L413" s="3" t="str">
        <f>E413&amp;D413</f>
        <v>E.SP.IPAEE_INS_CONF_S_I_33 KV CREMALHEIRA_0180</v>
      </c>
      <c r="M413" s="3" t="str">
        <f>IFERROR(MID(D413,SEARCH("S_I_",D413,1),3),"")</f>
        <v>S_I</v>
      </c>
      <c r="N413" s="3" t="str">
        <f>IFERROR(MID(D413,SEARCH("C_I_",D413,1),3),"")</f>
        <v/>
      </c>
      <c r="O413" s="3" t="str">
        <f>IF(AND(M413="",N413=""),"Extra","")</f>
        <v/>
      </c>
      <c r="P413" s="3" t="str">
        <f>IF(Q413=0,"TERCEIRO","MRS")</f>
        <v>MRS</v>
      </c>
      <c r="Q413" s="8" t="str">
        <f>IFERROR(VLOOKUP(L413,#REF!,4,0),"0,00")</f>
        <v>0,00</v>
      </c>
      <c r="R413" s="9" t="s">
        <v>42</v>
      </c>
      <c r="S413" s="9">
        <f>COUNTIF(D413,"*_SEG_*")</f>
        <v>0</v>
      </c>
      <c r="T413" s="9">
        <f>COUNTIF(D413,"*_MAN_*")</f>
        <v>0</v>
      </c>
      <c r="U413" s="9">
        <f>(RIGHT(D413,4))*1</f>
        <v>180</v>
      </c>
      <c r="V413" s="9" t="str">
        <f>IFERROR(VLOOKUP(I413,#REF!,2,0),"Sinalização")</f>
        <v>Sinalização</v>
      </c>
    </row>
    <row r="414" spans="1:22" x14ac:dyDescent="0.25">
      <c r="A414" s="3" t="s">
        <v>22</v>
      </c>
      <c r="B414" s="4">
        <v>23431577</v>
      </c>
      <c r="C414" s="5" t="s">
        <v>23</v>
      </c>
      <c r="D414" s="6" t="s">
        <v>780</v>
      </c>
      <c r="E414" s="6" t="s">
        <v>25</v>
      </c>
      <c r="F414" s="11">
        <v>46166</v>
      </c>
      <c r="G414" s="6" t="s">
        <v>1079</v>
      </c>
      <c r="H414" s="7" t="s">
        <v>32</v>
      </c>
      <c r="I414" s="7" t="s">
        <v>781</v>
      </c>
      <c r="J414" s="7" t="s">
        <v>782</v>
      </c>
      <c r="K414" s="7" t="s">
        <v>29</v>
      </c>
      <c r="L414" s="3" t="str">
        <f>E414&amp;D414</f>
        <v>E.SP.IPAEE_INS_CONF_S_I_SIST GRAV DE MANOB_0060</v>
      </c>
      <c r="M414" s="3" t="str">
        <f>IFERROR(MID(D414,SEARCH("S_I_",D414,1),3),"")</f>
        <v>S_I</v>
      </c>
      <c r="N414" s="3" t="str">
        <f>IFERROR(MID(D414,SEARCH("C_I_",D414,1),3),"")</f>
        <v/>
      </c>
      <c r="O414" s="3" t="str">
        <f>IF(AND(M414="",N414=""),"Extra","")</f>
        <v/>
      </c>
      <c r="P414" s="3" t="str">
        <f>IF(Q414=0,"TERCEIRO","MRS")</f>
        <v>MRS</v>
      </c>
      <c r="Q414" s="8" t="str">
        <f>IFERROR(VLOOKUP(L414,#REF!,4,0),"0,00")</f>
        <v>0,00</v>
      </c>
      <c r="R414" s="9" t="s">
        <v>42</v>
      </c>
      <c r="S414" s="9">
        <f>COUNTIF(D414,"*_SEG_*")</f>
        <v>0</v>
      </c>
      <c r="T414" s="9">
        <f>COUNTIF(D414,"*_MAN_*")</f>
        <v>0</v>
      </c>
      <c r="U414" s="9">
        <f>(RIGHT(D414,4))*1</f>
        <v>60</v>
      </c>
      <c r="V414" s="9" t="str">
        <f>IFERROR(VLOOKUP(I414,#REF!,2,0),"Sinalização")</f>
        <v>Sinalização</v>
      </c>
    </row>
    <row r="415" spans="1:22" x14ac:dyDescent="0.25">
      <c r="A415" s="3" t="s">
        <v>22</v>
      </c>
      <c r="B415" s="4">
        <v>23513183</v>
      </c>
      <c r="C415" s="5" t="s">
        <v>23</v>
      </c>
      <c r="D415" s="6" t="s">
        <v>806</v>
      </c>
      <c r="E415" s="6" t="s">
        <v>25</v>
      </c>
      <c r="F415" s="11">
        <v>46166</v>
      </c>
      <c r="G415" s="6" t="s">
        <v>1079</v>
      </c>
      <c r="H415" s="7" t="s">
        <v>26</v>
      </c>
      <c r="I415" s="7" t="s">
        <v>916</v>
      </c>
      <c r="J415" s="7" t="s">
        <v>807</v>
      </c>
      <c r="K415" s="7" t="s">
        <v>29</v>
      </c>
      <c r="L415" s="3" t="str">
        <f>E415&amp;D415</f>
        <v>E.SP.IPAEE_INS_SEG_C_I_MAQ CHAVE MOLA_0030</v>
      </c>
      <c r="M415" s="3" t="str">
        <f>IFERROR(MID(D415,SEARCH("S_I_",D415,1),3),"")</f>
        <v/>
      </c>
      <c r="N415" s="3" t="str">
        <f>IFERROR(MID(D415,SEARCH("C_I_",D415,1),3),"")</f>
        <v>C_I</v>
      </c>
      <c r="O415" s="3" t="str">
        <f>IF(AND(M415="",N415=""),"Extra","")</f>
        <v/>
      </c>
      <c r="P415" s="3" t="str">
        <f>IF(Q415=0,"TERCEIRO","MRS")</f>
        <v>MRS</v>
      </c>
      <c r="Q415" s="8" t="str">
        <f>IFERROR(VLOOKUP(L415,#REF!,4,0),"0,00")</f>
        <v>0,00</v>
      </c>
      <c r="R415" s="9" t="s">
        <v>30</v>
      </c>
      <c r="S415" s="9">
        <f>COUNTIF(D415,"*_SEG_*")</f>
        <v>1</v>
      </c>
      <c r="T415" s="9">
        <f>COUNTIF(D415,"*_MAN_*")</f>
        <v>0</v>
      </c>
      <c r="U415" s="9">
        <f>(RIGHT(D415,4))*1</f>
        <v>30</v>
      </c>
      <c r="V415" s="9" t="str">
        <f>IFERROR(VLOOKUP(I415,#REF!,2,0),"Sinalização")</f>
        <v>Sinalização</v>
      </c>
    </row>
    <row r="416" spans="1:22" x14ac:dyDescent="0.25">
      <c r="A416" s="3" t="s">
        <v>22</v>
      </c>
      <c r="B416" s="4">
        <v>23513184</v>
      </c>
      <c r="C416" s="5" t="s">
        <v>23</v>
      </c>
      <c r="D416" s="6" t="s">
        <v>806</v>
      </c>
      <c r="E416" s="6" t="s">
        <v>25</v>
      </c>
      <c r="F416" s="11">
        <v>46166</v>
      </c>
      <c r="G416" s="6" t="s">
        <v>1079</v>
      </c>
      <c r="H416" s="7" t="s">
        <v>26</v>
      </c>
      <c r="I416" s="7" t="s">
        <v>27</v>
      </c>
      <c r="J416" s="7" t="s">
        <v>807</v>
      </c>
      <c r="K416" s="7" t="s">
        <v>29</v>
      </c>
      <c r="L416" s="3" t="str">
        <f>E416&amp;D416</f>
        <v>E.SP.IPAEE_INS_SEG_C_I_MAQ CHAVE MOLA_0030</v>
      </c>
      <c r="M416" s="3" t="str">
        <f>IFERROR(MID(D416,SEARCH("S_I_",D416,1),3),"")</f>
        <v/>
      </c>
      <c r="N416" s="3" t="str">
        <f>IFERROR(MID(D416,SEARCH("C_I_",D416,1),3),"")</f>
        <v>C_I</v>
      </c>
      <c r="O416" s="3" t="str">
        <f>IF(AND(M416="",N416=""),"Extra","")</f>
        <v/>
      </c>
      <c r="P416" s="3" t="str">
        <f>IF(Q416=0,"TERCEIRO","MRS")</f>
        <v>MRS</v>
      </c>
      <c r="Q416" s="8" t="str">
        <f>IFERROR(VLOOKUP(L416,#REF!,4,0),"0,00")</f>
        <v>0,00</v>
      </c>
      <c r="R416" s="9" t="s">
        <v>30</v>
      </c>
      <c r="S416" s="9">
        <f>COUNTIF(D416,"*_SEG_*")</f>
        <v>1</v>
      </c>
      <c r="T416" s="9">
        <f>COUNTIF(D416,"*_MAN_*")</f>
        <v>0</v>
      </c>
      <c r="U416" s="9">
        <f>(RIGHT(D416,4))*1</f>
        <v>30</v>
      </c>
      <c r="V416" s="9" t="str">
        <f>IFERROR(VLOOKUP(I416,#REF!,2,0),"Sinalização")</f>
        <v>Sinalização</v>
      </c>
    </row>
    <row r="417" spans="1:22" x14ac:dyDescent="0.25">
      <c r="A417" s="3" t="s">
        <v>22</v>
      </c>
      <c r="B417" s="4">
        <v>23513370</v>
      </c>
      <c r="C417" s="5" t="s">
        <v>23</v>
      </c>
      <c r="D417" s="6" t="s">
        <v>1047</v>
      </c>
      <c r="E417" s="6" t="s">
        <v>25</v>
      </c>
      <c r="F417" s="11">
        <v>46166</v>
      </c>
      <c r="G417" s="6" t="s">
        <v>1079</v>
      </c>
      <c r="H417" s="7" t="s">
        <v>32</v>
      </c>
      <c r="I417" s="7" t="s">
        <v>609</v>
      </c>
      <c r="J417" s="7" t="s">
        <v>1048</v>
      </c>
      <c r="K417" s="7" t="s">
        <v>29</v>
      </c>
      <c r="L417" s="3" t="str">
        <f>E417&amp;D417</f>
        <v>E.SP.IPAEE_INS_SEG_C_I_TRAVADOR ELÉTRICO_0030</v>
      </c>
      <c r="M417" s="3" t="str">
        <f>IFERROR(MID(D417,SEARCH("S_I_",D417,1),3),"")</f>
        <v/>
      </c>
      <c r="N417" s="3" t="str">
        <f>IFERROR(MID(D417,SEARCH("C_I_",D417,1),3),"")</f>
        <v>C_I</v>
      </c>
      <c r="O417" s="3" t="str">
        <f>IF(AND(M417="",N417=""),"Extra","")</f>
        <v/>
      </c>
      <c r="P417" s="3" t="str">
        <f>IF(Q417=0,"TERCEIRO","MRS")</f>
        <v>MRS</v>
      </c>
      <c r="Q417" s="8" t="str">
        <f>IFERROR(VLOOKUP(L417,#REF!,4,0),"0,00")</f>
        <v>0,00</v>
      </c>
      <c r="R417" s="9" t="s">
        <v>30</v>
      </c>
      <c r="S417" s="9">
        <f>COUNTIF(D417,"*_SEG_*")</f>
        <v>1</v>
      </c>
      <c r="T417" s="9">
        <f>COUNTIF(D417,"*_MAN_*")</f>
        <v>0</v>
      </c>
      <c r="U417" s="9">
        <f>(RIGHT(D417,4))*1</f>
        <v>30</v>
      </c>
      <c r="V417" s="9" t="str">
        <f>IFERROR(VLOOKUP(I417,#REF!,2,0),"Sinalização")</f>
        <v>Sinalização</v>
      </c>
    </row>
    <row r="418" spans="1:22" x14ac:dyDescent="0.25">
      <c r="A418" s="3" t="s">
        <v>22</v>
      </c>
      <c r="B418" s="4">
        <v>23513400</v>
      </c>
      <c r="C418" s="5" t="s">
        <v>23</v>
      </c>
      <c r="D418" s="6" t="s">
        <v>930</v>
      </c>
      <c r="E418" s="6" t="s">
        <v>25</v>
      </c>
      <c r="F418" s="11">
        <v>46166</v>
      </c>
      <c r="G418" s="6" t="s">
        <v>1079</v>
      </c>
      <c r="H418" s="7" t="s">
        <v>32</v>
      </c>
      <c r="I418" s="7" t="s">
        <v>913</v>
      </c>
      <c r="J418" s="7" t="s">
        <v>832</v>
      </c>
      <c r="K418" s="7" t="s">
        <v>29</v>
      </c>
      <c r="L418" s="3" t="str">
        <f>E418&amp;D418</f>
        <v>E.SP.IPAEE_INS_SEG_C_I_CIRCUITO VIA CC_1_0030</v>
      </c>
      <c r="M418" s="3" t="str">
        <f>IFERROR(MID(D418,SEARCH("S_I_",D418,1),3),"")</f>
        <v/>
      </c>
      <c r="N418" s="3" t="str">
        <f>IFERROR(MID(D418,SEARCH("C_I_",D418,1),3),"")</f>
        <v>C_I</v>
      </c>
      <c r="O418" s="3" t="str">
        <f>IF(AND(M418="",N418=""),"Extra","")</f>
        <v/>
      </c>
      <c r="P418" s="3" t="str">
        <f>IF(Q418=0,"TERCEIRO","MRS")</f>
        <v>MRS</v>
      </c>
      <c r="Q418" s="8" t="str">
        <f>IFERROR(VLOOKUP(L418,#REF!,4,0),"0,00")</f>
        <v>0,00</v>
      </c>
      <c r="R418" s="9" t="s">
        <v>30</v>
      </c>
      <c r="S418" s="9">
        <f>COUNTIF(D418,"*_SEG_*")</f>
        <v>1</v>
      </c>
      <c r="T418" s="9">
        <f>COUNTIF(D418,"*_MAN_*")</f>
        <v>0</v>
      </c>
      <c r="U418" s="9">
        <f>(RIGHT(D418,4))*1</f>
        <v>30</v>
      </c>
      <c r="V418" s="9" t="str">
        <f>IFERROR(VLOOKUP(I418,#REF!,2,0),"Sinalização")</f>
        <v>Sinalização</v>
      </c>
    </row>
    <row r="419" spans="1:22" x14ac:dyDescent="0.25">
      <c r="A419" s="3" t="s">
        <v>22</v>
      </c>
      <c r="B419" s="4">
        <v>23513401</v>
      </c>
      <c r="C419" s="5" t="s">
        <v>23</v>
      </c>
      <c r="D419" s="6" t="s">
        <v>930</v>
      </c>
      <c r="E419" s="6" t="s">
        <v>25</v>
      </c>
      <c r="F419" s="11">
        <v>46166</v>
      </c>
      <c r="G419" s="6" t="s">
        <v>1079</v>
      </c>
      <c r="H419" s="7" t="s">
        <v>26</v>
      </c>
      <c r="I419" s="7" t="s">
        <v>914</v>
      </c>
      <c r="J419" s="7" t="s">
        <v>832</v>
      </c>
      <c r="K419" s="7" t="s">
        <v>29</v>
      </c>
      <c r="L419" s="3" t="str">
        <f>E419&amp;D419</f>
        <v>E.SP.IPAEE_INS_SEG_C_I_CIRCUITO VIA CC_1_0030</v>
      </c>
      <c r="M419" s="3" t="str">
        <f>IFERROR(MID(D419,SEARCH("S_I_",D419,1),3),"")</f>
        <v/>
      </c>
      <c r="N419" s="3" t="str">
        <f>IFERROR(MID(D419,SEARCH("C_I_",D419,1),3),"")</f>
        <v>C_I</v>
      </c>
      <c r="O419" s="3" t="str">
        <f>IF(AND(M419="",N419=""),"Extra","")</f>
        <v/>
      </c>
      <c r="P419" s="3" t="str">
        <f>IF(Q419=0,"TERCEIRO","MRS")</f>
        <v>MRS</v>
      </c>
      <c r="Q419" s="8" t="str">
        <f>IFERROR(VLOOKUP(L419,#REF!,4,0),"0,00")</f>
        <v>0,00</v>
      </c>
      <c r="R419" s="9" t="s">
        <v>30</v>
      </c>
      <c r="S419" s="9">
        <f>COUNTIF(D419,"*_SEG_*")</f>
        <v>1</v>
      </c>
      <c r="T419" s="9">
        <f>COUNTIF(D419,"*_MAN_*")</f>
        <v>0</v>
      </c>
      <c r="U419" s="9">
        <f>(RIGHT(D419,4))*1</f>
        <v>30</v>
      </c>
      <c r="V419" s="9" t="str">
        <f>IFERROR(VLOOKUP(I419,#REF!,2,0),"Sinalização")</f>
        <v>Sinalização</v>
      </c>
    </row>
    <row r="420" spans="1:22" x14ac:dyDescent="0.25">
      <c r="A420" s="3" t="s">
        <v>22</v>
      </c>
      <c r="B420" s="4">
        <v>23513404</v>
      </c>
      <c r="C420" s="5" t="s">
        <v>23</v>
      </c>
      <c r="D420" s="6" t="s">
        <v>931</v>
      </c>
      <c r="E420" s="6" t="s">
        <v>25</v>
      </c>
      <c r="F420" s="11">
        <v>46166</v>
      </c>
      <c r="G420" s="6" t="s">
        <v>1079</v>
      </c>
      <c r="H420" s="7" t="s">
        <v>26</v>
      </c>
      <c r="I420" s="7" t="s">
        <v>504</v>
      </c>
      <c r="J420" s="7" t="s">
        <v>932</v>
      </c>
      <c r="K420" s="7" t="s">
        <v>29</v>
      </c>
      <c r="L420" s="3" t="str">
        <f>E420&amp;D420</f>
        <v>E.SP.IPAEE_INS_SEG_C_I_CDV DETETORA CA_0030</v>
      </c>
      <c r="M420" s="3" t="str">
        <f>IFERROR(MID(D420,SEARCH("S_I_",D420,1),3),"")</f>
        <v/>
      </c>
      <c r="N420" s="3" t="str">
        <f>IFERROR(MID(D420,SEARCH("C_I_",D420,1),3),"")</f>
        <v>C_I</v>
      </c>
      <c r="O420" s="3" t="str">
        <f>IF(AND(M420="",N420=""),"Extra","")</f>
        <v/>
      </c>
      <c r="P420" s="3" t="str">
        <f>IF(Q420=0,"TERCEIRO","MRS")</f>
        <v>MRS</v>
      </c>
      <c r="Q420" s="8" t="str">
        <f>IFERROR(VLOOKUP(L420,#REF!,4,0),"0,00")</f>
        <v>0,00</v>
      </c>
      <c r="R420" s="9" t="s">
        <v>30</v>
      </c>
      <c r="S420" s="9">
        <f>COUNTIF(D420,"*_SEG_*")</f>
        <v>1</v>
      </c>
      <c r="T420" s="9">
        <f>COUNTIF(D420,"*_MAN_*")</f>
        <v>0</v>
      </c>
      <c r="U420" s="9">
        <f>(RIGHT(D420,4))*1</f>
        <v>30</v>
      </c>
      <c r="V420" s="9" t="str">
        <f>IFERROR(VLOOKUP(I420,#REF!,2,0),"Sinalização")</f>
        <v>Sinalização</v>
      </c>
    </row>
    <row r="421" spans="1:22" x14ac:dyDescent="0.25">
      <c r="A421" s="3" t="s">
        <v>22</v>
      </c>
      <c r="B421" s="4">
        <v>23513445</v>
      </c>
      <c r="C421" s="5" t="s">
        <v>23</v>
      </c>
      <c r="D421" s="6" t="s">
        <v>934</v>
      </c>
      <c r="E421" s="6" t="s">
        <v>25</v>
      </c>
      <c r="F421" s="11">
        <v>46166</v>
      </c>
      <c r="G421" s="6" t="s">
        <v>1079</v>
      </c>
      <c r="H421" s="7" t="s">
        <v>32</v>
      </c>
      <c r="I421" s="7" t="s">
        <v>913</v>
      </c>
      <c r="J421" s="7" t="s">
        <v>816</v>
      </c>
      <c r="K421" s="7" t="s">
        <v>29</v>
      </c>
      <c r="L421" s="3" t="str">
        <f>E421&amp;D421</f>
        <v>E.SP.IPAEE_INS_SEG_C_I_CIRCUITO VIA CC_0030</v>
      </c>
      <c r="M421" s="3" t="str">
        <f>IFERROR(MID(D421,SEARCH("S_I_",D421,1),3),"")</f>
        <v/>
      </c>
      <c r="N421" s="3" t="str">
        <f>IFERROR(MID(D421,SEARCH("C_I_",D421,1),3),"")</f>
        <v>C_I</v>
      </c>
      <c r="O421" s="3" t="str">
        <f>IF(AND(M421="",N421=""),"Extra","")</f>
        <v/>
      </c>
      <c r="P421" s="3" t="str">
        <f>IF(Q421=0,"TERCEIRO","MRS")</f>
        <v>MRS</v>
      </c>
      <c r="Q421" s="8" t="str">
        <f>IFERROR(VLOOKUP(L421,#REF!,4,0),"0,00")</f>
        <v>0,00</v>
      </c>
      <c r="R421" s="9" t="s">
        <v>30</v>
      </c>
      <c r="S421" s="9">
        <f>COUNTIF(D421,"*_SEG_*")</f>
        <v>1</v>
      </c>
      <c r="T421" s="9">
        <f>COUNTIF(D421,"*_MAN_*")</f>
        <v>0</v>
      </c>
      <c r="U421" s="9">
        <f>(RIGHT(D421,4))*1</f>
        <v>30</v>
      </c>
      <c r="V421" s="9" t="str">
        <f>IFERROR(VLOOKUP(I421,#REF!,2,0),"Sinalização")</f>
        <v>Sinalização</v>
      </c>
    </row>
    <row r="422" spans="1:22" x14ac:dyDescent="0.25">
      <c r="A422" s="3" t="s">
        <v>22</v>
      </c>
      <c r="B422" s="4">
        <v>23513446</v>
      </c>
      <c r="C422" s="5" t="s">
        <v>23</v>
      </c>
      <c r="D422" s="6" t="s">
        <v>934</v>
      </c>
      <c r="E422" s="6" t="s">
        <v>25</v>
      </c>
      <c r="F422" s="11">
        <v>46166</v>
      </c>
      <c r="G422" s="6" t="s">
        <v>1079</v>
      </c>
      <c r="H422" s="7" t="s">
        <v>32</v>
      </c>
      <c r="I422" s="7" t="s">
        <v>914</v>
      </c>
      <c r="J422" s="7" t="s">
        <v>816</v>
      </c>
      <c r="K422" s="7" t="s">
        <v>29</v>
      </c>
      <c r="L422" s="3" t="str">
        <f>E422&amp;D422</f>
        <v>E.SP.IPAEE_INS_SEG_C_I_CIRCUITO VIA CC_0030</v>
      </c>
      <c r="M422" s="3" t="str">
        <f>IFERROR(MID(D422,SEARCH("S_I_",D422,1),3),"")</f>
        <v/>
      </c>
      <c r="N422" s="3" t="str">
        <f>IFERROR(MID(D422,SEARCH("C_I_",D422,1),3),"")</f>
        <v>C_I</v>
      </c>
      <c r="O422" s="3" t="str">
        <f>IF(AND(M422="",N422=""),"Extra","")</f>
        <v/>
      </c>
      <c r="P422" s="3" t="str">
        <f>IF(Q422=0,"TERCEIRO","MRS")</f>
        <v>MRS</v>
      </c>
      <c r="Q422" s="8" t="str">
        <f>IFERROR(VLOOKUP(L422,#REF!,4,0),"0,00")</f>
        <v>0,00</v>
      </c>
      <c r="R422" s="9" t="s">
        <v>30</v>
      </c>
      <c r="S422" s="9">
        <f>COUNTIF(D422,"*_SEG_*")</f>
        <v>1</v>
      </c>
      <c r="T422" s="9">
        <f>COUNTIF(D422,"*_MAN_*")</f>
        <v>0</v>
      </c>
      <c r="U422" s="9">
        <f>(RIGHT(D422,4))*1</f>
        <v>30</v>
      </c>
      <c r="V422" s="9" t="str">
        <f>IFERROR(VLOOKUP(I422,#REF!,2,0),"Sinalização")</f>
        <v>Sinalização</v>
      </c>
    </row>
    <row r="423" spans="1:22" x14ac:dyDescent="0.25">
      <c r="A423" s="3" t="s">
        <v>22</v>
      </c>
      <c r="B423" s="4">
        <v>23513489</v>
      </c>
      <c r="C423" s="5" t="s">
        <v>23</v>
      </c>
      <c r="D423" s="6" t="s">
        <v>943</v>
      </c>
      <c r="E423" s="6" t="s">
        <v>25</v>
      </c>
      <c r="F423" s="11">
        <v>46166</v>
      </c>
      <c r="G423" s="6" t="s">
        <v>1079</v>
      </c>
      <c r="H423" s="7" t="s">
        <v>26</v>
      </c>
      <c r="I423" s="7" t="s">
        <v>693</v>
      </c>
      <c r="J423" s="7" t="s">
        <v>944</v>
      </c>
      <c r="K423" s="7" t="s">
        <v>29</v>
      </c>
      <c r="L423" s="3" t="str">
        <f>E423&amp;D423</f>
        <v>E.SP.IPAEE_INS_SEG_C_I_MCH MAN C/CONTR_0030</v>
      </c>
      <c r="M423" s="3" t="str">
        <f>IFERROR(MID(D423,SEARCH("S_I_",D423,1),3),"")</f>
        <v/>
      </c>
      <c r="N423" s="3" t="str">
        <f>IFERROR(MID(D423,SEARCH("C_I_",D423,1),3),"")</f>
        <v>C_I</v>
      </c>
      <c r="O423" s="3" t="str">
        <f>IF(AND(M423="",N423=""),"Extra","")</f>
        <v/>
      </c>
      <c r="P423" s="3" t="str">
        <f>IF(Q423=0,"TERCEIRO","MRS")</f>
        <v>MRS</v>
      </c>
      <c r="Q423" s="8" t="str">
        <f>IFERROR(VLOOKUP(L423,#REF!,4,0),"0,00")</f>
        <v>0,00</v>
      </c>
      <c r="R423" s="9" t="s">
        <v>30</v>
      </c>
      <c r="S423" s="9">
        <f>COUNTIF(D423,"*_SEG_*")</f>
        <v>1</v>
      </c>
      <c r="T423" s="9">
        <f>COUNTIF(D423,"*_MAN_*")</f>
        <v>0</v>
      </c>
      <c r="U423" s="9">
        <f>(RIGHT(D423,4))*1</f>
        <v>30</v>
      </c>
      <c r="V423" s="9" t="str">
        <f>IFERROR(VLOOKUP(I423,#REF!,2,0),"Sinalização")</f>
        <v>Sinalização</v>
      </c>
    </row>
    <row r="424" spans="1:22" x14ac:dyDescent="0.25">
      <c r="A424" s="3" t="s">
        <v>22</v>
      </c>
      <c r="B424" s="4">
        <v>23513614</v>
      </c>
      <c r="C424" s="5" t="s">
        <v>23</v>
      </c>
      <c r="D424" s="6" t="s">
        <v>814</v>
      </c>
      <c r="E424" s="6" t="s">
        <v>25</v>
      </c>
      <c r="F424" s="11">
        <v>46166</v>
      </c>
      <c r="G424" s="6" t="s">
        <v>1079</v>
      </c>
      <c r="H424" s="7" t="s">
        <v>26</v>
      </c>
      <c r="I424" s="7" t="s">
        <v>991</v>
      </c>
      <c r="J424" s="7" t="s">
        <v>816</v>
      </c>
      <c r="K424" s="7" t="s">
        <v>29</v>
      </c>
      <c r="L424" s="3" t="str">
        <f>E424&amp;D424</f>
        <v>E.SP.IPAEE_INS_SEG_C_I_CIRCUITO VIA CA_0030</v>
      </c>
      <c r="M424" s="3" t="str">
        <f>IFERROR(MID(D424,SEARCH("S_I_",D424,1),3),"")</f>
        <v/>
      </c>
      <c r="N424" s="3" t="str">
        <f>IFERROR(MID(D424,SEARCH("C_I_",D424,1),3),"")</f>
        <v>C_I</v>
      </c>
      <c r="O424" s="3" t="str">
        <f>IF(AND(M424="",N424=""),"Extra","")</f>
        <v/>
      </c>
      <c r="P424" s="3" t="str">
        <f>IF(Q424=0,"TERCEIRO","MRS")</f>
        <v>MRS</v>
      </c>
      <c r="Q424" s="8" t="str">
        <f>IFERROR(VLOOKUP(L424,#REF!,4,0),"0,00")</f>
        <v>0,00</v>
      </c>
      <c r="R424" s="9" t="s">
        <v>30</v>
      </c>
      <c r="S424" s="9">
        <f>COUNTIF(D424,"*_SEG_*")</f>
        <v>1</v>
      </c>
      <c r="T424" s="9">
        <f>COUNTIF(D424,"*_MAN_*")</f>
        <v>0</v>
      </c>
      <c r="U424" s="9">
        <f>(RIGHT(D424,4))*1</f>
        <v>30</v>
      </c>
      <c r="V424" s="9" t="str">
        <f>IFERROR(VLOOKUP(I424,#REF!,2,0),"Sinalização")</f>
        <v>Sinalização</v>
      </c>
    </row>
    <row r="425" spans="1:22" x14ac:dyDescent="0.25">
      <c r="A425" s="3" t="s">
        <v>22</v>
      </c>
      <c r="B425" s="4">
        <v>23513615</v>
      </c>
      <c r="C425" s="5" t="s">
        <v>23</v>
      </c>
      <c r="D425" s="6" t="s">
        <v>814</v>
      </c>
      <c r="E425" s="6" t="s">
        <v>25</v>
      </c>
      <c r="F425" s="11">
        <v>46166</v>
      </c>
      <c r="G425" s="6" t="s">
        <v>1079</v>
      </c>
      <c r="H425" s="7" t="s">
        <v>32</v>
      </c>
      <c r="I425" s="7" t="s">
        <v>322</v>
      </c>
      <c r="J425" s="7" t="s">
        <v>816</v>
      </c>
      <c r="K425" s="7" t="s">
        <v>29</v>
      </c>
      <c r="L425" s="3" t="str">
        <f>E425&amp;D425</f>
        <v>E.SP.IPAEE_INS_SEG_C_I_CIRCUITO VIA CA_0030</v>
      </c>
      <c r="M425" s="3" t="str">
        <f>IFERROR(MID(D425,SEARCH("S_I_",D425,1),3),"")</f>
        <v/>
      </c>
      <c r="N425" s="3" t="str">
        <f>IFERROR(MID(D425,SEARCH("C_I_",D425,1),3),"")</f>
        <v>C_I</v>
      </c>
      <c r="O425" s="3" t="str">
        <f>IF(AND(M425="",N425=""),"Extra","")</f>
        <v/>
      </c>
      <c r="P425" s="3" t="str">
        <f>IF(Q425=0,"TERCEIRO","MRS")</f>
        <v>MRS</v>
      </c>
      <c r="Q425" s="8" t="str">
        <f>IFERROR(VLOOKUP(L425,#REF!,4,0),"0,00")</f>
        <v>0,00</v>
      </c>
      <c r="R425" s="9" t="s">
        <v>30</v>
      </c>
      <c r="S425" s="9">
        <f>COUNTIF(D425,"*_SEG_*")</f>
        <v>1</v>
      </c>
      <c r="T425" s="9">
        <f>COUNTIF(D425,"*_MAN_*")</f>
        <v>0</v>
      </c>
      <c r="U425" s="9">
        <f>(RIGHT(D425,4))*1</f>
        <v>30</v>
      </c>
      <c r="V425" s="9" t="str">
        <f>IFERROR(VLOOKUP(I425,#REF!,2,0),"Sinalização")</f>
        <v>Sinalização</v>
      </c>
    </row>
    <row r="426" spans="1:22" x14ac:dyDescent="0.25">
      <c r="A426" s="3" t="s">
        <v>22</v>
      </c>
      <c r="B426" s="4">
        <v>23513616</v>
      </c>
      <c r="C426" s="5" t="s">
        <v>23</v>
      </c>
      <c r="D426" s="6" t="s">
        <v>814</v>
      </c>
      <c r="E426" s="6" t="s">
        <v>25</v>
      </c>
      <c r="F426" s="11">
        <v>46166</v>
      </c>
      <c r="G426" s="6" t="s">
        <v>1079</v>
      </c>
      <c r="H426" s="7" t="s">
        <v>32</v>
      </c>
      <c r="I426" s="7" t="s">
        <v>347</v>
      </c>
      <c r="J426" s="7" t="s">
        <v>816</v>
      </c>
      <c r="K426" s="7" t="s">
        <v>29</v>
      </c>
      <c r="L426" s="3" t="str">
        <f>E426&amp;D426</f>
        <v>E.SP.IPAEE_INS_SEG_C_I_CIRCUITO VIA CA_0030</v>
      </c>
      <c r="M426" s="3" t="str">
        <f>IFERROR(MID(D426,SEARCH("S_I_",D426,1),3),"")</f>
        <v/>
      </c>
      <c r="N426" s="3" t="str">
        <f>IFERROR(MID(D426,SEARCH("C_I_",D426,1),3),"")</f>
        <v>C_I</v>
      </c>
      <c r="O426" s="3" t="str">
        <f>IF(AND(M426="",N426=""),"Extra","")</f>
        <v/>
      </c>
      <c r="P426" s="3" t="str">
        <f>IF(Q426=0,"TERCEIRO","MRS")</f>
        <v>MRS</v>
      </c>
      <c r="Q426" s="8" t="str">
        <f>IFERROR(VLOOKUP(L426,#REF!,4,0),"0,00")</f>
        <v>0,00</v>
      </c>
      <c r="R426" s="9" t="s">
        <v>30</v>
      </c>
      <c r="S426" s="9">
        <f>COUNTIF(D426,"*_SEG_*")</f>
        <v>1</v>
      </c>
      <c r="T426" s="9">
        <f>COUNTIF(D426,"*_MAN_*")</f>
        <v>0</v>
      </c>
      <c r="U426" s="9">
        <f>(RIGHT(D426,4))*1</f>
        <v>30</v>
      </c>
      <c r="V426" s="9" t="str">
        <f>IFERROR(VLOOKUP(I426,#REF!,2,0),"Sinalização")</f>
        <v>Sinalização</v>
      </c>
    </row>
    <row r="427" spans="1:22" x14ac:dyDescent="0.25">
      <c r="A427" s="3" t="s">
        <v>22</v>
      </c>
      <c r="B427" s="4">
        <v>23513617</v>
      </c>
      <c r="C427" s="5" t="s">
        <v>23</v>
      </c>
      <c r="D427" s="6" t="s">
        <v>814</v>
      </c>
      <c r="E427" s="6" t="s">
        <v>25</v>
      </c>
      <c r="F427" s="11">
        <v>46166</v>
      </c>
      <c r="G427" s="6" t="s">
        <v>1079</v>
      </c>
      <c r="H427" s="7" t="s">
        <v>26</v>
      </c>
      <c r="I427" s="7" t="s">
        <v>348</v>
      </c>
      <c r="J427" s="7" t="s">
        <v>816</v>
      </c>
      <c r="K427" s="7" t="s">
        <v>29</v>
      </c>
      <c r="L427" s="3" t="str">
        <f>E427&amp;D427</f>
        <v>E.SP.IPAEE_INS_SEG_C_I_CIRCUITO VIA CA_0030</v>
      </c>
      <c r="M427" s="3" t="str">
        <f>IFERROR(MID(D427,SEARCH("S_I_",D427,1),3),"")</f>
        <v/>
      </c>
      <c r="N427" s="3" t="str">
        <f>IFERROR(MID(D427,SEARCH("C_I_",D427,1),3),"")</f>
        <v>C_I</v>
      </c>
      <c r="O427" s="3" t="str">
        <f>IF(AND(M427="",N427=""),"Extra","")</f>
        <v/>
      </c>
      <c r="P427" s="3" t="str">
        <f>IF(Q427=0,"TERCEIRO","MRS")</f>
        <v>MRS</v>
      </c>
      <c r="Q427" s="8" t="str">
        <f>IFERROR(VLOOKUP(L427,#REF!,4,0),"0,00")</f>
        <v>0,00</v>
      </c>
      <c r="R427" s="9" t="s">
        <v>30</v>
      </c>
      <c r="S427" s="9">
        <f>COUNTIF(D427,"*_SEG_*")</f>
        <v>1</v>
      </c>
      <c r="T427" s="9">
        <f>COUNTIF(D427,"*_MAN_*")</f>
        <v>0</v>
      </c>
      <c r="U427" s="9">
        <f>(RIGHT(D427,4))*1</f>
        <v>30</v>
      </c>
      <c r="V427" s="9" t="str">
        <f>IFERROR(VLOOKUP(I427,#REF!,2,0),"Sinalização")</f>
        <v>Sinalização</v>
      </c>
    </row>
    <row r="428" spans="1:22" x14ac:dyDescent="0.25">
      <c r="A428" s="3" t="s">
        <v>22</v>
      </c>
      <c r="B428" s="4">
        <v>23513618</v>
      </c>
      <c r="C428" s="5" t="s">
        <v>23</v>
      </c>
      <c r="D428" s="6" t="s">
        <v>814</v>
      </c>
      <c r="E428" s="6" t="s">
        <v>25</v>
      </c>
      <c r="F428" s="11">
        <v>46166</v>
      </c>
      <c r="G428" s="6" t="s">
        <v>1079</v>
      </c>
      <c r="H428" s="7" t="s">
        <v>26</v>
      </c>
      <c r="I428" s="7" t="s">
        <v>992</v>
      </c>
      <c r="J428" s="7" t="s">
        <v>816</v>
      </c>
      <c r="K428" s="7" t="s">
        <v>29</v>
      </c>
      <c r="L428" s="3" t="str">
        <f>E428&amp;D428</f>
        <v>E.SP.IPAEE_INS_SEG_C_I_CIRCUITO VIA CA_0030</v>
      </c>
      <c r="M428" s="3" t="str">
        <f>IFERROR(MID(D428,SEARCH("S_I_",D428,1),3),"")</f>
        <v/>
      </c>
      <c r="N428" s="3" t="str">
        <f>IFERROR(MID(D428,SEARCH("C_I_",D428,1),3),"")</f>
        <v>C_I</v>
      </c>
      <c r="O428" s="3" t="str">
        <f>IF(AND(M428="",N428=""),"Extra","")</f>
        <v/>
      </c>
      <c r="P428" s="3" t="str">
        <f>IF(Q428=0,"TERCEIRO","MRS")</f>
        <v>MRS</v>
      </c>
      <c r="Q428" s="8" t="str">
        <f>IFERROR(VLOOKUP(L428,#REF!,4,0),"0,00")</f>
        <v>0,00</v>
      </c>
      <c r="R428" s="9" t="s">
        <v>30</v>
      </c>
      <c r="S428" s="9">
        <f>COUNTIF(D428,"*_SEG_*")</f>
        <v>1</v>
      </c>
      <c r="T428" s="9">
        <f>COUNTIF(D428,"*_MAN_*")</f>
        <v>0</v>
      </c>
      <c r="U428" s="9">
        <f>(RIGHT(D428,4))*1</f>
        <v>30</v>
      </c>
      <c r="V428" s="9" t="str">
        <f>IFERROR(VLOOKUP(I428,#REF!,2,0),"Sinalização")</f>
        <v>Sinalização</v>
      </c>
    </row>
    <row r="429" spans="1:22" x14ac:dyDescent="0.25">
      <c r="A429" s="3" t="s">
        <v>22</v>
      </c>
      <c r="B429" s="4">
        <v>23513619</v>
      </c>
      <c r="C429" s="5" t="s">
        <v>23</v>
      </c>
      <c r="D429" s="6" t="s">
        <v>814</v>
      </c>
      <c r="E429" s="6" t="s">
        <v>25</v>
      </c>
      <c r="F429" s="11">
        <v>46166</v>
      </c>
      <c r="G429" s="6" t="s">
        <v>1079</v>
      </c>
      <c r="H429" s="7" t="s">
        <v>32</v>
      </c>
      <c r="I429" s="7" t="s">
        <v>340</v>
      </c>
      <c r="J429" s="7" t="s">
        <v>816</v>
      </c>
      <c r="K429" s="7" t="s">
        <v>29</v>
      </c>
      <c r="L429" s="3" t="str">
        <f>E429&amp;D429</f>
        <v>E.SP.IPAEE_INS_SEG_C_I_CIRCUITO VIA CA_0030</v>
      </c>
      <c r="M429" s="3" t="str">
        <f>IFERROR(MID(D429,SEARCH("S_I_",D429,1),3),"")</f>
        <v/>
      </c>
      <c r="N429" s="3" t="str">
        <f>IFERROR(MID(D429,SEARCH("C_I_",D429,1),3),"")</f>
        <v>C_I</v>
      </c>
      <c r="O429" s="3" t="str">
        <f>IF(AND(M429="",N429=""),"Extra","")</f>
        <v/>
      </c>
      <c r="P429" s="3" t="str">
        <f>IF(Q429=0,"TERCEIRO","MRS")</f>
        <v>MRS</v>
      </c>
      <c r="Q429" s="8" t="str">
        <f>IFERROR(VLOOKUP(L429,#REF!,4,0),"0,00")</f>
        <v>0,00</v>
      </c>
      <c r="R429" s="9" t="s">
        <v>30</v>
      </c>
      <c r="S429" s="9">
        <f>COUNTIF(D429,"*_SEG_*")</f>
        <v>1</v>
      </c>
      <c r="T429" s="9">
        <f>COUNTIF(D429,"*_MAN_*")</f>
        <v>0</v>
      </c>
      <c r="U429" s="9">
        <f>(RIGHT(D429,4))*1</f>
        <v>30</v>
      </c>
      <c r="V429" s="9" t="str">
        <f>IFERROR(VLOOKUP(I429,#REF!,2,0),"Sinalização")</f>
        <v>Sinalização</v>
      </c>
    </row>
    <row r="430" spans="1:22" x14ac:dyDescent="0.25">
      <c r="A430" s="3" t="s">
        <v>22</v>
      </c>
      <c r="B430" s="4">
        <v>23513620</v>
      </c>
      <c r="C430" s="5" t="s">
        <v>23</v>
      </c>
      <c r="D430" s="6" t="s">
        <v>814</v>
      </c>
      <c r="E430" s="6" t="s">
        <v>25</v>
      </c>
      <c r="F430" s="11">
        <v>46166</v>
      </c>
      <c r="G430" s="6" t="s">
        <v>1079</v>
      </c>
      <c r="H430" s="7" t="s">
        <v>32</v>
      </c>
      <c r="I430" s="7" t="s">
        <v>362</v>
      </c>
      <c r="J430" s="7" t="s">
        <v>816</v>
      </c>
      <c r="K430" s="7" t="s">
        <v>29</v>
      </c>
      <c r="L430" s="3" t="str">
        <f>E430&amp;D430</f>
        <v>E.SP.IPAEE_INS_SEG_C_I_CIRCUITO VIA CA_0030</v>
      </c>
      <c r="M430" s="3" t="str">
        <f>IFERROR(MID(D430,SEARCH("S_I_",D430,1),3),"")</f>
        <v/>
      </c>
      <c r="N430" s="3" t="str">
        <f>IFERROR(MID(D430,SEARCH("C_I_",D430,1),3),"")</f>
        <v>C_I</v>
      </c>
      <c r="O430" s="3" t="str">
        <f>IF(AND(M430="",N430=""),"Extra","")</f>
        <v/>
      </c>
      <c r="P430" s="3" t="str">
        <f>IF(Q430=0,"TERCEIRO","MRS")</f>
        <v>MRS</v>
      </c>
      <c r="Q430" s="8" t="str">
        <f>IFERROR(VLOOKUP(L430,#REF!,4,0),"0,00")</f>
        <v>0,00</v>
      </c>
      <c r="R430" s="9" t="s">
        <v>30</v>
      </c>
      <c r="S430" s="9">
        <f>COUNTIF(D430,"*_SEG_*")</f>
        <v>1</v>
      </c>
      <c r="T430" s="9">
        <f>COUNTIF(D430,"*_MAN_*")</f>
        <v>0</v>
      </c>
      <c r="U430" s="9">
        <f>(RIGHT(D430,4))*1</f>
        <v>30</v>
      </c>
      <c r="V430" s="9" t="str">
        <f>IFERROR(VLOOKUP(I430,#REF!,2,0),"Sinalização")</f>
        <v>Sinalização</v>
      </c>
    </row>
    <row r="431" spans="1:22" x14ac:dyDescent="0.25">
      <c r="A431" s="3" t="s">
        <v>22</v>
      </c>
      <c r="B431" s="4">
        <v>23513621</v>
      </c>
      <c r="C431" s="5" t="s">
        <v>23</v>
      </c>
      <c r="D431" s="6" t="s">
        <v>814</v>
      </c>
      <c r="E431" s="6" t="s">
        <v>25</v>
      </c>
      <c r="F431" s="11">
        <v>46166</v>
      </c>
      <c r="G431" s="6" t="s">
        <v>1079</v>
      </c>
      <c r="H431" s="7" t="s">
        <v>26</v>
      </c>
      <c r="I431" s="7" t="s">
        <v>425</v>
      </c>
      <c r="J431" s="7" t="s">
        <v>816</v>
      </c>
      <c r="K431" s="7" t="s">
        <v>29</v>
      </c>
      <c r="L431" s="3" t="str">
        <f>E431&amp;D431</f>
        <v>E.SP.IPAEE_INS_SEG_C_I_CIRCUITO VIA CA_0030</v>
      </c>
      <c r="M431" s="3" t="str">
        <f>IFERROR(MID(D431,SEARCH("S_I_",D431,1),3),"")</f>
        <v/>
      </c>
      <c r="N431" s="3" t="str">
        <f>IFERROR(MID(D431,SEARCH("C_I_",D431,1),3),"")</f>
        <v>C_I</v>
      </c>
      <c r="O431" s="3" t="str">
        <f>IF(AND(M431="",N431=""),"Extra","")</f>
        <v/>
      </c>
      <c r="P431" s="3" t="str">
        <f>IF(Q431=0,"TERCEIRO","MRS")</f>
        <v>MRS</v>
      </c>
      <c r="Q431" s="8" t="str">
        <f>IFERROR(VLOOKUP(L431,#REF!,4,0),"0,00")</f>
        <v>0,00</v>
      </c>
      <c r="R431" s="9" t="s">
        <v>30</v>
      </c>
      <c r="S431" s="9">
        <f>COUNTIF(D431,"*_SEG_*")</f>
        <v>1</v>
      </c>
      <c r="T431" s="9">
        <f>COUNTIF(D431,"*_MAN_*")</f>
        <v>0</v>
      </c>
      <c r="U431" s="9">
        <f>(RIGHT(D431,4))*1</f>
        <v>30</v>
      </c>
      <c r="V431" s="9" t="str">
        <f>IFERROR(VLOOKUP(I431,#REF!,2,0),"Sinalização")</f>
        <v>Sinalização</v>
      </c>
    </row>
    <row r="432" spans="1:22" x14ac:dyDescent="0.25">
      <c r="A432" s="3" t="s">
        <v>22</v>
      </c>
      <c r="B432" s="4">
        <v>23513622</v>
      </c>
      <c r="C432" s="5" t="s">
        <v>23</v>
      </c>
      <c r="D432" s="6" t="s">
        <v>814</v>
      </c>
      <c r="E432" s="6" t="s">
        <v>25</v>
      </c>
      <c r="F432" s="11">
        <v>46166</v>
      </c>
      <c r="G432" s="6" t="s">
        <v>1079</v>
      </c>
      <c r="H432" s="7" t="s">
        <v>26</v>
      </c>
      <c r="I432" s="7" t="s">
        <v>765</v>
      </c>
      <c r="J432" s="7" t="s">
        <v>816</v>
      </c>
      <c r="K432" s="7" t="s">
        <v>29</v>
      </c>
      <c r="L432" s="3" t="str">
        <f>E432&amp;D432</f>
        <v>E.SP.IPAEE_INS_SEG_C_I_CIRCUITO VIA CA_0030</v>
      </c>
      <c r="M432" s="3" t="str">
        <f>IFERROR(MID(D432,SEARCH("S_I_",D432,1),3),"")</f>
        <v/>
      </c>
      <c r="N432" s="3" t="str">
        <f>IFERROR(MID(D432,SEARCH("C_I_",D432,1),3),"")</f>
        <v>C_I</v>
      </c>
      <c r="O432" s="3" t="str">
        <f>IF(AND(M432="",N432=""),"Extra","")</f>
        <v/>
      </c>
      <c r="P432" s="3" t="str">
        <f>IF(Q432=0,"TERCEIRO","MRS")</f>
        <v>MRS</v>
      </c>
      <c r="Q432" s="8" t="str">
        <f>IFERROR(VLOOKUP(L432,#REF!,4,0),"0,00")</f>
        <v>0,00</v>
      </c>
      <c r="R432" s="9" t="s">
        <v>30</v>
      </c>
      <c r="S432" s="9">
        <f>COUNTIF(D432,"*_SEG_*")</f>
        <v>1</v>
      </c>
      <c r="T432" s="9">
        <f>COUNTIF(D432,"*_MAN_*")</f>
        <v>0</v>
      </c>
      <c r="U432" s="9">
        <f>(RIGHT(D432,4))*1</f>
        <v>30</v>
      </c>
      <c r="V432" s="9" t="str">
        <f>IFERROR(VLOOKUP(I432,#REF!,2,0),"Sinalização")</f>
        <v>Sinalização</v>
      </c>
    </row>
    <row r="433" spans="1:22" x14ac:dyDescent="0.25">
      <c r="A433" s="3" t="s">
        <v>22</v>
      </c>
      <c r="B433" s="4">
        <v>23513623</v>
      </c>
      <c r="C433" s="5" t="s">
        <v>23</v>
      </c>
      <c r="D433" s="6" t="s">
        <v>814</v>
      </c>
      <c r="E433" s="6" t="s">
        <v>25</v>
      </c>
      <c r="F433" s="11">
        <v>46166</v>
      </c>
      <c r="G433" s="6" t="s">
        <v>1079</v>
      </c>
      <c r="H433" s="7" t="s">
        <v>32</v>
      </c>
      <c r="I433" s="7" t="s">
        <v>308</v>
      </c>
      <c r="J433" s="7" t="s">
        <v>816</v>
      </c>
      <c r="K433" s="7" t="s">
        <v>29</v>
      </c>
      <c r="L433" s="3" t="str">
        <f>E433&amp;D433</f>
        <v>E.SP.IPAEE_INS_SEG_C_I_CIRCUITO VIA CA_0030</v>
      </c>
      <c r="M433" s="3" t="str">
        <f>IFERROR(MID(D433,SEARCH("S_I_",D433,1),3),"")</f>
        <v/>
      </c>
      <c r="N433" s="3" t="str">
        <f>IFERROR(MID(D433,SEARCH("C_I_",D433,1),3),"")</f>
        <v>C_I</v>
      </c>
      <c r="O433" s="3" t="str">
        <f>IF(AND(M433="",N433=""),"Extra","")</f>
        <v/>
      </c>
      <c r="P433" s="3" t="str">
        <f>IF(Q433=0,"TERCEIRO","MRS")</f>
        <v>MRS</v>
      </c>
      <c r="Q433" s="8" t="str">
        <f>IFERROR(VLOOKUP(L433,#REF!,4,0),"0,00")</f>
        <v>0,00</v>
      </c>
      <c r="R433" s="9" t="s">
        <v>30</v>
      </c>
      <c r="S433" s="9">
        <f>COUNTIF(D433,"*_SEG_*")</f>
        <v>1</v>
      </c>
      <c r="T433" s="9">
        <f>COUNTIF(D433,"*_MAN_*")</f>
        <v>0</v>
      </c>
      <c r="U433" s="9">
        <f>(RIGHT(D433,4))*1</f>
        <v>30</v>
      </c>
      <c r="V433" s="9" t="str">
        <f>IFERROR(VLOOKUP(I433,#REF!,2,0),"Sinalização")</f>
        <v>Sinalização</v>
      </c>
    </row>
    <row r="434" spans="1:22" x14ac:dyDescent="0.25">
      <c r="A434" s="3" t="s">
        <v>22</v>
      </c>
      <c r="B434" s="4">
        <v>23513624</v>
      </c>
      <c r="C434" s="5" t="s">
        <v>23</v>
      </c>
      <c r="D434" s="6" t="s">
        <v>814</v>
      </c>
      <c r="E434" s="6" t="s">
        <v>25</v>
      </c>
      <c r="F434" s="11">
        <v>46166</v>
      </c>
      <c r="G434" s="6" t="s">
        <v>1079</v>
      </c>
      <c r="H434" s="7" t="s">
        <v>32</v>
      </c>
      <c r="I434" s="7" t="s">
        <v>320</v>
      </c>
      <c r="J434" s="7" t="s">
        <v>816</v>
      </c>
      <c r="K434" s="7" t="s">
        <v>29</v>
      </c>
      <c r="L434" s="3" t="str">
        <f>E434&amp;D434</f>
        <v>E.SP.IPAEE_INS_SEG_C_I_CIRCUITO VIA CA_0030</v>
      </c>
      <c r="M434" s="3" t="str">
        <f>IFERROR(MID(D434,SEARCH("S_I_",D434,1),3),"")</f>
        <v/>
      </c>
      <c r="N434" s="3" t="str">
        <f>IFERROR(MID(D434,SEARCH("C_I_",D434,1),3),"")</f>
        <v>C_I</v>
      </c>
      <c r="O434" s="3" t="str">
        <f>IF(AND(M434="",N434=""),"Extra","")</f>
        <v/>
      </c>
      <c r="P434" s="3" t="str">
        <f>IF(Q434=0,"TERCEIRO","MRS")</f>
        <v>MRS</v>
      </c>
      <c r="Q434" s="8" t="str">
        <f>IFERROR(VLOOKUP(L434,#REF!,4,0),"0,00")</f>
        <v>0,00</v>
      </c>
      <c r="R434" s="9" t="s">
        <v>30</v>
      </c>
      <c r="S434" s="9">
        <f>COUNTIF(D434,"*_SEG_*")</f>
        <v>1</v>
      </c>
      <c r="T434" s="9">
        <f>COUNTIF(D434,"*_MAN_*")</f>
        <v>0</v>
      </c>
      <c r="U434" s="9">
        <f>(RIGHT(D434,4))*1</f>
        <v>30</v>
      </c>
      <c r="V434" s="9" t="str">
        <f>IFERROR(VLOOKUP(I434,#REF!,2,0),"Sinalização")</f>
        <v>Sinalização</v>
      </c>
    </row>
    <row r="435" spans="1:22" x14ac:dyDescent="0.25">
      <c r="A435" s="3" t="s">
        <v>22</v>
      </c>
      <c r="B435" s="4">
        <v>23513625</v>
      </c>
      <c r="C435" s="5" t="s">
        <v>23</v>
      </c>
      <c r="D435" s="6" t="s">
        <v>814</v>
      </c>
      <c r="E435" s="6" t="s">
        <v>25</v>
      </c>
      <c r="F435" s="11">
        <v>46166</v>
      </c>
      <c r="G435" s="6" t="s">
        <v>1079</v>
      </c>
      <c r="H435" s="7" t="s">
        <v>26</v>
      </c>
      <c r="I435" s="7" t="s">
        <v>993</v>
      </c>
      <c r="J435" s="7" t="s">
        <v>816</v>
      </c>
      <c r="K435" s="7" t="s">
        <v>29</v>
      </c>
      <c r="L435" s="3" t="str">
        <f>E435&amp;D435</f>
        <v>E.SP.IPAEE_INS_SEG_C_I_CIRCUITO VIA CA_0030</v>
      </c>
      <c r="M435" s="3" t="str">
        <f>IFERROR(MID(D435,SEARCH("S_I_",D435,1),3),"")</f>
        <v/>
      </c>
      <c r="N435" s="3" t="str">
        <f>IFERROR(MID(D435,SEARCH("C_I_",D435,1),3),"")</f>
        <v>C_I</v>
      </c>
      <c r="O435" s="3" t="str">
        <f>IF(AND(M435="",N435=""),"Extra","")</f>
        <v/>
      </c>
      <c r="P435" s="3" t="str">
        <f>IF(Q435=0,"TERCEIRO","MRS")</f>
        <v>MRS</v>
      </c>
      <c r="Q435" s="8" t="str">
        <f>IFERROR(VLOOKUP(L435,#REF!,4,0),"0,00")</f>
        <v>0,00</v>
      </c>
      <c r="R435" s="9" t="s">
        <v>30</v>
      </c>
      <c r="S435" s="9">
        <f>COUNTIF(D435,"*_SEG_*")</f>
        <v>1</v>
      </c>
      <c r="T435" s="9">
        <f>COUNTIF(D435,"*_MAN_*")</f>
        <v>0</v>
      </c>
      <c r="U435" s="9">
        <f>(RIGHT(D435,4))*1</f>
        <v>30</v>
      </c>
      <c r="V435" s="9" t="str">
        <f>IFERROR(VLOOKUP(I435,#REF!,2,0),"Sinalização")</f>
        <v>Sinalização</v>
      </c>
    </row>
    <row r="436" spans="1:22" x14ac:dyDescent="0.25">
      <c r="A436" s="3" t="s">
        <v>22</v>
      </c>
      <c r="B436" s="4">
        <v>23513627</v>
      </c>
      <c r="C436" s="5" t="s">
        <v>23</v>
      </c>
      <c r="D436" s="6" t="s">
        <v>814</v>
      </c>
      <c r="E436" s="6" t="s">
        <v>25</v>
      </c>
      <c r="F436" s="11">
        <v>46166</v>
      </c>
      <c r="G436" s="6" t="s">
        <v>1079</v>
      </c>
      <c r="H436" s="7" t="s">
        <v>26</v>
      </c>
      <c r="I436" s="7" t="s">
        <v>307</v>
      </c>
      <c r="J436" s="7" t="s">
        <v>816</v>
      </c>
      <c r="K436" s="7" t="s">
        <v>29</v>
      </c>
      <c r="L436" s="3" t="str">
        <f>E436&amp;D436</f>
        <v>E.SP.IPAEE_INS_SEG_C_I_CIRCUITO VIA CA_0030</v>
      </c>
      <c r="M436" s="3" t="str">
        <f>IFERROR(MID(D436,SEARCH("S_I_",D436,1),3),"")</f>
        <v/>
      </c>
      <c r="N436" s="3" t="str">
        <f>IFERROR(MID(D436,SEARCH("C_I_",D436,1),3),"")</f>
        <v>C_I</v>
      </c>
      <c r="O436" s="3" t="str">
        <f>IF(AND(M436="",N436=""),"Extra","")</f>
        <v/>
      </c>
      <c r="P436" s="3" t="str">
        <f>IF(Q436=0,"TERCEIRO","MRS")</f>
        <v>MRS</v>
      </c>
      <c r="Q436" s="8" t="str">
        <f>IFERROR(VLOOKUP(L436,#REF!,4,0),"0,00")</f>
        <v>0,00</v>
      </c>
      <c r="R436" s="9" t="s">
        <v>30</v>
      </c>
      <c r="S436" s="9">
        <f>COUNTIF(D436,"*_SEG_*")</f>
        <v>1</v>
      </c>
      <c r="T436" s="9">
        <f>COUNTIF(D436,"*_MAN_*")</f>
        <v>0</v>
      </c>
      <c r="U436" s="9">
        <f>(RIGHT(D436,4))*1</f>
        <v>30</v>
      </c>
      <c r="V436" s="9" t="str">
        <f>IFERROR(VLOOKUP(I436,#REF!,2,0),"Sinalização")</f>
        <v>Sinalização</v>
      </c>
    </row>
    <row r="437" spans="1:22" x14ac:dyDescent="0.25">
      <c r="A437" s="3" t="s">
        <v>22</v>
      </c>
      <c r="B437" s="4">
        <v>23513629</v>
      </c>
      <c r="C437" s="5" t="s">
        <v>23</v>
      </c>
      <c r="D437" s="6" t="s">
        <v>814</v>
      </c>
      <c r="E437" s="6" t="s">
        <v>25</v>
      </c>
      <c r="F437" s="11">
        <v>46166</v>
      </c>
      <c r="G437" s="6" t="s">
        <v>1079</v>
      </c>
      <c r="H437" s="7" t="s">
        <v>32</v>
      </c>
      <c r="I437" s="7" t="s">
        <v>994</v>
      </c>
      <c r="J437" s="7" t="s">
        <v>816</v>
      </c>
      <c r="K437" s="7" t="s">
        <v>29</v>
      </c>
      <c r="L437" s="3" t="str">
        <f>E437&amp;D437</f>
        <v>E.SP.IPAEE_INS_SEG_C_I_CIRCUITO VIA CA_0030</v>
      </c>
      <c r="M437" s="3" t="str">
        <f>IFERROR(MID(D437,SEARCH("S_I_",D437,1),3),"")</f>
        <v/>
      </c>
      <c r="N437" s="3" t="str">
        <f>IFERROR(MID(D437,SEARCH("C_I_",D437,1),3),"")</f>
        <v>C_I</v>
      </c>
      <c r="O437" s="3" t="str">
        <f>IF(AND(M437="",N437=""),"Extra","")</f>
        <v/>
      </c>
      <c r="P437" s="3" t="str">
        <f>IF(Q437=0,"TERCEIRO","MRS")</f>
        <v>MRS</v>
      </c>
      <c r="Q437" s="8" t="str">
        <f>IFERROR(VLOOKUP(L437,#REF!,4,0),"0,00")</f>
        <v>0,00</v>
      </c>
      <c r="R437" s="9" t="s">
        <v>30</v>
      </c>
      <c r="S437" s="9">
        <f>COUNTIF(D437,"*_SEG_*")</f>
        <v>1</v>
      </c>
      <c r="T437" s="9">
        <f>COUNTIF(D437,"*_MAN_*")</f>
        <v>0</v>
      </c>
      <c r="U437" s="9">
        <f>(RIGHT(D437,4))*1</f>
        <v>30</v>
      </c>
      <c r="V437" s="9" t="str">
        <f>IFERROR(VLOOKUP(I437,#REF!,2,0),"Sinalização")</f>
        <v>Sinalização</v>
      </c>
    </row>
    <row r="438" spans="1:22" x14ac:dyDescent="0.25">
      <c r="A438" s="3" t="s">
        <v>22</v>
      </c>
      <c r="B438" s="4">
        <v>23513630</v>
      </c>
      <c r="C438" s="5" t="s">
        <v>23</v>
      </c>
      <c r="D438" s="6" t="s">
        <v>814</v>
      </c>
      <c r="E438" s="6" t="s">
        <v>25</v>
      </c>
      <c r="F438" s="11">
        <v>46166</v>
      </c>
      <c r="G438" s="6" t="s">
        <v>1079</v>
      </c>
      <c r="H438" s="7" t="s">
        <v>32</v>
      </c>
      <c r="I438" s="7" t="s">
        <v>995</v>
      </c>
      <c r="J438" s="7" t="s">
        <v>816</v>
      </c>
      <c r="K438" s="7" t="s">
        <v>29</v>
      </c>
      <c r="L438" s="3" t="str">
        <f>E438&amp;D438</f>
        <v>E.SP.IPAEE_INS_SEG_C_I_CIRCUITO VIA CA_0030</v>
      </c>
      <c r="M438" s="3" t="str">
        <f>IFERROR(MID(D438,SEARCH("S_I_",D438,1),3),"")</f>
        <v/>
      </c>
      <c r="N438" s="3" t="str">
        <f>IFERROR(MID(D438,SEARCH("C_I_",D438,1),3),"")</f>
        <v>C_I</v>
      </c>
      <c r="O438" s="3" t="str">
        <f>IF(AND(M438="",N438=""),"Extra","")</f>
        <v/>
      </c>
      <c r="P438" s="3" t="str">
        <f>IF(Q438=0,"TERCEIRO","MRS")</f>
        <v>MRS</v>
      </c>
      <c r="Q438" s="8" t="str">
        <f>IFERROR(VLOOKUP(L438,#REF!,4,0),"0,00")</f>
        <v>0,00</v>
      </c>
      <c r="R438" s="9" t="s">
        <v>30</v>
      </c>
      <c r="S438" s="9">
        <f>COUNTIF(D438,"*_SEG_*")</f>
        <v>1</v>
      </c>
      <c r="T438" s="9">
        <f>COUNTIF(D438,"*_MAN_*")</f>
        <v>0</v>
      </c>
      <c r="U438" s="9">
        <f>(RIGHT(D438,4))*1</f>
        <v>30</v>
      </c>
      <c r="V438" s="9" t="str">
        <f>IFERROR(VLOOKUP(I438,#REF!,2,0),"Sinalização")</f>
        <v>Sinalização</v>
      </c>
    </row>
    <row r="439" spans="1:22" x14ac:dyDescent="0.25">
      <c r="A439" s="3" t="s">
        <v>22</v>
      </c>
      <c r="B439" s="4">
        <v>23513631</v>
      </c>
      <c r="C439" s="5" t="s">
        <v>23</v>
      </c>
      <c r="D439" s="6" t="s">
        <v>814</v>
      </c>
      <c r="E439" s="6" t="s">
        <v>25</v>
      </c>
      <c r="F439" s="11">
        <v>46166</v>
      </c>
      <c r="G439" s="6" t="s">
        <v>1079</v>
      </c>
      <c r="H439" s="7" t="s">
        <v>26</v>
      </c>
      <c r="I439" s="7" t="s">
        <v>996</v>
      </c>
      <c r="J439" s="7" t="s">
        <v>816</v>
      </c>
      <c r="K439" s="7" t="s">
        <v>29</v>
      </c>
      <c r="L439" s="3" t="str">
        <f>E439&amp;D439</f>
        <v>E.SP.IPAEE_INS_SEG_C_I_CIRCUITO VIA CA_0030</v>
      </c>
      <c r="M439" s="3" t="str">
        <f>IFERROR(MID(D439,SEARCH("S_I_",D439,1),3),"")</f>
        <v/>
      </c>
      <c r="N439" s="3" t="str">
        <f>IFERROR(MID(D439,SEARCH("C_I_",D439,1),3),"")</f>
        <v>C_I</v>
      </c>
      <c r="O439" s="3" t="str">
        <f>IF(AND(M439="",N439=""),"Extra","")</f>
        <v/>
      </c>
      <c r="P439" s="3" t="str">
        <f>IF(Q439=0,"TERCEIRO","MRS")</f>
        <v>MRS</v>
      </c>
      <c r="Q439" s="8" t="str">
        <f>IFERROR(VLOOKUP(L439,#REF!,4,0),"0,00")</f>
        <v>0,00</v>
      </c>
      <c r="R439" s="9" t="s">
        <v>30</v>
      </c>
      <c r="S439" s="9">
        <f>COUNTIF(D439,"*_SEG_*")</f>
        <v>1</v>
      </c>
      <c r="T439" s="9">
        <f>COUNTIF(D439,"*_MAN_*")</f>
        <v>0</v>
      </c>
      <c r="U439" s="9">
        <f>(RIGHT(D439,4))*1</f>
        <v>30</v>
      </c>
      <c r="V439" s="9" t="str">
        <f>IFERROR(VLOOKUP(I439,#REF!,2,0),"Sinalização")</f>
        <v>Sinalização</v>
      </c>
    </row>
    <row r="440" spans="1:22" x14ac:dyDescent="0.25">
      <c r="A440" s="3" t="s">
        <v>22</v>
      </c>
      <c r="B440" s="4">
        <v>23513632</v>
      </c>
      <c r="C440" s="5" t="s">
        <v>23</v>
      </c>
      <c r="D440" s="6" t="s">
        <v>814</v>
      </c>
      <c r="E440" s="6" t="s">
        <v>25</v>
      </c>
      <c r="F440" s="11">
        <v>46166</v>
      </c>
      <c r="G440" s="6" t="s">
        <v>1079</v>
      </c>
      <c r="H440" s="7" t="s">
        <v>26</v>
      </c>
      <c r="I440" s="7" t="s">
        <v>997</v>
      </c>
      <c r="J440" s="7" t="s">
        <v>816</v>
      </c>
      <c r="K440" s="7" t="s">
        <v>29</v>
      </c>
      <c r="L440" s="3" t="str">
        <f>E440&amp;D440</f>
        <v>E.SP.IPAEE_INS_SEG_C_I_CIRCUITO VIA CA_0030</v>
      </c>
      <c r="M440" s="3" t="str">
        <f>IFERROR(MID(D440,SEARCH("S_I_",D440,1),3),"")</f>
        <v/>
      </c>
      <c r="N440" s="3" t="str">
        <f>IFERROR(MID(D440,SEARCH("C_I_",D440,1),3),"")</f>
        <v>C_I</v>
      </c>
      <c r="O440" s="3" t="str">
        <f>IF(AND(M440="",N440=""),"Extra","")</f>
        <v/>
      </c>
      <c r="P440" s="3" t="str">
        <f>IF(Q440=0,"TERCEIRO","MRS")</f>
        <v>MRS</v>
      </c>
      <c r="Q440" s="8" t="str">
        <f>IFERROR(VLOOKUP(L440,#REF!,4,0),"0,00")</f>
        <v>0,00</v>
      </c>
      <c r="R440" s="9" t="s">
        <v>30</v>
      </c>
      <c r="S440" s="9">
        <f>COUNTIF(D440,"*_SEG_*")</f>
        <v>1</v>
      </c>
      <c r="T440" s="9">
        <f>COUNTIF(D440,"*_MAN_*")</f>
        <v>0</v>
      </c>
      <c r="U440" s="9">
        <f>(RIGHT(D440,4))*1</f>
        <v>30</v>
      </c>
      <c r="V440" s="9" t="str">
        <f>IFERROR(VLOOKUP(I440,#REF!,2,0),"Sinalização")</f>
        <v>Sinalização</v>
      </c>
    </row>
    <row r="441" spans="1:22" x14ac:dyDescent="0.25">
      <c r="A441" s="3" t="s">
        <v>22</v>
      </c>
      <c r="B441" s="4">
        <v>23513633</v>
      </c>
      <c r="C441" s="5" t="s">
        <v>23</v>
      </c>
      <c r="D441" s="6" t="s">
        <v>814</v>
      </c>
      <c r="E441" s="6" t="s">
        <v>25</v>
      </c>
      <c r="F441" s="11">
        <v>46166</v>
      </c>
      <c r="G441" s="6" t="s">
        <v>1079</v>
      </c>
      <c r="H441" s="7" t="s">
        <v>32</v>
      </c>
      <c r="I441" s="7" t="s">
        <v>998</v>
      </c>
      <c r="J441" s="7" t="s">
        <v>816</v>
      </c>
      <c r="K441" s="7" t="s">
        <v>29</v>
      </c>
      <c r="L441" s="3" t="str">
        <f>E441&amp;D441</f>
        <v>E.SP.IPAEE_INS_SEG_C_I_CIRCUITO VIA CA_0030</v>
      </c>
      <c r="M441" s="3" t="str">
        <f>IFERROR(MID(D441,SEARCH("S_I_",D441,1),3),"")</f>
        <v/>
      </c>
      <c r="N441" s="3" t="str">
        <f>IFERROR(MID(D441,SEARCH("C_I_",D441,1),3),"")</f>
        <v>C_I</v>
      </c>
      <c r="O441" s="3" t="str">
        <f>IF(AND(M441="",N441=""),"Extra","")</f>
        <v/>
      </c>
      <c r="P441" s="3" t="str">
        <f>IF(Q441=0,"TERCEIRO","MRS")</f>
        <v>MRS</v>
      </c>
      <c r="Q441" s="8" t="str">
        <f>IFERROR(VLOOKUP(L441,#REF!,4,0),"0,00")</f>
        <v>0,00</v>
      </c>
      <c r="R441" s="9" t="s">
        <v>30</v>
      </c>
      <c r="S441" s="9">
        <f>COUNTIF(D441,"*_SEG_*")</f>
        <v>1</v>
      </c>
      <c r="T441" s="9">
        <f>COUNTIF(D441,"*_MAN_*")</f>
        <v>0</v>
      </c>
      <c r="U441" s="9">
        <f>(RIGHT(D441,4))*1</f>
        <v>30</v>
      </c>
      <c r="V441" s="9" t="str">
        <f>IFERROR(VLOOKUP(I441,#REF!,2,0),"Sinalização")</f>
        <v>Sinalização</v>
      </c>
    </row>
    <row r="442" spans="1:22" x14ac:dyDescent="0.25">
      <c r="A442" s="3" t="s">
        <v>22</v>
      </c>
      <c r="B442" s="4">
        <v>23513634</v>
      </c>
      <c r="C442" s="5" t="s">
        <v>23</v>
      </c>
      <c r="D442" s="6" t="s">
        <v>814</v>
      </c>
      <c r="E442" s="6" t="s">
        <v>25</v>
      </c>
      <c r="F442" s="11">
        <v>46166</v>
      </c>
      <c r="G442" s="6" t="s">
        <v>1079</v>
      </c>
      <c r="H442" s="7" t="s">
        <v>32</v>
      </c>
      <c r="I442" s="7" t="s">
        <v>321</v>
      </c>
      <c r="J442" s="7" t="s">
        <v>816</v>
      </c>
      <c r="K442" s="7" t="s">
        <v>29</v>
      </c>
      <c r="L442" s="3" t="str">
        <f>E442&amp;D442</f>
        <v>E.SP.IPAEE_INS_SEG_C_I_CIRCUITO VIA CA_0030</v>
      </c>
      <c r="M442" s="3" t="str">
        <f>IFERROR(MID(D442,SEARCH("S_I_",D442,1),3),"")</f>
        <v/>
      </c>
      <c r="N442" s="3" t="str">
        <f>IFERROR(MID(D442,SEARCH("C_I_",D442,1),3),"")</f>
        <v>C_I</v>
      </c>
      <c r="O442" s="3" t="str">
        <f>IF(AND(M442="",N442=""),"Extra","")</f>
        <v/>
      </c>
      <c r="P442" s="3" t="str">
        <f>IF(Q442=0,"TERCEIRO","MRS")</f>
        <v>MRS</v>
      </c>
      <c r="Q442" s="8" t="str">
        <f>IFERROR(VLOOKUP(L442,#REF!,4,0),"0,00")</f>
        <v>0,00</v>
      </c>
      <c r="R442" s="9" t="s">
        <v>30</v>
      </c>
      <c r="S442" s="9">
        <f>COUNTIF(D442,"*_SEG_*")</f>
        <v>1</v>
      </c>
      <c r="T442" s="9">
        <f>COUNTIF(D442,"*_MAN_*")</f>
        <v>0</v>
      </c>
      <c r="U442" s="9">
        <f>(RIGHT(D442,4))*1</f>
        <v>30</v>
      </c>
      <c r="V442" s="9" t="str">
        <f>IFERROR(VLOOKUP(I442,#REF!,2,0),"Sinalização")</f>
        <v>Sinalização</v>
      </c>
    </row>
    <row r="443" spans="1:22" x14ac:dyDescent="0.25">
      <c r="A443" s="3" t="s">
        <v>22</v>
      </c>
      <c r="B443" s="4">
        <v>23513635</v>
      </c>
      <c r="C443" s="5" t="s">
        <v>23</v>
      </c>
      <c r="D443" s="6" t="s">
        <v>814</v>
      </c>
      <c r="E443" s="6" t="s">
        <v>25</v>
      </c>
      <c r="F443" s="11">
        <v>46166</v>
      </c>
      <c r="G443" s="6" t="s">
        <v>1079</v>
      </c>
      <c r="H443" s="7" t="s">
        <v>26</v>
      </c>
      <c r="I443" s="7" t="s">
        <v>436</v>
      </c>
      <c r="J443" s="7" t="s">
        <v>816</v>
      </c>
      <c r="K443" s="7" t="s">
        <v>29</v>
      </c>
      <c r="L443" s="3" t="str">
        <f>E443&amp;D443</f>
        <v>E.SP.IPAEE_INS_SEG_C_I_CIRCUITO VIA CA_0030</v>
      </c>
      <c r="M443" s="3" t="str">
        <f>IFERROR(MID(D443,SEARCH("S_I_",D443,1),3),"")</f>
        <v/>
      </c>
      <c r="N443" s="3" t="str">
        <f>IFERROR(MID(D443,SEARCH("C_I_",D443,1),3),"")</f>
        <v>C_I</v>
      </c>
      <c r="O443" s="3" t="str">
        <f>IF(AND(M443="",N443=""),"Extra","")</f>
        <v/>
      </c>
      <c r="P443" s="3" t="str">
        <f>IF(Q443=0,"TERCEIRO","MRS")</f>
        <v>MRS</v>
      </c>
      <c r="Q443" s="8" t="str">
        <f>IFERROR(VLOOKUP(L443,#REF!,4,0),"0,00")</f>
        <v>0,00</v>
      </c>
      <c r="R443" s="9" t="s">
        <v>30</v>
      </c>
      <c r="S443" s="9">
        <f>COUNTIF(D443,"*_SEG_*")</f>
        <v>1</v>
      </c>
      <c r="T443" s="9">
        <f>COUNTIF(D443,"*_MAN_*")</f>
        <v>0</v>
      </c>
      <c r="U443" s="9">
        <f>(RIGHT(D443,4))*1</f>
        <v>30</v>
      </c>
      <c r="V443" s="9" t="str">
        <f>IFERROR(VLOOKUP(I443,#REF!,2,0),"Sinalização")</f>
        <v>Sinalização</v>
      </c>
    </row>
    <row r="444" spans="1:22" x14ac:dyDescent="0.25">
      <c r="A444" s="3" t="s">
        <v>22</v>
      </c>
      <c r="B444" s="4">
        <v>23513636</v>
      </c>
      <c r="C444" s="5" t="s">
        <v>23</v>
      </c>
      <c r="D444" s="6" t="s">
        <v>814</v>
      </c>
      <c r="E444" s="6" t="s">
        <v>25</v>
      </c>
      <c r="F444" s="11">
        <v>46166</v>
      </c>
      <c r="G444" s="6" t="s">
        <v>1079</v>
      </c>
      <c r="H444" s="7" t="s">
        <v>26</v>
      </c>
      <c r="I444" s="7" t="s">
        <v>435</v>
      </c>
      <c r="J444" s="7" t="s">
        <v>816</v>
      </c>
      <c r="K444" s="7" t="s">
        <v>29</v>
      </c>
      <c r="L444" s="3" t="str">
        <f>E444&amp;D444</f>
        <v>E.SP.IPAEE_INS_SEG_C_I_CIRCUITO VIA CA_0030</v>
      </c>
      <c r="M444" s="3" t="str">
        <f>IFERROR(MID(D444,SEARCH("S_I_",D444,1),3),"")</f>
        <v/>
      </c>
      <c r="N444" s="3" t="str">
        <f>IFERROR(MID(D444,SEARCH("C_I_",D444,1),3),"")</f>
        <v>C_I</v>
      </c>
      <c r="O444" s="3" t="str">
        <f>IF(AND(M444="",N444=""),"Extra","")</f>
        <v/>
      </c>
      <c r="P444" s="3" t="str">
        <f>IF(Q444=0,"TERCEIRO","MRS")</f>
        <v>MRS</v>
      </c>
      <c r="Q444" s="8" t="str">
        <f>IFERROR(VLOOKUP(L444,#REF!,4,0),"0,00")</f>
        <v>0,00</v>
      </c>
      <c r="R444" s="9" t="s">
        <v>30</v>
      </c>
      <c r="S444" s="9">
        <f>COUNTIF(D444,"*_SEG_*")</f>
        <v>1</v>
      </c>
      <c r="T444" s="9">
        <f>COUNTIF(D444,"*_MAN_*")</f>
        <v>0</v>
      </c>
      <c r="U444" s="9">
        <f>(RIGHT(D444,4))*1</f>
        <v>30</v>
      </c>
      <c r="V444" s="9" t="str">
        <f>IFERROR(VLOOKUP(I444,#REF!,2,0),"Sinalização")</f>
        <v>Sinalização</v>
      </c>
    </row>
    <row r="445" spans="1:22" x14ac:dyDescent="0.25">
      <c r="A445" s="3" t="s">
        <v>22</v>
      </c>
      <c r="B445" s="4">
        <v>23513637</v>
      </c>
      <c r="C445" s="5" t="s">
        <v>23</v>
      </c>
      <c r="D445" s="6" t="s">
        <v>814</v>
      </c>
      <c r="E445" s="6" t="s">
        <v>25</v>
      </c>
      <c r="F445" s="11">
        <v>46166</v>
      </c>
      <c r="G445" s="6" t="s">
        <v>1079</v>
      </c>
      <c r="H445" s="7" t="s">
        <v>32</v>
      </c>
      <c r="I445" s="7" t="s">
        <v>434</v>
      </c>
      <c r="J445" s="7" t="s">
        <v>816</v>
      </c>
      <c r="K445" s="7" t="s">
        <v>29</v>
      </c>
      <c r="L445" s="3" t="str">
        <f>E445&amp;D445</f>
        <v>E.SP.IPAEE_INS_SEG_C_I_CIRCUITO VIA CA_0030</v>
      </c>
      <c r="M445" s="3" t="str">
        <f>IFERROR(MID(D445,SEARCH("S_I_",D445,1),3),"")</f>
        <v/>
      </c>
      <c r="N445" s="3" t="str">
        <f>IFERROR(MID(D445,SEARCH("C_I_",D445,1),3),"")</f>
        <v>C_I</v>
      </c>
      <c r="O445" s="3" t="str">
        <f>IF(AND(M445="",N445=""),"Extra","")</f>
        <v/>
      </c>
      <c r="P445" s="3" t="str">
        <f>IF(Q445=0,"TERCEIRO","MRS")</f>
        <v>MRS</v>
      </c>
      <c r="Q445" s="8" t="str">
        <f>IFERROR(VLOOKUP(L445,#REF!,4,0),"0,00")</f>
        <v>0,00</v>
      </c>
      <c r="R445" s="9" t="s">
        <v>30</v>
      </c>
      <c r="S445" s="9">
        <f>COUNTIF(D445,"*_SEG_*")</f>
        <v>1</v>
      </c>
      <c r="T445" s="9">
        <f>COUNTIF(D445,"*_MAN_*")</f>
        <v>0</v>
      </c>
      <c r="U445" s="9">
        <f>(RIGHT(D445,4))*1</f>
        <v>30</v>
      </c>
      <c r="V445" s="9" t="str">
        <f>IFERROR(VLOOKUP(I445,#REF!,2,0),"Sinalização")</f>
        <v>Sinalização</v>
      </c>
    </row>
    <row r="446" spans="1:22" x14ac:dyDescent="0.25">
      <c r="A446" s="3" t="s">
        <v>22</v>
      </c>
      <c r="B446" s="4">
        <v>23513638</v>
      </c>
      <c r="C446" s="5" t="s">
        <v>23</v>
      </c>
      <c r="D446" s="6" t="s">
        <v>814</v>
      </c>
      <c r="E446" s="6" t="s">
        <v>25</v>
      </c>
      <c r="F446" s="11">
        <v>46166</v>
      </c>
      <c r="G446" s="6" t="s">
        <v>1079</v>
      </c>
      <c r="H446" s="7" t="s">
        <v>32</v>
      </c>
      <c r="I446" s="7" t="s">
        <v>437</v>
      </c>
      <c r="J446" s="7" t="s">
        <v>816</v>
      </c>
      <c r="K446" s="7" t="s">
        <v>29</v>
      </c>
      <c r="L446" s="3" t="str">
        <f>E446&amp;D446</f>
        <v>E.SP.IPAEE_INS_SEG_C_I_CIRCUITO VIA CA_0030</v>
      </c>
      <c r="M446" s="3" t="str">
        <f>IFERROR(MID(D446,SEARCH("S_I_",D446,1),3),"")</f>
        <v/>
      </c>
      <c r="N446" s="3" t="str">
        <f>IFERROR(MID(D446,SEARCH("C_I_",D446,1),3),"")</f>
        <v>C_I</v>
      </c>
      <c r="O446" s="3" t="str">
        <f>IF(AND(M446="",N446=""),"Extra","")</f>
        <v/>
      </c>
      <c r="P446" s="3" t="str">
        <f>IF(Q446=0,"TERCEIRO","MRS")</f>
        <v>MRS</v>
      </c>
      <c r="Q446" s="8" t="str">
        <f>IFERROR(VLOOKUP(L446,#REF!,4,0),"0,00")</f>
        <v>0,00</v>
      </c>
      <c r="R446" s="9" t="s">
        <v>30</v>
      </c>
      <c r="S446" s="9">
        <f>COUNTIF(D446,"*_SEG_*")</f>
        <v>1</v>
      </c>
      <c r="T446" s="9">
        <f>COUNTIF(D446,"*_MAN_*")</f>
        <v>0</v>
      </c>
      <c r="U446" s="9">
        <f>(RIGHT(D446,4))*1</f>
        <v>30</v>
      </c>
      <c r="V446" s="9" t="str">
        <f>IFERROR(VLOOKUP(I446,#REF!,2,0),"Sinalização")</f>
        <v>Sinalização</v>
      </c>
    </row>
    <row r="447" spans="1:22" x14ac:dyDescent="0.25">
      <c r="A447" s="3" t="s">
        <v>22</v>
      </c>
      <c r="B447" s="4">
        <v>23513639</v>
      </c>
      <c r="C447" s="5" t="s">
        <v>23</v>
      </c>
      <c r="D447" s="6" t="s">
        <v>814</v>
      </c>
      <c r="E447" s="6" t="s">
        <v>25</v>
      </c>
      <c r="F447" s="11">
        <v>46166</v>
      </c>
      <c r="G447" s="6" t="s">
        <v>1079</v>
      </c>
      <c r="H447" s="7" t="s">
        <v>26</v>
      </c>
      <c r="I447" s="7" t="s">
        <v>438</v>
      </c>
      <c r="J447" s="7" t="s">
        <v>816</v>
      </c>
      <c r="K447" s="7" t="s">
        <v>29</v>
      </c>
      <c r="L447" s="3" t="str">
        <f>E447&amp;D447</f>
        <v>E.SP.IPAEE_INS_SEG_C_I_CIRCUITO VIA CA_0030</v>
      </c>
      <c r="M447" s="3" t="str">
        <f>IFERROR(MID(D447,SEARCH("S_I_",D447,1),3),"")</f>
        <v/>
      </c>
      <c r="N447" s="3" t="str">
        <f>IFERROR(MID(D447,SEARCH("C_I_",D447,1),3),"")</f>
        <v>C_I</v>
      </c>
      <c r="O447" s="3" t="str">
        <f>IF(AND(M447="",N447=""),"Extra","")</f>
        <v/>
      </c>
      <c r="P447" s="3" t="str">
        <f>IF(Q447=0,"TERCEIRO","MRS")</f>
        <v>MRS</v>
      </c>
      <c r="Q447" s="8" t="str">
        <f>IFERROR(VLOOKUP(L447,#REF!,4,0),"0,00")</f>
        <v>0,00</v>
      </c>
      <c r="R447" s="9" t="s">
        <v>30</v>
      </c>
      <c r="S447" s="9">
        <f>COUNTIF(D447,"*_SEG_*")</f>
        <v>1</v>
      </c>
      <c r="T447" s="9">
        <f>COUNTIF(D447,"*_MAN_*")</f>
        <v>0</v>
      </c>
      <c r="U447" s="9">
        <f>(RIGHT(D447,4))*1</f>
        <v>30</v>
      </c>
      <c r="V447" s="9" t="str">
        <f>IFERROR(VLOOKUP(I447,#REF!,2,0),"Sinalização")</f>
        <v>Sinalização</v>
      </c>
    </row>
    <row r="448" spans="1:22" x14ac:dyDescent="0.25">
      <c r="A448" s="3" t="s">
        <v>22</v>
      </c>
      <c r="B448" s="4">
        <v>23513640</v>
      </c>
      <c r="C448" s="5" t="s">
        <v>23</v>
      </c>
      <c r="D448" s="6" t="s">
        <v>814</v>
      </c>
      <c r="E448" s="6" t="s">
        <v>25</v>
      </c>
      <c r="F448" s="11">
        <v>46166</v>
      </c>
      <c r="G448" s="6" t="s">
        <v>1079</v>
      </c>
      <c r="H448" s="7" t="s">
        <v>26</v>
      </c>
      <c r="I448" s="7" t="s">
        <v>369</v>
      </c>
      <c r="J448" s="7" t="s">
        <v>816</v>
      </c>
      <c r="K448" s="7" t="s">
        <v>29</v>
      </c>
      <c r="L448" s="3" t="str">
        <f>E448&amp;D448</f>
        <v>E.SP.IPAEE_INS_SEG_C_I_CIRCUITO VIA CA_0030</v>
      </c>
      <c r="M448" s="3" t="str">
        <f>IFERROR(MID(D448,SEARCH("S_I_",D448,1),3),"")</f>
        <v/>
      </c>
      <c r="N448" s="3" t="str">
        <f>IFERROR(MID(D448,SEARCH("C_I_",D448,1),3),"")</f>
        <v>C_I</v>
      </c>
      <c r="O448" s="3" t="str">
        <f>IF(AND(M448="",N448=""),"Extra","")</f>
        <v/>
      </c>
      <c r="P448" s="3" t="str">
        <f>IF(Q448=0,"TERCEIRO","MRS")</f>
        <v>MRS</v>
      </c>
      <c r="Q448" s="8" t="str">
        <f>IFERROR(VLOOKUP(L448,#REF!,4,0),"0,00")</f>
        <v>0,00</v>
      </c>
      <c r="R448" s="9" t="s">
        <v>30</v>
      </c>
      <c r="S448" s="9">
        <f>COUNTIF(D448,"*_SEG_*")</f>
        <v>1</v>
      </c>
      <c r="T448" s="9">
        <f>COUNTIF(D448,"*_MAN_*")</f>
        <v>0</v>
      </c>
      <c r="U448" s="9">
        <f>(RIGHT(D448,4))*1</f>
        <v>30</v>
      </c>
      <c r="V448" s="9" t="str">
        <f>IFERROR(VLOOKUP(I448,#REF!,2,0),"Sinalização")</f>
        <v>Sinalização</v>
      </c>
    </row>
    <row r="449" spans="1:22" x14ac:dyDescent="0.25">
      <c r="A449" s="3" t="s">
        <v>22</v>
      </c>
      <c r="B449" s="4">
        <v>23513641</v>
      </c>
      <c r="C449" s="5" t="s">
        <v>23</v>
      </c>
      <c r="D449" s="6" t="s">
        <v>814</v>
      </c>
      <c r="E449" s="6" t="s">
        <v>25</v>
      </c>
      <c r="F449" s="11">
        <v>46166</v>
      </c>
      <c r="G449" s="6" t="s">
        <v>1079</v>
      </c>
      <c r="H449" s="7" t="s">
        <v>32</v>
      </c>
      <c r="I449" s="7" t="s">
        <v>370</v>
      </c>
      <c r="J449" s="7" t="s">
        <v>816</v>
      </c>
      <c r="K449" s="7" t="s">
        <v>29</v>
      </c>
      <c r="L449" s="3" t="str">
        <f>E449&amp;D449</f>
        <v>E.SP.IPAEE_INS_SEG_C_I_CIRCUITO VIA CA_0030</v>
      </c>
      <c r="M449" s="3" t="str">
        <f>IFERROR(MID(D449,SEARCH("S_I_",D449,1),3),"")</f>
        <v/>
      </c>
      <c r="N449" s="3" t="str">
        <f>IFERROR(MID(D449,SEARCH("C_I_",D449,1),3),"")</f>
        <v>C_I</v>
      </c>
      <c r="O449" s="3" t="str">
        <f>IF(AND(M449="",N449=""),"Extra","")</f>
        <v/>
      </c>
      <c r="P449" s="3" t="str">
        <f>IF(Q449=0,"TERCEIRO","MRS")</f>
        <v>MRS</v>
      </c>
      <c r="Q449" s="8" t="str">
        <f>IFERROR(VLOOKUP(L449,#REF!,4,0),"0,00")</f>
        <v>0,00</v>
      </c>
      <c r="R449" s="9" t="s">
        <v>30</v>
      </c>
      <c r="S449" s="9">
        <f>COUNTIF(D449,"*_SEG_*")</f>
        <v>1</v>
      </c>
      <c r="T449" s="9">
        <f>COUNTIF(D449,"*_MAN_*")</f>
        <v>0</v>
      </c>
      <c r="U449" s="9">
        <f>(RIGHT(D449,4))*1</f>
        <v>30</v>
      </c>
      <c r="V449" s="9" t="str">
        <f>IFERROR(VLOOKUP(I449,#REF!,2,0),"Sinalização")</f>
        <v>Sinalização</v>
      </c>
    </row>
    <row r="450" spans="1:22" x14ac:dyDescent="0.25">
      <c r="A450" s="3" t="s">
        <v>22</v>
      </c>
      <c r="B450" s="4">
        <v>23513644</v>
      </c>
      <c r="C450" s="5" t="s">
        <v>23</v>
      </c>
      <c r="D450" s="6" t="s">
        <v>814</v>
      </c>
      <c r="E450" s="6" t="s">
        <v>25</v>
      </c>
      <c r="F450" s="11">
        <v>46166</v>
      </c>
      <c r="G450" s="6" t="s">
        <v>1079</v>
      </c>
      <c r="H450" s="7" t="s">
        <v>32</v>
      </c>
      <c r="I450" s="7" t="s">
        <v>495</v>
      </c>
      <c r="J450" s="7" t="s">
        <v>816</v>
      </c>
      <c r="K450" s="7" t="s">
        <v>29</v>
      </c>
      <c r="L450" s="3" t="str">
        <f>E450&amp;D450</f>
        <v>E.SP.IPAEE_INS_SEG_C_I_CIRCUITO VIA CA_0030</v>
      </c>
      <c r="M450" s="3" t="str">
        <f>IFERROR(MID(D450,SEARCH("S_I_",D450,1),3),"")</f>
        <v/>
      </c>
      <c r="N450" s="3" t="str">
        <f>IFERROR(MID(D450,SEARCH("C_I_",D450,1),3),"")</f>
        <v>C_I</v>
      </c>
      <c r="O450" s="3" t="str">
        <f>IF(AND(M450="",N450=""),"Extra","")</f>
        <v/>
      </c>
      <c r="P450" s="3" t="str">
        <f>IF(Q450=0,"TERCEIRO","MRS")</f>
        <v>MRS</v>
      </c>
      <c r="Q450" s="8" t="str">
        <f>IFERROR(VLOOKUP(L450,#REF!,4,0),"0,00")</f>
        <v>0,00</v>
      </c>
      <c r="R450" s="9" t="s">
        <v>30</v>
      </c>
      <c r="S450" s="9">
        <f>COUNTIF(D450,"*_SEG_*")</f>
        <v>1</v>
      </c>
      <c r="T450" s="9">
        <f>COUNTIF(D450,"*_MAN_*")</f>
        <v>0</v>
      </c>
      <c r="U450" s="9">
        <f>(RIGHT(D450,4))*1</f>
        <v>30</v>
      </c>
      <c r="V450" s="9" t="str">
        <f>IFERROR(VLOOKUP(I450,#REF!,2,0),"Sinalização")</f>
        <v>Sinalização</v>
      </c>
    </row>
    <row r="451" spans="1:22" x14ac:dyDescent="0.25">
      <c r="A451" s="3" t="s">
        <v>22</v>
      </c>
      <c r="B451" s="4">
        <v>23513645</v>
      </c>
      <c r="C451" s="5" t="s">
        <v>23</v>
      </c>
      <c r="D451" s="6" t="s">
        <v>814</v>
      </c>
      <c r="E451" s="6" t="s">
        <v>25</v>
      </c>
      <c r="F451" s="11">
        <v>46166</v>
      </c>
      <c r="G451" s="6" t="s">
        <v>1079</v>
      </c>
      <c r="H451" s="7" t="s">
        <v>26</v>
      </c>
      <c r="I451" s="7" t="s">
        <v>999</v>
      </c>
      <c r="J451" s="7" t="s">
        <v>816</v>
      </c>
      <c r="K451" s="7" t="s">
        <v>29</v>
      </c>
      <c r="L451" s="3" t="str">
        <f>E451&amp;D451</f>
        <v>E.SP.IPAEE_INS_SEG_C_I_CIRCUITO VIA CA_0030</v>
      </c>
      <c r="M451" s="3" t="str">
        <f>IFERROR(MID(D451,SEARCH("S_I_",D451,1),3),"")</f>
        <v/>
      </c>
      <c r="N451" s="3" t="str">
        <f>IFERROR(MID(D451,SEARCH("C_I_",D451,1),3),"")</f>
        <v>C_I</v>
      </c>
      <c r="O451" s="3" t="str">
        <f>IF(AND(M451="",N451=""),"Extra","")</f>
        <v/>
      </c>
      <c r="P451" s="3" t="str">
        <f>IF(Q451=0,"TERCEIRO","MRS")</f>
        <v>MRS</v>
      </c>
      <c r="Q451" s="8" t="str">
        <f>IFERROR(VLOOKUP(L451,#REF!,4,0),"0,00")</f>
        <v>0,00</v>
      </c>
      <c r="R451" s="9" t="s">
        <v>30</v>
      </c>
      <c r="S451" s="9">
        <f>COUNTIF(D451,"*_SEG_*")</f>
        <v>1</v>
      </c>
      <c r="T451" s="9">
        <f>COUNTIF(D451,"*_MAN_*")</f>
        <v>0</v>
      </c>
      <c r="U451" s="9">
        <f>(RIGHT(D451,4))*1</f>
        <v>30</v>
      </c>
      <c r="V451" s="9" t="str">
        <f>IFERROR(VLOOKUP(I451,#REF!,2,0),"Sinalização")</f>
        <v>Sinalização</v>
      </c>
    </row>
    <row r="452" spans="1:22" x14ac:dyDescent="0.25">
      <c r="A452" s="3" t="s">
        <v>22</v>
      </c>
      <c r="B452" s="4">
        <v>23513766</v>
      </c>
      <c r="C452" s="5" t="s">
        <v>23</v>
      </c>
      <c r="D452" s="6" t="s">
        <v>985</v>
      </c>
      <c r="E452" s="6" t="s">
        <v>25</v>
      </c>
      <c r="F452" s="11">
        <v>46166</v>
      </c>
      <c r="G452" s="6" t="s">
        <v>1079</v>
      </c>
      <c r="H452" s="7" t="s">
        <v>26</v>
      </c>
      <c r="I452" s="7" t="s">
        <v>419</v>
      </c>
      <c r="J452" s="7" t="s">
        <v>958</v>
      </c>
      <c r="K452" s="7" t="s">
        <v>29</v>
      </c>
      <c r="L452" s="3" t="str">
        <f>E452&amp;D452</f>
        <v>E.SP.IPAEE_INS_SEG_C_I_MCH 110V GRS 55BR R_0030</v>
      </c>
      <c r="M452" s="3" t="str">
        <f>IFERROR(MID(D452,SEARCH("S_I_",D452,1),3),"")</f>
        <v/>
      </c>
      <c r="N452" s="3" t="str">
        <f>IFERROR(MID(D452,SEARCH("C_I_",D452,1),3),"")</f>
        <v>C_I</v>
      </c>
      <c r="O452" s="3" t="str">
        <f>IF(AND(M452="",N452=""),"Extra","")</f>
        <v/>
      </c>
      <c r="P452" s="3" t="str">
        <f>IF(Q452=0,"TERCEIRO","MRS")</f>
        <v>MRS</v>
      </c>
      <c r="Q452" s="8" t="str">
        <f>IFERROR(VLOOKUP(L452,#REF!,4,0),"0,00")</f>
        <v>0,00</v>
      </c>
      <c r="R452" s="9" t="s">
        <v>30</v>
      </c>
      <c r="S452" s="9">
        <f>COUNTIF(D452,"*_SEG_*")</f>
        <v>1</v>
      </c>
      <c r="T452" s="9">
        <f>COUNTIF(D452,"*_MAN_*")</f>
        <v>0</v>
      </c>
      <c r="U452" s="9">
        <f>(RIGHT(D452,4))*1</f>
        <v>30</v>
      </c>
      <c r="V452" s="9" t="str">
        <f>IFERROR(VLOOKUP(I452,#REF!,2,0),"Sinalização")</f>
        <v>Sinalização</v>
      </c>
    </row>
    <row r="453" spans="1:22" x14ac:dyDescent="0.25">
      <c r="A453" s="3" t="s">
        <v>22</v>
      </c>
      <c r="B453" s="4">
        <v>23513768</v>
      </c>
      <c r="C453" s="5" t="s">
        <v>23</v>
      </c>
      <c r="D453" s="6" t="s">
        <v>985</v>
      </c>
      <c r="E453" s="6" t="s">
        <v>25</v>
      </c>
      <c r="F453" s="11">
        <v>46166</v>
      </c>
      <c r="G453" s="6" t="s">
        <v>1079</v>
      </c>
      <c r="H453" s="7" t="s">
        <v>32</v>
      </c>
      <c r="I453" s="7" t="s">
        <v>390</v>
      </c>
      <c r="J453" s="7" t="s">
        <v>958</v>
      </c>
      <c r="K453" s="7" t="s">
        <v>29</v>
      </c>
      <c r="L453" s="3" t="str">
        <f>E453&amp;D453</f>
        <v>E.SP.IPAEE_INS_SEG_C_I_MCH 110V GRS 55BR R_0030</v>
      </c>
      <c r="M453" s="3" t="str">
        <f>IFERROR(MID(D453,SEARCH("S_I_",D453,1),3),"")</f>
        <v/>
      </c>
      <c r="N453" s="3" t="str">
        <f>IFERROR(MID(D453,SEARCH("C_I_",D453,1),3),"")</f>
        <v>C_I</v>
      </c>
      <c r="O453" s="3" t="str">
        <f>IF(AND(M453="",N453=""),"Extra","")</f>
        <v/>
      </c>
      <c r="P453" s="3" t="str">
        <f>IF(Q453=0,"TERCEIRO","MRS")</f>
        <v>MRS</v>
      </c>
      <c r="Q453" s="8" t="str">
        <f>IFERROR(VLOOKUP(L453,#REF!,4,0),"0,00")</f>
        <v>0,00</v>
      </c>
      <c r="R453" s="9" t="s">
        <v>30</v>
      </c>
      <c r="S453" s="9">
        <f>COUNTIF(D453,"*_SEG_*")</f>
        <v>1</v>
      </c>
      <c r="T453" s="9">
        <f>COUNTIF(D453,"*_MAN_*")</f>
        <v>0</v>
      </c>
      <c r="U453" s="9">
        <f>(RIGHT(D453,4))*1</f>
        <v>30</v>
      </c>
      <c r="V453" s="9" t="str">
        <f>IFERROR(VLOOKUP(I453,#REF!,2,0),"Sinalização")</f>
        <v>Sinalização</v>
      </c>
    </row>
    <row r="454" spans="1:22" x14ac:dyDescent="0.25">
      <c r="A454" s="3" t="s">
        <v>22</v>
      </c>
      <c r="B454" s="4">
        <v>23513770</v>
      </c>
      <c r="C454" s="5" t="s">
        <v>23</v>
      </c>
      <c r="D454" s="6" t="s">
        <v>985</v>
      </c>
      <c r="E454" s="6" t="s">
        <v>25</v>
      </c>
      <c r="F454" s="11">
        <v>46166</v>
      </c>
      <c r="G454" s="6" t="s">
        <v>1079</v>
      </c>
      <c r="H454" s="7" t="s">
        <v>32</v>
      </c>
      <c r="I454" s="7" t="s">
        <v>418</v>
      </c>
      <c r="J454" s="7" t="s">
        <v>958</v>
      </c>
      <c r="K454" s="7" t="s">
        <v>29</v>
      </c>
      <c r="L454" s="3" t="str">
        <f>E454&amp;D454</f>
        <v>E.SP.IPAEE_INS_SEG_C_I_MCH 110V GRS 55BR R_0030</v>
      </c>
      <c r="M454" s="3" t="str">
        <f>IFERROR(MID(D454,SEARCH("S_I_",D454,1),3),"")</f>
        <v/>
      </c>
      <c r="N454" s="3" t="str">
        <f>IFERROR(MID(D454,SEARCH("C_I_",D454,1),3),"")</f>
        <v>C_I</v>
      </c>
      <c r="O454" s="3" t="str">
        <f>IF(AND(M454="",N454=""),"Extra","")</f>
        <v/>
      </c>
      <c r="P454" s="3" t="str">
        <f>IF(Q454=0,"TERCEIRO","MRS")</f>
        <v>MRS</v>
      </c>
      <c r="Q454" s="8" t="str">
        <f>IFERROR(VLOOKUP(L454,#REF!,4,0),"0,00")</f>
        <v>0,00</v>
      </c>
      <c r="R454" s="9" t="s">
        <v>30</v>
      </c>
      <c r="S454" s="9">
        <f>COUNTIF(D454,"*_SEG_*")</f>
        <v>1</v>
      </c>
      <c r="T454" s="9">
        <f>COUNTIF(D454,"*_MAN_*")</f>
        <v>0</v>
      </c>
      <c r="U454" s="9">
        <f>(RIGHT(D454,4))*1</f>
        <v>30</v>
      </c>
      <c r="V454" s="9" t="str">
        <f>IFERROR(VLOOKUP(I454,#REF!,2,0),"Sinalização")</f>
        <v>Sinalização</v>
      </c>
    </row>
    <row r="455" spans="1:22" x14ac:dyDescent="0.25">
      <c r="A455" s="3" t="s">
        <v>22</v>
      </c>
      <c r="B455" s="4">
        <v>23513772</v>
      </c>
      <c r="C455" s="5" t="s">
        <v>23</v>
      </c>
      <c r="D455" s="6" t="s">
        <v>985</v>
      </c>
      <c r="E455" s="6" t="s">
        <v>25</v>
      </c>
      <c r="F455" s="11">
        <v>46166</v>
      </c>
      <c r="G455" s="6" t="s">
        <v>1079</v>
      </c>
      <c r="H455" s="7" t="s">
        <v>26</v>
      </c>
      <c r="I455" s="7" t="s">
        <v>479</v>
      </c>
      <c r="J455" s="7" t="s">
        <v>958</v>
      </c>
      <c r="K455" s="7" t="s">
        <v>29</v>
      </c>
      <c r="L455" s="3" t="str">
        <f>E455&amp;D455</f>
        <v>E.SP.IPAEE_INS_SEG_C_I_MCH 110V GRS 55BR R_0030</v>
      </c>
      <c r="M455" s="3" t="str">
        <f>IFERROR(MID(D455,SEARCH("S_I_",D455,1),3),"")</f>
        <v/>
      </c>
      <c r="N455" s="3" t="str">
        <f>IFERROR(MID(D455,SEARCH("C_I_",D455,1),3),"")</f>
        <v>C_I</v>
      </c>
      <c r="O455" s="3" t="str">
        <f>IF(AND(M455="",N455=""),"Extra","")</f>
        <v/>
      </c>
      <c r="P455" s="3" t="str">
        <f>IF(Q455=0,"TERCEIRO","MRS")</f>
        <v>MRS</v>
      </c>
      <c r="Q455" s="8" t="str">
        <f>IFERROR(VLOOKUP(L455,#REF!,4,0),"0,00")</f>
        <v>0,00</v>
      </c>
      <c r="R455" s="9" t="s">
        <v>30</v>
      </c>
      <c r="S455" s="9">
        <f>COUNTIF(D455,"*_SEG_*")</f>
        <v>1</v>
      </c>
      <c r="T455" s="9">
        <f>COUNTIF(D455,"*_MAN_*")</f>
        <v>0</v>
      </c>
      <c r="U455" s="9">
        <f>(RIGHT(D455,4))*1</f>
        <v>30</v>
      </c>
      <c r="V455" s="9" t="str">
        <f>IFERROR(VLOOKUP(I455,#REF!,2,0),"Sinalização")</f>
        <v>Sinalização</v>
      </c>
    </row>
    <row r="456" spans="1:22" x14ac:dyDescent="0.25">
      <c r="A456" s="3" t="s">
        <v>22</v>
      </c>
      <c r="B456" s="4">
        <v>23513774</v>
      </c>
      <c r="C456" s="5" t="s">
        <v>23</v>
      </c>
      <c r="D456" s="6" t="s">
        <v>985</v>
      </c>
      <c r="E456" s="6" t="s">
        <v>25</v>
      </c>
      <c r="F456" s="11">
        <v>46166</v>
      </c>
      <c r="G456" s="6" t="s">
        <v>1079</v>
      </c>
      <c r="H456" s="7" t="s">
        <v>26</v>
      </c>
      <c r="I456" s="7" t="s">
        <v>480</v>
      </c>
      <c r="J456" s="7" t="s">
        <v>958</v>
      </c>
      <c r="K456" s="7" t="s">
        <v>29</v>
      </c>
      <c r="L456" s="3" t="str">
        <f>E456&amp;D456</f>
        <v>E.SP.IPAEE_INS_SEG_C_I_MCH 110V GRS 55BR R_0030</v>
      </c>
      <c r="M456" s="3" t="str">
        <f>IFERROR(MID(D456,SEARCH("S_I_",D456,1),3),"")</f>
        <v/>
      </c>
      <c r="N456" s="3" t="str">
        <f>IFERROR(MID(D456,SEARCH("C_I_",D456,1),3),"")</f>
        <v>C_I</v>
      </c>
      <c r="O456" s="3" t="str">
        <f>IF(AND(M456="",N456=""),"Extra","")</f>
        <v/>
      </c>
      <c r="P456" s="3" t="str">
        <f>IF(Q456=0,"TERCEIRO","MRS")</f>
        <v>MRS</v>
      </c>
      <c r="Q456" s="8" t="str">
        <f>IFERROR(VLOOKUP(L456,#REF!,4,0),"0,00")</f>
        <v>0,00</v>
      </c>
      <c r="R456" s="9" t="s">
        <v>30</v>
      </c>
      <c r="S456" s="9">
        <f>COUNTIF(D456,"*_SEG_*")</f>
        <v>1</v>
      </c>
      <c r="T456" s="9">
        <f>COUNTIF(D456,"*_MAN_*")</f>
        <v>0</v>
      </c>
      <c r="U456" s="9">
        <f>(RIGHT(D456,4))*1</f>
        <v>30</v>
      </c>
      <c r="V456" s="9" t="str">
        <f>IFERROR(VLOOKUP(I456,#REF!,2,0),"Sinalização")</f>
        <v>Sinalização</v>
      </c>
    </row>
    <row r="457" spans="1:22" x14ac:dyDescent="0.25">
      <c r="A457" s="3" t="s">
        <v>22</v>
      </c>
      <c r="B457" s="4">
        <v>23513777</v>
      </c>
      <c r="C457" s="5" t="s">
        <v>23</v>
      </c>
      <c r="D457" s="6" t="s">
        <v>985</v>
      </c>
      <c r="E457" s="6" t="s">
        <v>25</v>
      </c>
      <c r="F457" s="11">
        <v>46166</v>
      </c>
      <c r="G457" s="6" t="s">
        <v>1079</v>
      </c>
      <c r="H457" s="7" t="s">
        <v>32</v>
      </c>
      <c r="I457" s="7" t="s">
        <v>483</v>
      </c>
      <c r="J457" s="7" t="s">
        <v>958</v>
      </c>
      <c r="K457" s="7" t="s">
        <v>29</v>
      </c>
      <c r="L457" s="3" t="str">
        <f>E457&amp;D457</f>
        <v>E.SP.IPAEE_INS_SEG_C_I_MCH 110V GRS 55BR R_0030</v>
      </c>
      <c r="M457" s="3" t="str">
        <f>IFERROR(MID(D457,SEARCH("S_I_",D457,1),3),"")</f>
        <v/>
      </c>
      <c r="N457" s="3" t="str">
        <f>IFERROR(MID(D457,SEARCH("C_I_",D457,1),3),"")</f>
        <v>C_I</v>
      </c>
      <c r="O457" s="3" t="str">
        <f>IF(AND(M457="",N457=""),"Extra","")</f>
        <v/>
      </c>
      <c r="P457" s="3" t="str">
        <f>IF(Q457=0,"TERCEIRO","MRS")</f>
        <v>MRS</v>
      </c>
      <c r="Q457" s="8" t="str">
        <f>IFERROR(VLOOKUP(L457,#REF!,4,0),"0,00")</f>
        <v>0,00</v>
      </c>
      <c r="R457" s="9" t="s">
        <v>30</v>
      </c>
      <c r="S457" s="9">
        <f>COUNTIF(D457,"*_SEG_*")</f>
        <v>1</v>
      </c>
      <c r="T457" s="9">
        <f>COUNTIF(D457,"*_MAN_*")</f>
        <v>0</v>
      </c>
      <c r="U457" s="9">
        <f>(RIGHT(D457,4))*1</f>
        <v>30</v>
      </c>
      <c r="V457" s="9" t="str">
        <f>IFERROR(VLOOKUP(I457,#REF!,2,0),"Sinalização")</f>
        <v>Sinalização</v>
      </c>
    </row>
    <row r="458" spans="1:22" x14ac:dyDescent="0.25">
      <c r="A458" s="3" t="s">
        <v>22</v>
      </c>
      <c r="B458" s="4">
        <v>23513778</v>
      </c>
      <c r="C458" s="5" t="s">
        <v>23</v>
      </c>
      <c r="D458" s="6" t="s">
        <v>985</v>
      </c>
      <c r="E458" s="6" t="s">
        <v>25</v>
      </c>
      <c r="F458" s="11">
        <v>46166</v>
      </c>
      <c r="G458" s="6" t="s">
        <v>1079</v>
      </c>
      <c r="H458" s="7" t="s">
        <v>32</v>
      </c>
      <c r="I458" s="7" t="s">
        <v>481</v>
      </c>
      <c r="J458" s="7" t="s">
        <v>958</v>
      </c>
      <c r="K458" s="7" t="s">
        <v>29</v>
      </c>
      <c r="L458" s="3" t="str">
        <f>E458&amp;D458</f>
        <v>E.SP.IPAEE_INS_SEG_C_I_MCH 110V GRS 55BR R_0030</v>
      </c>
      <c r="M458" s="3" t="str">
        <f>IFERROR(MID(D458,SEARCH("S_I_",D458,1),3),"")</f>
        <v/>
      </c>
      <c r="N458" s="3" t="str">
        <f>IFERROR(MID(D458,SEARCH("C_I_",D458,1),3),"")</f>
        <v>C_I</v>
      </c>
      <c r="O458" s="3" t="str">
        <f>IF(AND(M458="",N458=""),"Extra","")</f>
        <v/>
      </c>
      <c r="P458" s="3" t="str">
        <f>IF(Q458=0,"TERCEIRO","MRS")</f>
        <v>MRS</v>
      </c>
      <c r="Q458" s="8" t="str">
        <f>IFERROR(VLOOKUP(L458,#REF!,4,0),"0,00")</f>
        <v>0,00</v>
      </c>
      <c r="R458" s="9" t="s">
        <v>30</v>
      </c>
      <c r="S458" s="9">
        <f>COUNTIF(D458,"*_SEG_*")</f>
        <v>1</v>
      </c>
      <c r="T458" s="9">
        <f>COUNTIF(D458,"*_MAN_*")</f>
        <v>0</v>
      </c>
      <c r="U458" s="9">
        <f>(RIGHT(D458,4))*1</f>
        <v>30</v>
      </c>
      <c r="V458" s="9" t="str">
        <f>IFERROR(VLOOKUP(I458,#REF!,2,0),"Sinalização")</f>
        <v>Sinalização</v>
      </c>
    </row>
    <row r="459" spans="1:22" x14ac:dyDescent="0.25">
      <c r="A459" s="3" t="s">
        <v>22</v>
      </c>
      <c r="B459" s="4">
        <v>23513780</v>
      </c>
      <c r="C459" s="5" t="s">
        <v>23</v>
      </c>
      <c r="D459" s="6" t="s">
        <v>985</v>
      </c>
      <c r="E459" s="6" t="s">
        <v>25</v>
      </c>
      <c r="F459" s="11">
        <v>46166</v>
      </c>
      <c r="G459" s="6" t="s">
        <v>1079</v>
      </c>
      <c r="H459" s="7" t="s">
        <v>26</v>
      </c>
      <c r="I459" s="7" t="s">
        <v>482</v>
      </c>
      <c r="J459" s="7" t="s">
        <v>958</v>
      </c>
      <c r="K459" s="7" t="s">
        <v>29</v>
      </c>
      <c r="L459" s="3" t="str">
        <f>E459&amp;D459</f>
        <v>E.SP.IPAEE_INS_SEG_C_I_MCH 110V GRS 55BR R_0030</v>
      </c>
      <c r="M459" s="3" t="str">
        <f>IFERROR(MID(D459,SEARCH("S_I_",D459,1),3),"")</f>
        <v/>
      </c>
      <c r="N459" s="3" t="str">
        <f>IFERROR(MID(D459,SEARCH("C_I_",D459,1),3),"")</f>
        <v>C_I</v>
      </c>
      <c r="O459" s="3" t="str">
        <f>IF(AND(M459="",N459=""),"Extra","")</f>
        <v/>
      </c>
      <c r="P459" s="3" t="str">
        <f>IF(Q459=0,"TERCEIRO","MRS")</f>
        <v>MRS</v>
      </c>
      <c r="Q459" s="8" t="str">
        <f>IFERROR(VLOOKUP(L459,#REF!,4,0),"0,00")</f>
        <v>0,00</v>
      </c>
      <c r="R459" s="9" t="s">
        <v>30</v>
      </c>
      <c r="S459" s="9">
        <f>COUNTIF(D459,"*_SEG_*")</f>
        <v>1</v>
      </c>
      <c r="T459" s="9">
        <f>COUNTIF(D459,"*_MAN_*")</f>
        <v>0</v>
      </c>
      <c r="U459" s="9">
        <f>(RIGHT(D459,4))*1</f>
        <v>30</v>
      </c>
      <c r="V459" s="9" t="str">
        <f>IFERROR(VLOOKUP(I459,#REF!,2,0),"Sinalização")</f>
        <v>Sinalização</v>
      </c>
    </row>
    <row r="460" spans="1:22" x14ac:dyDescent="0.25">
      <c r="A460" s="3" t="s">
        <v>22</v>
      </c>
      <c r="B460" s="4">
        <v>23514187</v>
      </c>
      <c r="C460" s="5" t="s">
        <v>23</v>
      </c>
      <c r="D460" s="6" t="s">
        <v>831</v>
      </c>
      <c r="E460" s="6" t="s">
        <v>25</v>
      </c>
      <c r="F460" s="11">
        <v>46166</v>
      </c>
      <c r="G460" s="6" t="s">
        <v>1079</v>
      </c>
      <c r="H460" s="7" t="s">
        <v>26</v>
      </c>
      <c r="I460" s="7" t="s">
        <v>347</v>
      </c>
      <c r="J460" s="7" t="s">
        <v>832</v>
      </c>
      <c r="K460" s="7" t="s">
        <v>29</v>
      </c>
      <c r="L460" s="3" t="str">
        <f>E460&amp;D460</f>
        <v>E.SP.IPAEE_INS_SEG_C_I_CIRCUITO VIA CA_1_0030</v>
      </c>
      <c r="M460" s="3" t="str">
        <f>IFERROR(MID(D460,SEARCH("S_I_",D460,1),3),"")</f>
        <v/>
      </c>
      <c r="N460" s="3" t="str">
        <f>IFERROR(MID(D460,SEARCH("C_I_",D460,1),3),"")</f>
        <v>C_I</v>
      </c>
      <c r="O460" s="3" t="str">
        <f>IF(AND(M460="",N460=""),"Extra","")</f>
        <v/>
      </c>
      <c r="P460" s="3" t="str">
        <f>IF(Q460=0,"TERCEIRO","MRS")</f>
        <v>MRS</v>
      </c>
      <c r="Q460" s="8" t="str">
        <f>IFERROR(VLOOKUP(L460,#REF!,4,0),"0,00")</f>
        <v>0,00</v>
      </c>
      <c r="R460" s="9" t="s">
        <v>30</v>
      </c>
      <c r="S460" s="9">
        <f>COUNTIF(D460,"*_SEG_*")</f>
        <v>1</v>
      </c>
      <c r="T460" s="9">
        <f>COUNTIF(D460,"*_MAN_*")</f>
        <v>0</v>
      </c>
      <c r="U460" s="9">
        <f>(RIGHT(D460,4))*1</f>
        <v>30</v>
      </c>
      <c r="V460" s="9" t="str">
        <f>IFERROR(VLOOKUP(I460,#REF!,2,0),"Sinalização")</f>
        <v>Sinalização</v>
      </c>
    </row>
    <row r="461" spans="1:22" x14ac:dyDescent="0.25">
      <c r="A461" s="3" t="s">
        <v>22</v>
      </c>
      <c r="B461" s="4">
        <v>23514188</v>
      </c>
      <c r="C461" s="5" t="s">
        <v>23</v>
      </c>
      <c r="D461" s="6" t="s">
        <v>831</v>
      </c>
      <c r="E461" s="6" t="s">
        <v>25</v>
      </c>
      <c r="F461" s="11">
        <v>46166</v>
      </c>
      <c r="G461" s="6" t="s">
        <v>1079</v>
      </c>
      <c r="H461" s="7" t="s">
        <v>32</v>
      </c>
      <c r="I461" s="7" t="s">
        <v>348</v>
      </c>
      <c r="J461" s="7" t="s">
        <v>832</v>
      </c>
      <c r="K461" s="7" t="s">
        <v>29</v>
      </c>
      <c r="L461" s="3" t="str">
        <f>E461&amp;D461</f>
        <v>E.SP.IPAEE_INS_SEG_C_I_CIRCUITO VIA CA_1_0030</v>
      </c>
      <c r="M461" s="3" t="str">
        <f>IFERROR(MID(D461,SEARCH("S_I_",D461,1),3),"")</f>
        <v/>
      </c>
      <c r="N461" s="3" t="str">
        <f>IFERROR(MID(D461,SEARCH("C_I_",D461,1),3),"")</f>
        <v>C_I</v>
      </c>
      <c r="O461" s="3" t="str">
        <f>IF(AND(M461="",N461=""),"Extra","")</f>
        <v/>
      </c>
      <c r="P461" s="3" t="str">
        <f>IF(Q461=0,"TERCEIRO","MRS")</f>
        <v>MRS</v>
      </c>
      <c r="Q461" s="8" t="str">
        <f>IFERROR(VLOOKUP(L461,#REF!,4,0),"0,00")</f>
        <v>0,00</v>
      </c>
      <c r="R461" s="9" t="s">
        <v>30</v>
      </c>
      <c r="S461" s="9">
        <f>COUNTIF(D461,"*_SEG_*")</f>
        <v>1</v>
      </c>
      <c r="T461" s="9">
        <f>COUNTIF(D461,"*_MAN_*")</f>
        <v>0</v>
      </c>
      <c r="U461" s="9">
        <f>(RIGHT(D461,4))*1</f>
        <v>30</v>
      </c>
      <c r="V461" s="9" t="str">
        <f>IFERROR(VLOOKUP(I461,#REF!,2,0),"Sinalização")</f>
        <v>Sinalização</v>
      </c>
    </row>
    <row r="462" spans="1:22" x14ac:dyDescent="0.25">
      <c r="A462" s="3" t="s">
        <v>22</v>
      </c>
      <c r="B462" s="4">
        <v>23514194</v>
      </c>
      <c r="C462" s="5" t="s">
        <v>23</v>
      </c>
      <c r="D462" s="6" t="s">
        <v>831</v>
      </c>
      <c r="E462" s="6" t="s">
        <v>25</v>
      </c>
      <c r="F462" s="11">
        <v>46166</v>
      </c>
      <c r="G462" s="6" t="s">
        <v>1079</v>
      </c>
      <c r="H462" s="7" t="s">
        <v>32</v>
      </c>
      <c r="I462" s="7" t="s">
        <v>992</v>
      </c>
      <c r="J462" s="7" t="s">
        <v>832</v>
      </c>
      <c r="K462" s="7" t="s">
        <v>29</v>
      </c>
      <c r="L462" s="3" t="str">
        <f>E462&amp;D462</f>
        <v>E.SP.IPAEE_INS_SEG_C_I_CIRCUITO VIA CA_1_0030</v>
      </c>
      <c r="M462" s="3" t="str">
        <f>IFERROR(MID(D462,SEARCH("S_I_",D462,1),3),"")</f>
        <v/>
      </c>
      <c r="N462" s="3" t="str">
        <f>IFERROR(MID(D462,SEARCH("C_I_",D462,1),3),"")</f>
        <v>C_I</v>
      </c>
      <c r="O462" s="3" t="str">
        <f>IF(AND(M462="",N462=""),"Extra","")</f>
        <v/>
      </c>
      <c r="P462" s="3" t="str">
        <f>IF(Q462=0,"TERCEIRO","MRS")</f>
        <v>MRS</v>
      </c>
      <c r="Q462" s="8" t="str">
        <f>IFERROR(VLOOKUP(L462,#REF!,4,0),"0,00")</f>
        <v>0,00</v>
      </c>
      <c r="R462" s="9" t="s">
        <v>30</v>
      </c>
      <c r="S462" s="9">
        <f>COUNTIF(D462,"*_SEG_*")</f>
        <v>1</v>
      </c>
      <c r="T462" s="9">
        <f>COUNTIF(D462,"*_MAN_*")</f>
        <v>0</v>
      </c>
      <c r="U462" s="9">
        <f>(RIGHT(D462,4))*1</f>
        <v>30</v>
      </c>
      <c r="V462" s="9" t="str">
        <f>IFERROR(VLOOKUP(I462,#REF!,2,0),"Sinalização")</f>
        <v>Sinalização</v>
      </c>
    </row>
    <row r="463" spans="1:22" x14ac:dyDescent="0.25">
      <c r="A463" s="3" t="s">
        <v>22</v>
      </c>
      <c r="B463" s="4">
        <v>23514195</v>
      </c>
      <c r="C463" s="5" t="s">
        <v>23</v>
      </c>
      <c r="D463" s="6" t="s">
        <v>831</v>
      </c>
      <c r="E463" s="6" t="s">
        <v>25</v>
      </c>
      <c r="F463" s="11">
        <v>46166</v>
      </c>
      <c r="G463" s="6" t="s">
        <v>1079</v>
      </c>
      <c r="H463" s="7" t="s">
        <v>26</v>
      </c>
      <c r="I463" s="7" t="s">
        <v>340</v>
      </c>
      <c r="J463" s="7" t="s">
        <v>832</v>
      </c>
      <c r="K463" s="7" t="s">
        <v>29</v>
      </c>
      <c r="L463" s="3" t="str">
        <f>E463&amp;D463</f>
        <v>E.SP.IPAEE_INS_SEG_C_I_CIRCUITO VIA CA_1_0030</v>
      </c>
      <c r="M463" s="3" t="str">
        <f>IFERROR(MID(D463,SEARCH("S_I_",D463,1),3),"")</f>
        <v/>
      </c>
      <c r="N463" s="3" t="str">
        <f>IFERROR(MID(D463,SEARCH("C_I_",D463,1),3),"")</f>
        <v>C_I</v>
      </c>
      <c r="O463" s="3" t="str">
        <f>IF(AND(M463="",N463=""),"Extra","")</f>
        <v/>
      </c>
      <c r="P463" s="3" t="str">
        <f>IF(Q463=0,"TERCEIRO","MRS")</f>
        <v>MRS</v>
      </c>
      <c r="Q463" s="8" t="str">
        <f>IFERROR(VLOOKUP(L463,#REF!,4,0),"0,00")</f>
        <v>0,00</v>
      </c>
      <c r="R463" s="9" t="s">
        <v>30</v>
      </c>
      <c r="S463" s="9">
        <f>COUNTIF(D463,"*_SEG_*")</f>
        <v>1</v>
      </c>
      <c r="T463" s="9">
        <f>COUNTIF(D463,"*_MAN_*")</f>
        <v>0</v>
      </c>
      <c r="U463" s="9">
        <f>(RIGHT(D463,4))*1</f>
        <v>30</v>
      </c>
      <c r="V463" s="9" t="str">
        <f>IFERROR(VLOOKUP(I463,#REF!,2,0),"Sinalização")</f>
        <v>Sinalização</v>
      </c>
    </row>
    <row r="464" spans="1:22" x14ac:dyDescent="0.25">
      <c r="A464" s="3" t="s">
        <v>22</v>
      </c>
      <c r="B464" s="4">
        <v>23514196</v>
      </c>
      <c r="C464" s="5" t="s">
        <v>23</v>
      </c>
      <c r="D464" s="6" t="s">
        <v>831</v>
      </c>
      <c r="E464" s="6" t="s">
        <v>25</v>
      </c>
      <c r="F464" s="11">
        <v>46166</v>
      </c>
      <c r="G464" s="6" t="s">
        <v>1079</v>
      </c>
      <c r="H464" s="7" t="s">
        <v>26</v>
      </c>
      <c r="I464" s="7" t="s">
        <v>991</v>
      </c>
      <c r="J464" s="7" t="s">
        <v>832</v>
      </c>
      <c r="K464" s="7" t="s">
        <v>29</v>
      </c>
      <c r="L464" s="3" t="str">
        <f>E464&amp;D464</f>
        <v>E.SP.IPAEE_INS_SEG_C_I_CIRCUITO VIA CA_1_0030</v>
      </c>
      <c r="M464" s="3" t="str">
        <f>IFERROR(MID(D464,SEARCH("S_I_",D464,1),3),"")</f>
        <v/>
      </c>
      <c r="N464" s="3" t="str">
        <f>IFERROR(MID(D464,SEARCH("C_I_",D464,1),3),"")</f>
        <v>C_I</v>
      </c>
      <c r="O464" s="3" t="str">
        <f>IF(AND(M464="",N464=""),"Extra","")</f>
        <v/>
      </c>
      <c r="P464" s="3" t="str">
        <f>IF(Q464=0,"TERCEIRO","MRS")</f>
        <v>MRS</v>
      </c>
      <c r="Q464" s="8" t="str">
        <f>IFERROR(VLOOKUP(L464,#REF!,4,0),"0,00")</f>
        <v>0,00</v>
      </c>
      <c r="R464" s="9" t="s">
        <v>30</v>
      </c>
      <c r="S464" s="9">
        <f>COUNTIF(D464,"*_SEG_*")</f>
        <v>1</v>
      </c>
      <c r="T464" s="9">
        <f>COUNTIF(D464,"*_MAN_*")</f>
        <v>0</v>
      </c>
      <c r="U464" s="9">
        <f>(RIGHT(D464,4))*1</f>
        <v>30</v>
      </c>
      <c r="V464" s="9" t="str">
        <f>IFERROR(VLOOKUP(I464,#REF!,2,0),"Sinalização")</f>
        <v>Sinalização</v>
      </c>
    </row>
    <row r="465" spans="1:22" x14ac:dyDescent="0.25">
      <c r="A465" s="3" t="s">
        <v>22</v>
      </c>
      <c r="B465" s="4">
        <v>23514198</v>
      </c>
      <c r="C465" s="5" t="s">
        <v>23</v>
      </c>
      <c r="D465" s="6" t="s">
        <v>831</v>
      </c>
      <c r="E465" s="6" t="s">
        <v>25</v>
      </c>
      <c r="F465" s="11">
        <v>46166</v>
      </c>
      <c r="G465" s="6" t="s">
        <v>1079</v>
      </c>
      <c r="H465" s="7" t="s">
        <v>32</v>
      </c>
      <c r="I465" s="7" t="s">
        <v>362</v>
      </c>
      <c r="J465" s="7" t="s">
        <v>832</v>
      </c>
      <c r="K465" s="7" t="s">
        <v>29</v>
      </c>
      <c r="L465" s="3" t="str">
        <f>E465&amp;D465</f>
        <v>E.SP.IPAEE_INS_SEG_C_I_CIRCUITO VIA CA_1_0030</v>
      </c>
      <c r="M465" s="3" t="str">
        <f>IFERROR(MID(D465,SEARCH("S_I_",D465,1),3),"")</f>
        <v/>
      </c>
      <c r="N465" s="3" t="str">
        <f>IFERROR(MID(D465,SEARCH("C_I_",D465,1),3),"")</f>
        <v>C_I</v>
      </c>
      <c r="O465" s="3" t="str">
        <f>IF(AND(M465="",N465=""),"Extra","")</f>
        <v/>
      </c>
      <c r="P465" s="3" t="str">
        <f>IF(Q465=0,"TERCEIRO","MRS")</f>
        <v>MRS</v>
      </c>
      <c r="Q465" s="8" t="str">
        <f>IFERROR(VLOOKUP(L465,#REF!,4,0),"0,00")</f>
        <v>0,00</v>
      </c>
      <c r="R465" s="9" t="s">
        <v>30</v>
      </c>
      <c r="S465" s="9">
        <f>COUNTIF(D465,"*_SEG_*")</f>
        <v>1</v>
      </c>
      <c r="T465" s="9">
        <f>COUNTIF(D465,"*_MAN_*")</f>
        <v>0</v>
      </c>
      <c r="U465" s="9">
        <f>(RIGHT(D465,4))*1</f>
        <v>30</v>
      </c>
      <c r="V465" s="9" t="str">
        <f>IFERROR(VLOOKUP(I465,#REF!,2,0),"Sinalização")</f>
        <v>Sinalização</v>
      </c>
    </row>
    <row r="466" spans="1:22" x14ac:dyDescent="0.25">
      <c r="A466" s="3" t="s">
        <v>22</v>
      </c>
      <c r="B466" s="4">
        <v>23514202</v>
      </c>
      <c r="C466" s="5" t="s">
        <v>23</v>
      </c>
      <c r="D466" s="6" t="s">
        <v>831</v>
      </c>
      <c r="E466" s="6" t="s">
        <v>25</v>
      </c>
      <c r="F466" s="11">
        <v>46166</v>
      </c>
      <c r="G466" s="6" t="s">
        <v>1079</v>
      </c>
      <c r="H466" s="7" t="s">
        <v>32</v>
      </c>
      <c r="I466" s="7" t="s">
        <v>425</v>
      </c>
      <c r="J466" s="7" t="s">
        <v>832</v>
      </c>
      <c r="K466" s="7" t="s">
        <v>29</v>
      </c>
      <c r="L466" s="3" t="str">
        <f>E466&amp;D466</f>
        <v>E.SP.IPAEE_INS_SEG_C_I_CIRCUITO VIA CA_1_0030</v>
      </c>
      <c r="M466" s="3" t="str">
        <f>IFERROR(MID(D466,SEARCH("S_I_",D466,1),3),"")</f>
        <v/>
      </c>
      <c r="N466" s="3" t="str">
        <f>IFERROR(MID(D466,SEARCH("C_I_",D466,1),3),"")</f>
        <v>C_I</v>
      </c>
      <c r="O466" s="3" t="str">
        <f>IF(AND(M466="",N466=""),"Extra","")</f>
        <v/>
      </c>
      <c r="P466" s="3" t="str">
        <f>IF(Q466=0,"TERCEIRO","MRS")</f>
        <v>MRS</v>
      </c>
      <c r="Q466" s="8" t="str">
        <f>IFERROR(VLOOKUP(L466,#REF!,4,0),"0,00")</f>
        <v>0,00</v>
      </c>
      <c r="R466" s="9" t="s">
        <v>30</v>
      </c>
      <c r="S466" s="9">
        <f>COUNTIF(D466,"*_SEG_*")</f>
        <v>1</v>
      </c>
      <c r="T466" s="9">
        <f>COUNTIF(D466,"*_MAN_*")</f>
        <v>0</v>
      </c>
      <c r="U466" s="9">
        <f>(RIGHT(D466,4))*1</f>
        <v>30</v>
      </c>
      <c r="V466" s="9" t="str">
        <f>IFERROR(VLOOKUP(I466,#REF!,2,0),"Sinalização")</f>
        <v>Sinalização</v>
      </c>
    </row>
    <row r="467" spans="1:22" x14ac:dyDescent="0.25">
      <c r="A467" s="3" t="s">
        <v>22</v>
      </c>
      <c r="B467" s="4">
        <v>23514203</v>
      </c>
      <c r="C467" s="5" t="s">
        <v>23</v>
      </c>
      <c r="D467" s="6" t="s">
        <v>831</v>
      </c>
      <c r="E467" s="6" t="s">
        <v>25</v>
      </c>
      <c r="F467" s="11">
        <v>46166</v>
      </c>
      <c r="G467" s="6" t="s">
        <v>1079</v>
      </c>
      <c r="H467" s="7" t="s">
        <v>26</v>
      </c>
      <c r="I467" s="7" t="s">
        <v>765</v>
      </c>
      <c r="J467" s="7" t="s">
        <v>832</v>
      </c>
      <c r="K467" s="7" t="s">
        <v>29</v>
      </c>
      <c r="L467" s="3" t="str">
        <f>E467&amp;D467</f>
        <v>E.SP.IPAEE_INS_SEG_C_I_CIRCUITO VIA CA_1_0030</v>
      </c>
      <c r="M467" s="3" t="str">
        <f>IFERROR(MID(D467,SEARCH("S_I_",D467,1),3),"")</f>
        <v/>
      </c>
      <c r="N467" s="3" t="str">
        <f>IFERROR(MID(D467,SEARCH("C_I_",D467,1),3),"")</f>
        <v>C_I</v>
      </c>
      <c r="O467" s="3" t="str">
        <f>IF(AND(M467="",N467=""),"Extra","")</f>
        <v/>
      </c>
      <c r="P467" s="3" t="str">
        <f>IF(Q467=0,"TERCEIRO","MRS")</f>
        <v>MRS</v>
      </c>
      <c r="Q467" s="8" t="str">
        <f>IFERROR(VLOOKUP(L467,#REF!,4,0),"0,00")</f>
        <v>0,00</v>
      </c>
      <c r="R467" s="9" t="s">
        <v>30</v>
      </c>
      <c r="S467" s="9">
        <f>COUNTIF(D467,"*_SEG_*")</f>
        <v>1</v>
      </c>
      <c r="T467" s="9">
        <f>COUNTIF(D467,"*_MAN_*")</f>
        <v>0</v>
      </c>
      <c r="U467" s="9">
        <f>(RIGHT(D467,4))*1</f>
        <v>30</v>
      </c>
      <c r="V467" s="9" t="str">
        <f>IFERROR(VLOOKUP(I467,#REF!,2,0),"Sinalização")</f>
        <v>Sinalização</v>
      </c>
    </row>
    <row r="468" spans="1:22" x14ac:dyDescent="0.25">
      <c r="A468" s="3" t="s">
        <v>22</v>
      </c>
      <c r="B468" s="4">
        <v>23514204</v>
      </c>
      <c r="C468" s="5" t="s">
        <v>23</v>
      </c>
      <c r="D468" s="6" t="s">
        <v>831</v>
      </c>
      <c r="E468" s="6" t="s">
        <v>25</v>
      </c>
      <c r="F468" s="11">
        <v>46166</v>
      </c>
      <c r="G468" s="6" t="s">
        <v>1079</v>
      </c>
      <c r="H468" s="7" t="s">
        <v>26</v>
      </c>
      <c r="I468" s="7" t="s">
        <v>308</v>
      </c>
      <c r="J468" s="7" t="s">
        <v>832</v>
      </c>
      <c r="K468" s="7" t="s">
        <v>29</v>
      </c>
      <c r="L468" s="3" t="str">
        <f>E468&amp;D468</f>
        <v>E.SP.IPAEE_INS_SEG_C_I_CIRCUITO VIA CA_1_0030</v>
      </c>
      <c r="M468" s="3" t="str">
        <f>IFERROR(MID(D468,SEARCH("S_I_",D468,1),3),"")</f>
        <v/>
      </c>
      <c r="N468" s="3" t="str">
        <f>IFERROR(MID(D468,SEARCH("C_I_",D468,1),3),"")</f>
        <v>C_I</v>
      </c>
      <c r="O468" s="3" t="str">
        <f>IF(AND(M468="",N468=""),"Extra","")</f>
        <v/>
      </c>
      <c r="P468" s="3" t="str">
        <f>IF(Q468=0,"TERCEIRO","MRS")</f>
        <v>MRS</v>
      </c>
      <c r="Q468" s="8" t="str">
        <f>IFERROR(VLOOKUP(L468,#REF!,4,0),"0,00")</f>
        <v>0,00</v>
      </c>
      <c r="R468" s="9" t="s">
        <v>30</v>
      </c>
      <c r="S468" s="9">
        <f>COUNTIF(D468,"*_SEG_*")</f>
        <v>1</v>
      </c>
      <c r="T468" s="9">
        <f>COUNTIF(D468,"*_MAN_*")</f>
        <v>0</v>
      </c>
      <c r="U468" s="9">
        <f>(RIGHT(D468,4))*1</f>
        <v>30</v>
      </c>
      <c r="V468" s="9" t="str">
        <f>IFERROR(VLOOKUP(I468,#REF!,2,0),"Sinalização")</f>
        <v>Sinalização</v>
      </c>
    </row>
    <row r="469" spans="1:22" x14ac:dyDescent="0.25">
      <c r="A469" s="3" t="s">
        <v>22</v>
      </c>
      <c r="B469" s="4">
        <v>23514205</v>
      </c>
      <c r="C469" s="5" t="s">
        <v>23</v>
      </c>
      <c r="D469" s="6" t="s">
        <v>831</v>
      </c>
      <c r="E469" s="6" t="s">
        <v>25</v>
      </c>
      <c r="F469" s="11">
        <v>46166</v>
      </c>
      <c r="G469" s="6" t="s">
        <v>1079</v>
      </c>
      <c r="H469" s="7" t="s">
        <v>32</v>
      </c>
      <c r="I469" s="7" t="s">
        <v>320</v>
      </c>
      <c r="J469" s="7" t="s">
        <v>832</v>
      </c>
      <c r="K469" s="7" t="s">
        <v>29</v>
      </c>
      <c r="L469" s="3" t="str">
        <f>E469&amp;D469</f>
        <v>E.SP.IPAEE_INS_SEG_C_I_CIRCUITO VIA CA_1_0030</v>
      </c>
      <c r="M469" s="3" t="str">
        <f>IFERROR(MID(D469,SEARCH("S_I_",D469,1),3),"")</f>
        <v/>
      </c>
      <c r="N469" s="3" t="str">
        <f>IFERROR(MID(D469,SEARCH("C_I_",D469,1),3),"")</f>
        <v>C_I</v>
      </c>
      <c r="O469" s="3" t="str">
        <f>IF(AND(M469="",N469=""),"Extra","")</f>
        <v/>
      </c>
      <c r="P469" s="3" t="str">
        <f>IF(Q469=0,"TERCEIRO","MRS")</f>
        <v>MRS</v>
      </c>
      <c r="Q469" s="8" t="str">
        <f>IFERROR(VLOOKUP(L469,#REF!,4,0),"0,00")</f>
        <v>0,00</v>
      </c>
      <c r="R469" s="9" t="s">
        <v>30</v>
      </c>
      <c r="S469" s="9">
        <f>COUNTIF(D469,"*_SEG_*")</f>
        <v>1</v>
      </c>
      <c r="T469" s="9">
        <f>COUNTIF(D469,"*_MAN_*")</f>
        <v>0</v>
      </c>
      <c r="U469" s="9">
        <f>(RIGHT(D469,4))*1</f>
        <v>30</v>
      </c>
      <c r="V469" s="9" t="str">
        <f>IFERROR(VLOOKUP(I469,#REF!,2,0),"Sinalização")</f>
        <v>Sinalização</v>
      </c>
    </row>
    <row r="470" spans="1:22" x14ac:dyDescent="0.25">
      <c r="A470" s="3" t="s">
        <v>22</v>
      </c>
      <c r="B470" s="4">
        <v>23514208</v>
      </c>
      <c r="C470" s="5" t="s">
        <v>23</v>
      </c>
      <c r="D470" s="6" t="s">
        <v>831</v>
      </c>
      <c r="E470" s="6" t="s">
        <v>25</v>
      </c>
      <c r="F470" s="11">
        <v>46166</v>
      </c>
      <c r="G470" s="6" t="s">
        <v>1079</v>
      </c>
      <c r="H470" s="7" t="s">
        <v>32</v>
      </c>
      <c r="I470" s="7" t="s">
        <v>993</v>
      </c>
      <c r="J470" s="7" t="s">
        <v>832</v>
      </c>
      <c r="K470" s="7" t="s">
        <v>29</v>
      </c>
      <c r="L470" s="3" t="str">
        <f>E470&amp;D470</f>
        <v>E.SP.IPAEE_INS_SEG_C_I_CIRCUITO VIA CA_1_0030</v>
      </c>
      <c r="M470" s="3" t="str">
        <f>IFERROR(MID(D470,SEARCH("S_I_",D470,1),3),"")</f>
        <v/>
      </c>
      <c r="N470" s="3" t="str">
        <f>IFERROR(MID(D470,SEARCH("C_I_",D470,1),3),"")</f>
        <v>C_I</v>
      </c>
      <c r="O470" s="3" t="str">
        <f>IF(AND(M470="",N470=""),"Extra","")</f>
        <v/>
      </c>
      <c r="P470" s="3" t="str">
        <f>IF(Q470=0,"TERCEIRO","MRS")</f>
        <v>MRS</v>
      </c>
      <c r="Q470" s="8" t="str">
        <f>IFERROR(VLOOKUP(L470,#REF!,4,0),"0,00")</f>
        <v>0,00</v>
      </c>
      <c r="R470" s="9" t="s">
        <v>30</v>
      </c>
      <c r="S470" s="9">
        <f>COUNTIF(D470,"*_SEG_*")</f>
        <v>1</v>
      </c>
      <c r="T470" s="9">
        <f>COUNTIF(D470,"*_MAN_*")</f>
        <v>0</v>
      </c>
      <c r="U470" s="9">
        <f>(RIGHT(D470,4))*1</f>
        <v>30</v>
      </c>
      <c r="V470" s="9" t="str">
        <f>IFERROR(VLOOKUP(I470,#REF!,2,0),"Sinalização")</f>
        <v>Sinalização</v>
      </c>
    </row>
    <row r="471" spans="1:22" x14ac:dyDescent="0.25">
      <c r="A471" s="3" t="s">
        <v>22</v>
      </c>
      <c r="B471" s="4">
        <v>23514212</v>
      </c>
      <c r="C471" s="5" t="s">
        <v>23</v>
      </c>
      <c r="D471" s="6" t="s">
        <v>831</v>
      </c>
      <c r="E471" s="6" t="s">
        <v>25</v>
      </c>
      <c r="F471" s="11">
        <v>46166</v>
      </c>
      <c r="G471" s="6" t="s">
        <v>1079</v>
      </c>
      <c r="H471" s="7" t="s">
        <v>26</v>
      </c>
      <c r="I471" s="7" t="s">
        <v>307</v>
      </c>
      <c r="J471" s="7" t="s">
        <v>832</v>
      </c>
      <c r="K471" s="7" t="s">
        <v>29</v>
      </c>
      <c r="L471" s="3" t="str">
        <f>E471&amp;D471</f>
        <v>E.SP.IPAEE_INS_SEG_C_I_CIRCUITO VIA CA_1_0030</v>
      </c>
      <c r="M471" s="3" t="str">
        <f>IFERROR(MID(D471,SEARCH("S_I_",D471,1),3),"")</f>
        <v/>
      </c>
      <c r="N471" s="3" t="str">
        <f>IFERROR(MID(D471,SEARCH("C_I_",D471,1),3),"")</f>
        <v>C_I</v>
      </c>
      <c r="O471" s="3" t="str">
        <f>IF(AND(M471="",N471=""),"Extra","")</f>
        <v/>
      </c>
      <c r="P471" s="3" t="str">
        <f>IF(Q471=0,"TERCEIRO","MRS")</f>
        <v>MRS</v>
      </c>
      <c r="Q471" s="8" t="str">
        <f>IFERROR(VLOOKUP(L471,#REF!,4,0),"0,00")</f>
        <v>0,00</v>
      </c>
      <c r="R471" s="9" t="s">
        <v>30</v>
      </c>
      <c r="S471" s="9">
        <f>COUNTIF(D471,"*_SEG_*")</f>
        <v>1</v>
      </c>
      <c r="T471" s="9">
        <f>COUNTIF(D471,"*_MAN_*")</f>
        <v>0</v>
      </c>
      <c r="U471" s="9">
        <f>(RIGHT(D471,4))*1</f>
        <v>30</v>
      </c>
      <c r="V471" s="9" t="str">
        <f>IFERROR(VLOOKUP(I471,#REF!,2,0),"Sinalização")</f>
        <v>Sinalização</v>
      </c>
    </row>
    <row r="472" spans="1:22" x14ac:dyDescent="0.25">
      <c r="A472" s="3" t="s">
        <v>22</v>
      </c>
      <c r="B472" s="4">
        <v>23514217</v>
      </c>
      <c r="C472" s="5" t="s">
        <v>23</v>
      </c>
      <c r="D472" s="6" t="s">
        <v>831</v>
      </c>
      <c r="E472" s="6" t="s">
        <v>25</v>
      </c>
      <c r="F472" s="11">
        <v>46166</v>
      </c>
      <c r="G472" s="6" t="s">
        <v>1079</v>
      </c>
      <c r="H472" s="7" t="s">
        <v>26</v>
      </c>
      <c r="I472" s="7" t="s">
        <v>994</v>
      </c>
      <c r="J472" s="7" t="s">
        <v>832</v>
      </c>
      <c r="K472" s="7" t="s">
        <v>29</v>
      </c>
      <c r="L472" s="3" t="str">
        <f>E472&amp;D472</f>
        <v>E.SP.IPAEE_INS_SEG_C_I_CIRCUITO VIA CA_1_0030</v>
      </c>
      <c r="M472" s="3" t="str">
        <f>IFERROR(MID(D472,SEARCH("S_I_",D472,1),3),"")</f>
        <v/>
      </c>
      <c r="N472" s="3" t="str">
        <f>IFERROR(MID(D472,SEARCH("C_I_",D472,1),3),"")</f>
        <v>C_I</v>
      </c>
      <c r="O472" s="3" t="str">
        <f>IF(AND(M472="",N472=""),"Extra","")</f>
        <v/>
      </c>
      <c r="P472" s="3" t="str">
        <f>IF(Q472=0,"TERCEIRO","MRS")</f>
        <v>MRS</v>
      </c>
      <c r="Q472" s="8" t="str">
        <f>IFERROR(VLOOKUP(L472,#REF!,4,0),"0,00")</f>
        <v>0,00</v>
      </c>
      <c r="R472" s="9" t="s">
        <v>30</v>
      </c>
      <c r="S472" s="9">
        <f>COUNTIF(D472,"*_SEG_*")</f>
        <v>1</v>
      </c>
      <c r="T472" s="9">
        <f>COUNTIF(D472,"*_MAN_*")</f>
        <v>0</v>
      </c>
      <c r="U472" s="9">
        <f>(RIGHT(D472,4))*1</f>
        <v>30</v>
      </c>
      <c r="V472" s="9" t="str">
        <f>IFERROR(VLOOKUP(I472,#REF!,2,0),"Sinalização")</f>
        <v>Sinalização</v>
      </c>
    </row>
    <row r="473" spans="1:22" x14ac:dyDescent="0.25">
      <c r="A473" s="3" t="s">
        <v>22</v>
      </c>
      <c r="B473" s="4">
        <v>23514218</v>
      </c>
      <c r="C473" s="5" t="s">
        <v>23</v>
      </c>
      <c r="D473" s="6" t="s">
        <v>831</v>
      </c>
      <c r="E473" s="6" t="s">
        <v>25</v>
      </c>
      <c r="F473" s="11">
        <v>46166</v>
      </c>
      <c r="G473" s="6" t="s">
        <v>1079</v>
      </c>
      <c r="H473" s="7" t="s">
        <v>32</v>
      </c>
      <c r="I473" s="7" t="s">
        <v>995</v>
      </c>
      <c r="J473" s="7" t="s">
        <v>832</v>
      </c>
      <c r="K473" s="7" t="s">
        <v>29</v>
      </c>
      <c r="L473" s="3" t="str">
        <f>E473&amp;D473</f>
        <v>E.SP.IPAEE_INS_SEG_C_I_CIRCUITO VIA CA_1_0030</v>
      </c>
      <c r="M473" s="3" t="str">
        <f>IFERROR(MID(D473,SEARCH("S_I_",D473,1),3),"")</f>
        <v/>
      </c>
      <c r="N473" s="3" t="str">
        <f>IFERROR(MID(D473,SEARCH("C_I_",D473,1),3),"")</f>
        <v>C_I</v>
      </c>
      <c r="O473" s="3" t="str">
        <f>IF(AND(M473="",N473=""),"Extra","")</f>
        <v/>
      </c>
      <c r="P473" s="3" t="str">
        <f>IF(Q473=0,"TERCEIRO","MRS")</f>
        <v>MRS</v>
      </c>
      <c r="Q473" s="8" t="str">
        <f>IFERROR(VLOOKUP(L473,#REF!,4,0),"0,00")</f>
        <v>0,00</v>
      </c>
      <c r="R473" s="9" t="s">
        <v>30</v>
      </c>
      <c r="S473" s="9">
        <f>COUNTIF(D473,"*_SEG_*")</f>
        <v>1</v>
      </c>
      <c r="T473" s="9">
        <f>COUNTIF(D473,"*_MAN_*")</f>
        <v>0</v>
      </c>
      <c r="U473" s="9">
        <f>(RIGHT(D473,4))*1</f>
        <v>30</v>
      </c>
      <c r="V473" s="9" t="str">
        <f>IFERROR(VLOOKUP(I473,#REF!,2,0),"Sinalização")</f>
        <v>Sinalização</v>
      </c>
    </row>
    <row r="474" spans="1:22" x14ac:dyDescent="0.25">
      <c r="A474" s="3" t="s">
        <v>22</v>
      </c>
      <c r="B474" s="4">
        <v>23514219</v>
      </c>
      <c r="C474" s="5" t="s">
        <v>23</v>
      </c>
      <c r="D474" s="6" t="s">
        <v>831</v>
      </c>
      <c r="E474" s="6" t="s">
        <v>25</v>
      </c>
      <c r="F474" s="11">
        <v>46166</v>
      </c>
      <c r="G474" s="6" t="s">
        <v>1079</v>
      </c>
      <c r="H474" s="7" t="s">
        <v>32</v>
      </c>
      <c r="I474" s="7" t="s">
        <v>996</v>
      </c>
      <c r="J474" s="7" t="s">
        <v>832</v>
      </c>
      <c r="K474" s="7" t="s">
        <v>29</v>
      </c>
      <c r="L474" s="3" t="str">
        <f>E474&amp;D474</f>
        <v>E.SP.IPAEE_INS_SEG_C_I_CIRCUITO VIA CA_1_0030</v>
      </c>
      <c r="M474" s="3" t="str">
        <f>IFERROR(MID(D474,SEARCH("S_I_",D474,1),3),"")</f>
        <v/>
      </c>
      <c r="N474" s="3" t="str">
        <f>IFERROR(MID(D474,SEARCH("C_I_",D474,1),3),"")</f>
        <v>C_I</v>
      </c>
      <c r="O474" s="3" t="str">
        <f>IF(AND(M474="",N474=""),"Extra","")</f>
        <v/>
      </c>
      <c r="P474" s="3" t="str">
        <f>IF(Q474=0,"TERCEIRO","MRS")</f>
        <v>MRS</v>
      </c>
      <c r="Q474" s="8" t="str">
        <f>IFERROR(VLOOKUP(L474,#REF!,4,0),"0,00")</f>
        <v>0,00</v>
      </c>
      <c r="R474" s="9" t="s">
        <v>30</v>
      </c>
      <c r="S474" s="9">
        <f>COUNTIF(D474,"*_SEG_*")</f>
        <v>1</v>
      </c>
      <c r="T474" s="9">
        <f>COUNTIF(D474,"*_MAN_*")</f>
        <v>0</v>
      </c>
      <c r="U474" s="9">
        <f>(RIGHT(D474,4))*1</f>
        <v>30</v>
      </c>
      <c r="V474" s="9" t="str">
        <f>IFERROR(VLOOKUP(I474,#REF!,2,0),"Sinalização")</f>
        <v>Sinalização</v>
      </c>
    </row>
    <row r="475" spans="1:22" x14ac:dyDescent="0.25">
      <c r="A475" s="3" t="s">
        <v>22</v>
      </c>
      <c r="B475" s="4">
        <v>23514221</v>
      </c>
      <c r="C475" s="5" t="s">
        <v>23</v>
      </c>
      <c r="D475" s="6" t="s">
        <v>831</v>
      </c>
      <c r="E475" s="6" t="s">
        <v>25</v>
      </c>
      <c r="F475" s="11">
        <v>46166</v>
      </c>
      <c r="G475" s="6" t="s">
        <v>1079</v>
      </c>
      <c r="H475" s="7" t="s">
        <v>26</v>
      </c>
      <c r="I475" s="7" t="s">
        <v>997</v>
      </c>
      <c r="J475" s="7" t="s">
        <v>832</v>
      </c>
      <c r="K475" s="7" t="s">
        <v>29</v>
      </c>
      <c r="L475" s="3" t="str">
        <f>E475&amp;D475</f>
        <v>E.SP.IPAEE_INS_SEG_C_I_CIRCUITO VIA CA_1_0030</v>
      </c>
      <c r="M475" s="3" t="str">
        <f>IFERROR(MID(D475,SEARCH("S_I_",D475,1),3),"")</f>
        <v/>
      </c>
      <c r="N475" s="3" t="str">
        <f>IFERROR(MID(D475,SEARCH("C_I_",D475,1),3),"")</f>
        <v>C_I</v>
      </c>
      <c r="O475" s="3" t="str">
        <f>IF(AND(M475="",N475=""),"Extra","")</f>
        <v/>
      </c>
      <c r="P475" s="3" t="str">
        <f>IF(Q475=0,"TERCEIRO","MRS")</f>
        <v>MRS</v>
      </c>
      <c r="Q475" s="8" t="str">
        <f>IFERROR(VLOOKUP(L475,#REF!,4,0),"0,00")</f>
        <v>0,00</v>
      </c>
      <c r="R475" s="9" t="s">
        <v>30</v>
      </c>
      <c r="S475" s="9">
        <f>COUNTIF(D475,"*_SEG_*")</f>
        <v>1</v>
      </c>
      <c r="T475" s="9">
        <f>COUNTIF(D475,"*_MAN_*")</f>
        <v>0</v>
      </c>
      <c r="U475" s="9">
        <f>(RIGHT(D475,4))*1</f>
        <v>30</v>
      </c>
      <c r="V475" s="9" t="str">
        <f>IFERROR(VLOOKUP(I475,#REF!,2,0),"Sinalização")</f>
        <v>Sinalização</v>
      </c>
    </row>
    <row r="476" spans="1:22" x14ac:dyDescent="0.25">
      <c r="A476" s="3" t="s">
        <v>22</v>
      </c>
      <c r="B476" s="4">
        <v>23514224</v>
      </c>
      <c r="C476" s="5" t="s">
        <v>23</v>
      </c>
      <c r="D476" s="6" t="s">
        <v>831</v>
      </c>
      <c r="E476" s="6" t="s">
        <v>25</v>
      </c>
      <c r="F476" s="11">
        <v>46166</v>
      </c>
      <c r="G476" s="6" t="s">
        <v>1079</v>
      </c>
      <c r="H476" s="7" t="s">
        <v>26</v>
      </c>
      <c r="I476" s="7" t="s">
        <v>321</v>
      </c>
      <c r="J476" s="7" t="s">
        <v>832</v>
      </c>
      <c r="K476" s="7" t="s">
        <v>29</v>
      </c>
      <c r="L476" s="3" t="str">
        <f>E476&amp;D476</f>
        <v>E.SP.IPAEE_INS_SEG_C_I_CIRCUITO VIA CA_1_0030</v>
      </c>
      <c r="M476" s="3" t="str">
        <f>IFERROR(MID(D476,SEARCH("S_I_",D476,1),3),"")</f>
        <v/>
      </c>
      <c r="N476" s="3" t="str">
        <f>IFERROR(MID(D476,SEARCH("C_I_",D476,1),3),"")</f>
        <v>C_I</v>
      </c>
      <c r="O476" s="3" t="str">
        <f>IF(AND(M476="",N476=""),"Extra","")</f>
        <v/>
      </c>
      <c r="P476" s="3" t="str">
        <f>IF(Q476=0,"TERCEIRO","MRS")</f>
        <v>MRS</v>
      </c>
      <c r="Q476" s="8" t="str">
        <f>IFERROR(VLOOKUP(L476,#REF!,4,0),"0,00")</f>
        <v>0,00</v>
      </c>
      <c r="R476" s="9" t="s">
        <v>30</v>
      </c>
      <c r="S476" s="9">
        <f>COUNTIF(D476,"*_SEG_*")</f>
        <v>1</v>
      </c>
      <c r="T476" s="9">
        <f>COUNTIF(D476,"*_MAN_*")</f>
        <v>0</v>
      </c>
      <c r="U476" s="9">
        <f>(RIGHT(D476,4))*1</f>
        <v>30</v>
      </c>
      <c r="V476" s="9" t="str">
        <f>IFERROR(VLOOKUP(I476,#REF!,2,0),"Sinalização")</f>
        <v>Sinalização</v>
      </c>
    </row>
    <row r="477" spans="1:22" x14ac:dyDescent="0.25">
      <c r="A477" s="3" t="s">
        <v>22</v>
      </c>
      <c r="B477" s="4">
        <v>23514225</v>
      </c>
      <c r="C477" s="5" t="s">
        <v>23</v>
      </c>
      <c r="D477" s="6" t="s">
        <v>831</v>
      </c>
      <c r="E477" s="6" t="s">
        <v>25</v>
      </c>
      <c r="F477" s="11">
        <v>46166</v>
      </c>
      <c r="G477" s="6" t="s">
        <v>1079</v>
      </c>
      <c r="H477" s="7" t="s">
        <v>32</v>
      </c>
      <c r="I477" s="7" t="s">
        <v>322</v>
      </c>
      <c r="J477" s="7" t="s">
        <v>832</v>
      </c>
      <c r="K477" s="7" t="s">
        <v>29</v>
      </c>
      <c r="L477" s="3" t="str">
        <f>E477&amp;D477</f>
        <v>E.SP.IPAEE_INS_SEG_C_I_CIRCUITO VIA CA_1_0030</v>
      </c>
      <c r="M477" s="3" t="str">
        <f>IFERROR(MID(D477,SEARCH("S_I_",D477,1),3),"")</f>
        <v/>
      </c>
      <c r="N477" s="3" t="str">
        <f>IFERROR(MID(D477,SEARCH("C_I_",D477,1),3),"")</f>
        <v>C_I</v>
      </c>
      <c r="O477" s="3" t="str">
        <f>IF(AND(M477="",N477=""),"Extra","")</f>
        <v/>
      </c>
      <c r="P477" s="3" t="str">
        <f>IF(Q477=0,"TERCEIRO","MRS")</f>
        <v>MRS</v>
      </c>
      <c r="Q477" s="8" t="str">
        <f>IFERROR(VLOOKUP(L477,#REF!,4,0),"0,00")</f>
        <v>0,00</v>
      </c>
      <c r="R477" s="9" t="s">
        <v>30</v>
      </c>
      <c r="S477" s="9">
        <f>COUNTIF(D477,"*_SEG_*")</f>
        <v>1</v>
      </c>
      <c r="T477" s="9">
        <f>COUNTIF(D477,"*_MAN_*")</f>
        <v>0</v>
      </c>
      <c r="U477" s="9">
        <f>(RIGHT(D477,4))*1</f>
        <v>30</v>
      </c>
      <c r="V477" s="9" t="str">
        <f>IFERROR(VLOOKUP(I477,#REF!,2,0),"Sinalização")</f>
        <v>Sinalização</v>
      </c>
    </row>
    <row r="478" spans="1:22" x14ac:dyDescent="0.25">
      <c r="A478" s="3" t="s">
        <v>22</v>
      </c>
      <c r="B478" s="4">
        <v>23514227</v>
      </c>
      <c r="C478" s="5" t="s">
        <v>23</v>
      </c>
      <c r="D478" s="6" t="s">
        <v>831</v>
      </c>
      <c r="E478" s="6" t="s">
        <v>25</v>
      </c>
      <c r="F478" s="11">
        <v>46166</v>
      </c>
      <c r="G478" s="6" t="s">
        <v>1079</v>
      </c>
      <c r="H478" s="7" t="s">
        <v>32</v>
      </c>
      <c r="I478" s="7" t="s">
        <v>436</v>
      </c>
      <c r="J478" s="7" t="s">
        <v>832</v>
      </c>
      <c r="K478" s="7" t="s">
        <v>29</v>
      </c>
      <c r="L478" s="3" t="str">
        <f>E478&amp;D478</f>
        <v>E.SP.IPAEE_INS_SEG_C_I_CIRCUITO VIA CA_1_0030</v>
      </c>
      <c r="M478" s="3" t="str">
        <f>IFERROR(MID(D478,SEARCH("S_I_",D478,1),3),"")</f>
        <v/>
      </c>
      <c r="N478" s="3" t="str">
        <f>IFERROR(MID(D478,SEARCH("C_I_",D478,1),3),"")</f>
        <v>C_I</v>
      </c>
      <c r="O478" s="3" t="str">
        <f>IF(AND(M478="",N478=""),"Extra","")</f>
        <v/>
      </c>
      <c r="P478" s="3" t="str">
        <f>IF(Q478=0,"TERCEIRO","MRS")</f>
        <v>MRS</v>
      </c>
      <c r="Q478" s="8" t="str">
        <f>IFERROR(VLOOKUP(L478,#REF!,4,0),"0,00")</f>
        <v>0,00</v>
      </c>
      <c r="R478" s="9" t="s">
        <v>30</v>
      </c>
      <c r="S478" s="9">
        <f>COUNTIF(D478,"*_SEG_*")</f>
        <v>1</v>
      </c>
      <c r="T478" s="9">
        <f>COUNTIF(D478,"*_MAN_*")</f>
        <v>0</v>
      </c>
      <c r="U478" s="9">
        <f>(RIGHT(D478,4))*1</f>
        <v>30</v>
      </c>
      <c r="V478" s="9" t="str">
        <f>IFERROR(VLOOKUP(I478,#REF!,2,0),"Sinalização")</f>
        <v>Sinalização</v>
      </c>
    </row>
    <row r="479" spans="1:22" x14ac:dyDescent="0.25">
      <c r="A479" s="3" t="s">
        <v>22</v>
      </c>
      <c r="B479" s="4">
        <v>23514228</v>
      </c>
      <c r="C479" s="5" t="s">
        <v>23</v>
      </c>
      <c r="D479" s="6" t="s">
        <v>831</v>
      </c>
      <c r="E479" s="6" t="s">
        <v>25</v>
      </c>
      <c r="F479" s="11">
        <v>46166</v>
      </c>
      <c r="G479" s="6" t="s">
        <v>1079</v>
      </c>
      <c r="H479" s="7" t="s">
        <v>26</v>
      </c>
      <c r="I479" s="7" t="s">
        <v>435</v>
      </c>
      <c r="J479" s="7" t="s">
        <v>832</v>
      </c>
      <c r="K479" s="7" t="s">
        <v>29</v>
      </c>
      <c r="L479" s="3" t="str">
        <f>E479&amp;D479</f>
        <v>E.SP.IPAEE_INS_SEG_C_I_CIRCUITO VIA CA_1_0030</v>
      </c>
      <c r="M479" s="3" t="str">
        <f>IFERROR(MID(D479,SEARCH("S_I_",D479,1),3),"")</f>
        <v/>
      </c>
      <c r="N479" s="3" t="str">
        <f>IFERROR(MID(D479,SEARCH("C_I_",D479,1),3),"")</f>
        <v>C_I</v>
      </c>
      <c r="O479" s="3" t="str">
        <f>IF(AND(M479="",N479=""),"Extra","")</f>
        <v/>
      </c>
      <c r="P479" s="3" t="str">
        <f>IF(Q479=0,"TERCEIRO","MRS")</f>
        <v>MRS</v>
      </c>
      <c r="Q479" s="8" t="str">
        <f>IFERROR(VLOOKUP(L479,#REF!,4,0),"0,00")</f>
        <v>0,00</v>
      </c>
      <c r="R479" s="9" t="s">
        <v>30</v>
      </c>
      <c r="S479" s="9">
        <f>COUNTIF(D479,"*_SEG_*")</f>
        <v>1</v>
      </c>
      <c r="T479" s="9">
        <f>COUNTIF(D479,"*_MAN_*")</f>
        <v>0</v>
      </c>
      <c r="U479" s="9">
        <f>(RIGHT(D479,4))*1</f>
        <v>30</v>
      </c>
      <c r="V479" s="9" t="str">
        <f>IFERROR(VLOOKUP(I479,#REF!,2,0),"Sinalização")</f>
        <v>Sinalização</v>
      </c>
    </row>
    <row r="480" spans="1:22" x14ac:dyDescent="0.25">
      <c r="A480" s="3" t="s">
        <v>22</v>
      </c>
      <c r="B480" s="4">
        <v>23514229</v>
      </c>
      <c r="C480" s="5" t="s">
        <v>23</v>
      </c>
      <c r="D480" s="6" t="s">
        <v>831</v>
      </c>
      <c r="E480" s="6" t="s">
        <v>25</v>
      </c>
      <c r="F480" s="11">
        <v>46166</v>
      </c>
      <c r="G480" s="6" t="s">
        <v>1079</v>
      </c>
      <c r="H480" s="7" t="s">
        <v>26</v>
      </c>
      <c r="I480" s="7" t="s">
        <v>434</v>
      </c>
      <c r="J480" s="7" t="s">
        <v>832</v>
      </c>
      <c r="K480" s="7" t="s">
        <v>29</v>
      </c>
      <c r="L480" s="3" t="str">
        <f>E480&amp;D480</f>
        <v>E.SP.IPAEE_INS_SEG_C_I_CIRCUITO VIA CA_1_0030</v>
      </c>
      <c r="M480" s="3" t="str">
        <f>IFERROR(MID(D480,SEARCH("S_I_",D480,1),3),"")</f>
        <v/>
      </c>
      <c r="N480" s="3" t="str">
        <f>IFERROR(MID(D480,SEARCH("C_I_",D480,1),3),"")</f>
        <v>C_I</v>
      </c>
      <c r="O480" s="3" t="str">
        <f>IF(AND(M480="",N480=""),"Extra","")</f>
        <v/>
      </c>
      <c r="P480" s="3" t="str">
        <f>IF(Q480=0,"TERCEIRO","MRS")</f>
        <v>MRS</v>
      </c>
      <c r="Q480" s="8" t="str">
        <f>IFERROR(VLOOKUP(L480,#REF!,4,0),"0,00")</f>
        <v>0,00</v>
      </c>
      <c r="R480" s="9" t="s">
        <v>30</v>
      </c>
      <c r="S480" s="9">
        <f>COUNTIF(D480,"*_SEG_*")</f>
        <v>1</v>
      </c>
      <c r="T480" s="9">
        <f>COUNTIF(D480,"*_MAN_*")</f>
        <v>0</v>
      </c>
      <c r="U480" s="9">
        <f>(RIGHT(D480,4))*1</f>
        <v>30</v>
      </c>
      <c r="V480" s="9" t="str">
        <f>IFERROR(VLOOKUP(I480,#REF!,2,0),"Sinalização")</f>
        <v>Sinalização</v>
      </c>
    </row>
    <row r="481" spans="1:22" x14ac:dyDescent="0.25">
      <c r="A481" s="3" t="s">
        <v>22</v>
      </c>
      <c r="B481" s="4">
        <v>23514230</v>
      </c>
      <c r="C481" s="5" t="s">
        <v>23</v>
      </c>
      <c r="D481" s="6" t="s">
        <v>831</v>
      </c>
      <c r="E481" s="6" t="s">
        <v>25</v>
      </c>
      <c r="F481" s="11">
        <v>46166</v>
      </c>
      <c r="G481" s="6" t="s">
        <v>1079</v>
      </c>
      <c r="H481" s="7" t="s">
        <v>32</v>
      </c>
      <c r="I481" s="7" t="s">
        <v>437</v>
      </c>
      <c r="J481" s="7" t="s">
        <v>832</v>
      </c>
      <c r="K481" s="7" t="s">
        <v>29</v>
      </c>
      <c r="L481" s="3" t="str">
        <f>E481&amp;D481</f>
        <v>E.SP.IPAEE_INS_SEG_C_I_CIRCUITO VIA CA_1_0030</v>
      </c>
      <c r="M481" s="3" t="str">
        <f>IFERROR(MID(D481,SEARCH("S_I_",D481,1),3),"")</f>
        <v/>
      </c>
      <c r="N481" s="3" t="str">
        <f>IFERROR(MID(D481,SEARCH("C_I_",D481,1),3),"")</f>
        <v>C_I</v>
      </c>
      <c r="O481" s="3" t="str">
        <f>IF(AND(M481="",N481=""),"Extra","")</f>
        <v/>
      </c>
      <c r="P481" s="3" t="str">
        <f>IF(Q481=0,"TERCEIRO","MRS")</f>
        <v>MRS</v>
      </c>
      <c r="Q481" s="8" t="str">
        <f>IFERROR(VLOOKUP(L481,#REF!,4,0),"0,00")</f>
        <v>0,00</v>
      </c>
      <c r="R481" s="9" t="s">
        <v>30</v>
      </c>
      <c r="S481" s="9">
        <f>COUNTIF(D481,"*_SEG_*")</f>
        <v>1</v>
      </c>
      <c r="T481" s="9">
        <f>COUNTIF(D481,"*_MAN_*")</f>
        <v>0</v>
      </c>
      <c r="U481" s="9">
        <f>(RIGHT(D481,4))*1</f>
        <v>30</v>
      </c>
      <c r="V481" s="9" t="str">
        <f>IFERROR(VLOOKUP(I481,#REF!,2,0),"Sinalização")</f>
        <v>Sinalização</v>
      </c>
    </row>
    <row r="482" spans="1:22" x14ac:dyDescent="0.25">
      <c r="A482" s="3" t="s">
        <v>22</v>
      </c>
      <c r="B482" s="4">
        <v>23514233</v>
      </c>
      <c r="C482" s="5" t="s">
        <v>23</v>
      </c>
      <c r="D482" s="6" t="s">
        <v>831</v>
      </c>
      <c r="E482" s="6" t="s">
        <v>25</v>
      </c>
      <c r="F482" s="11">
        <v>46166</v>
      </c>
      <c r="G482" s="6" t="s">
        <v>1079</v>
      </c>
      <c r="H482" s="7" t="s">
        <v>32</v>
      </c>
      <c r="I482" s="7" t="s">
        <v>438</v>
      </c>
      <c r="J482" s="7" t="s">
        <v>832</v>
      </c>
      <c r="K482" s="7" t="s">
        <v>29</v>
      </c>
      <c r="L482" s="3" t="str">
        <f>E482&amp;D482</f>
        <v>E.SP.IPAEE_INS_SEG_C_I_CIRCUITO VIA CA_1_0030</v>
      </c>
      <c r="M482" s="3" t="str">
        <f>IFERROR(MID(D482,SEARCH("S_I_",D482,1),3),"")</f>
        <v/>
      </c>
      <c r="N482" s="3" t="str">
        <f>IFERROR(MID(D482,SEARCH("C_I_",D482,1),3),"")</f>
        <v>C_I</v>
      </c>
      <c r="O482" s="3" t="str">
        <f>IF(AND(M482="",N482=""),"Extra","")</f>
        <v/>
      </c>
      <c r="P482" s="3" t="str">
        <f>IF(Q482=0,"TERCEIRO","MRS")</f>
        <v>MRS</v>
      </c>
      <c r="Q482" s="8" t="str">
        <f>IFERROR(VLOOKUP(L482,#REF!,4,0),"0,00")</f>
        <v>0,00</v>
      </c>
      <c r="R482" s="9" t="s">
        <v>30</v>
      </c>
      <c r="S482" s="9">
        <f>COUNTIF(D482,"*_SEG_*")</f>
        <v>1</v>
      </c>
      <c r="T482" s="9">
        <f>COUNTIF(D482,"*_MAN_*")</f>
        <v>0</v>
      </c>
      <c r="U482" s="9">
        <f>(RIGHT(D482,4))*1</f>
        <v>30</v>
      </c>
      <c r="V482" s="9" t="str">
        <f>IFERROR(VLOOKUP(I482,#REF!,2,0),"Sinalização")</f>
        <v>Sinalização</v>
      </c>
    </row>
    <row r="483" spans="1:22" x14ac:dyDescent="0.25">
      <c r="A483" s="3" t="s">
        <v>22</v>
      </c>
      <c r="B483" s="4">
        <v>23514236</v>
      </c>
      <c r="C483" s="5" t="s">
        <v>23</v>
      </c>
      <c r="D483" s="6" t="s">
        <v>831</v>
      </c>
      <c r="E483" s="6" t="s">
        <v>25</v>
      </c>
      <c r="F483" s="11">
        <v>46166</v>
      </c>
      <c r="G483" s="6" t="s">
        <v>1079</v>
      </c>
      <c r="H483" s="7" t="s">
        <v>26</v>
      </c>
      <c r="I483" s="7" t="s">
        <v>369</v>
      </c>
      <c r="J483" s="7" t="s">
        <v>832</v>
      </c>
      <c r="K483" s="7" t="s">
        <v>29</v>
      </c>
      <c r="L483" s="3" t="str">
        <f>E483&amp;D483</f>
        <v>E.SP.IPAEE_INS_SEG_C_I_CIRCUITO VIA CA_1_0030</v>
      </c>
      <c r="M483" s="3" t="str">
        <f>IFERROR(MID(D483,SEARCH("S_I_",D483,1),3),"")</f>
        <v/>
      </c>
      <c r="N483" s="3" t="str">
        <f>IFERROR(MID(D483,SEARCH("C_I_",D483,1),3),"")</f>
        <v>C_I</v>
      </c>
      <c r="O483" s="3" t="str">
        <f>IF(AND(M483="",N483=""),"Extra","")</f>
        <v/>
      </c>
      <c r="P483" s="3" t="str">
        <f>IF(Q483=0,"TERCEIRO","MRS")</f>
        <v>MRS</v>
      </c>
      <c r="Q483" s="8" t="str">
        <f>IFERROR(VLOOKUP(L483,#REF!,4,0),"0,00")</f>
        <v>0,00</v>
      </c>
      <c r="R483" s="9" t="s">
        <v>30</v>
      </c>
      <c r="S483" s="9">
        <f>COUNTIF(D483,"*_SEG_*")</f>
        <v>1</v>
      </c>
      <c r="T483" s="9">
        <f>COUNTIF(D483,"*_MAN_*")</f>
        <v>0</v>
      </c>
      <c r="U483" s="9">
        <f>(RIGHT(D483,4))*1</f>
        <v>30</v>
      </c>
      <c r="V483" s="9" t="str">
        <f>IFERROR(VLOOKUP(I483,#REF!,2,0),"Sinalização")</f>
        <v>Sinalização</v>
      </c>
    </row>
    <row r="484" spans="1:22" x14ac:dyDescent="0.25">
      <c r="A484" s="3" t="s">
        <v>22</v>
      </c>
      <c r="B484" s="4">
        <v>23514238</v>
      </c>
      <c r="C484" s="5" t="s">
        <v>23</v>
      </c>
      <c r="D484" s="6" t="s">
        <v>831</v>
      </c>
      <c r="E484" s="6" t="s">
        <v>25</v>
      </c>
      <c r="F484" s="11">
        <v>46166</v>
      </c>
      <c r="G484" s="6" t="s">
        <v>1079</v>
      </c>
      <c r="H484" s="7" t="s">
        <v>26</v>
      </c>
      <c r="I484" s="7" t="s">
        <v>370</v>
      </c>
      <c r="J484" s="7" t="s">
        <v>832</v>
      </c>
      <c r="K484" s="7" t="s">
        <v>29</v>
      </c>
      <c r="L484" s="3" t="str">
        <f>E484&amp;D484</f>
        <v>E.SP.IPAEE_INS_SEG_C_I_CIRCUITO VIA CA_1_0030</v>
      </c>
      <c r="M484" s="3" t="str">
        <f>IFERROR(MID(D484,SEARCH("S_I_",D484,1),3),"")</f>
        <v/>
      </c>
      <c r="N484" s="3" t="str">
        <f>IFERROR(MID(D484,SEARCH("C_I_",D484,1),3),"")</f>
        <v>C_I</v>
      </c>
      <c r="O484" s="3" t="str">
        <f>IF(AND(M484="",N484=""),"Extra","")</f>
        <v/>
      </c>
      <c r="P484" s="3" t="str">
        <f>IF(Q484=0,"TERCEIRO","MRS")</f>
        <v>MRS</v>
      </c>
      <c r="Q484" s="8" t="str">
        <f>IFERROR(VLOOKUP(L484,#REF!,4,0),"0,00")</f>
        <v>0,00</v>
      </c>
      <c r="R484" s="9" t="s">
        <v>30</v>
      </c>
      <c r="S484" s="9">
        <f>COUNTIF(D484,"*_SEG_*")</f>
        <v>1</v>
      </c>
      <c r="T484" s="9">
        <f>COUNTIF(D484,"*_MAN_*")</f>
        <v>0</v>
      </c>
      <c r="U484" s="9">
        <f>(RIGHT(D484,4))*1</f>
        <v>30</v>
      </c>
      <c r="V484" s="9" t="str">
        <f>IFERROR(VLOOKUP(I484,#REF!,2,0),"Sinalização")</f>
        <v>Sinalização</v>
      </c>
    </row>
    <row r="485" spans="1:22" x14ac:dyDescent="0.25">
      <c r="A485" s="3" t="s">
        <v>22</v>
      </c>
      <c r="B485" s="4">
        <v>23514242</v>
      </c>
      <c r="C485" s="5" t="s">
        <v>23</v>
      </c>
      <c r="D485" s="6" t="s">
        <v>831</v>
      </c>
      <c r="E485" s="6" t="s">
        <v>25</v>
      </c>
      <c r="F485" s="11">
        <v>46166</v>
      </c>
      <c r="G485" s="6" t="s">
        <v>1079</v>
      </c>
      <c r="H485" s="7" t="s">
        <v>32</v>
      </c>
      <c r="I485" s="7" t="s">
        <v>495</v>
      </c>
      <c r="J485" s="7" t="s">
        <v>832</v>
      </c>
      <c r="K485" s="7" t="s">
        <v>29</v>
      </c>
      <c r="L485" s="3" t="str">
        <f>E485&amp;D485</f>
        <v>E.SP.IPAEE_INS_SEG_C_I_CIRCUITO VIA CA_1_0030</v>
      </c>
      <c r="M485" s="3" t="str">
        <f>IFERROR(MID(D485,SEARCH("S_I_",D485,1),3),"")</f>
        <v/>
      </c>
      <c r="N485" s="3" t="str">
        <f>IFERROR(MID(D485,SEARCH("C_I_",D485,1),3),"")</f>
        <v>C_I</v>
      </c>
      <c r="O485" s="3" t="str">
        <f>IF(AND(M485="",N485=""),"Extra","")</f>
        <v/>
      </c>
      <c r="P485" s="3" t="str">
        <f>IF(Q485=0,"TERCEIRO","MRS")</f>
        <v>MRS</v>
      </c>
      <c r="Q485" s="8" t="str">
        <f>IFERROR(VLOOKUP(L485,#REF!,4,0),"0,00")</f>
        <v>0,00</v>
      </c>
      <c r="R485" s="9" t="s">
        <v>30</v>
      </c>
      <c r="S485" s="9">
        <f>COUNTIF(D485,"*_SEG_*")</f>
        <v>1</v>
      </c>
      <c r="T485" s="9">
        <f>COUNTIF(D485,"*_MAN_*")</f>
        <v>0</v>
      </c>
      <c r="U485" s="9">
        <f>(RIGHT(D485,4))*1</f>
        <v>30</v>
      </c>
      <c r="V485" s="9" t="str">
        <f>IFERROR(VLOOKUP(I485,#REF!,2,0),"Sinalização")</f>
        <v>Sinalização</v>
      </c>
    </row>
    <row r="486" spans="1:22" x14ac:dyDescent="0.25">
      <c r="A486" s="3" t="s">
        <v>22</v>
      </c>
      <c r="B486" s="4">
        <v>23514243</v>
      </c>
      <c r="C486" s="5" t="s">
        <v>23</v>
      </c>
      <c r="D486" s="6" t="s">
        <v>831</v>
      </c>
      <c r="E486" s="6" t="s">
        <v>25</v>
      </c>
      <c r="F486" s="11">
        <v>46166</v>
      </c>
      <c r="G486" s="6" t="s">
        <v>1079</v>
      </c>
      <c r="H486" s="7" t="s">
        <v>32</v>
      </c>
      <c r="I486" s="7" t="s">
        <v>999</v>
      </c>
      <c r="J486" s="7" t="s">
        <v>832</v>
      </c>
      <c r="K486" s="7" t="s">
        <v>29</v>
      </c>
      <c r="L486" s="3" t="str">
        <f>E486&amp;D486</f>
        <v>E.SP.IPAEE_INS_SEG_C_I_CIRCUITO VIA CA_1_0030</v>
      </c>
      <c r="M486" s="3" t="str">
        <f>IFERROR(MID(D486,SEARCH("S_I_",D486,1),3),"")</f>
        <v/>
      </c>
      <c r="N486" s="3" t="str">
        <f>IFERROR(MID(D486,SEARCH("C_I_",D486,1),3),"")</f>
        <v>C_I</v>
      </c>
      <c r="O486" s="3" t="str">
        <f>IF(AND(M486="",N486=""),"Extra","")</f>
        <v/>
      </c>
      <c r="P486" s="3" t="str">
        <f>IF(Q486=0,"TERCEIRO","MRS")</f>
        <v>MRS</v>
      </c>
      <c r="Q486" s="8" t="str">
        <f>IFERROR(VLOOKUP(L486,#REF!,4,0),"0,00")</f>
        <v>0,00</v>
      </c>
      <c r="R486" s="9" t="s">
        <v>30</v>
      </c>
      <c r="S486" s="9">
        <f>COUNTIF(D486,"*_SEG_*")</f>
        <v>1</v>
      </c>
      <c r="T486" s="9">
        <f>COUNTIF(D486,"*_MAN_*")</f>
        <v>0</v>
      </c>
      <c r="U486" s="9">
        <f>(RIGHT(D486,4))*1</f>
        <v>30</v>
      </c>
      <c r="V486" s="9" t="str">
        <f>IFERROR(VLOOKUP(I486,#REF!,2,0),"Sinalização")</f>
        <v>Sinalização</v>
      </c>
    </row>
    <row r="487" spans="1:22" x14ac:dyDescent="0.25">
      <c r="A487" s="3" t="s">
        <v>22</v>
      </c>
      <c r="B487" s="4">
        <v>23514625</v>
      </c>
      <c r="C487" s="5" t="s">
        <v>23</v>
      </c>
      <c r="D487" s="6" t="s">
        <v>838</v>
      </c>
      <c r="E487" s="6" t="s">
        <v>25</v>
      </c>
      <c r="F487" s="11">
        <v>46166</v>
      </c>
      <c r="G487" s="6" t="s">
        <v>1079</v>
      </c>
      <c r="H487" s="7" t="s">
        <v>26</v>
      </c>
      <c r="I487" s="7" t="s">
        <v>916</v>
      </c>
      <c r="J487" s="7" t="s">
        <v>839</v>
      </c>
      <c r="K487" s="7" t="s">
        <v>29</v>
      </c>
      <c r="L487" s="3" t="str">
        <f>E487&amp;D487</f>
        <v>E.SP.IPAEE_INS_CONF_C_I_MAQ CHAVE MOLA_0030</v>
      </c>
      <c r="M487" s="3" t="str">
        <f>IFERROR(MID(D487,SEARCH("S_I_",D487,1),3),"")</f>
        <v/>
      </c>
      <c r="N487" s="3" t="str">
        <f>IFERROR(MID(D487,SEARCH("C_I_",D487,1),3),"")</f>
        <v>C_I</v>
      </c>
      <c r="O487" s="3" t="str">
        <f>IF(AND(M487="",N487=""),"Extra","")</f>
        <v/>
      </c>
      <c r="P487" s="3" t="str">
        <f>IF(Q487=0,"TERCEIRO","MRS")</f>
        <v>MRS</v>
      </c>
      <c r="Q487" s="8" t="str">
        <f>IFERROR(VLOOKUP(L487,#REF!,4,0),"0,00")</f>
        <v>0,00</v>
      </c>
      <c r="R487" s="9" t="s">
        <v>42</v>
      </c>
      <c r="S487" s="9">
        <f>COUNTIF(D487,"*_SEG_*")</f>
        <v>0</v>
      </c>
      <c r="T487" s="9">
        <f>COUNTIF(D487,"*_MAN_*")</f>
        <v>0</v>
      </c>
      <c r="U487" s="9">
        <f>(RIGHT(D487,4))*1</f>
        <v>30</v>
      </c>
      <c r="V487" s="9" t="str">
        <f>IFERROR(VLOOKUP(I487,#REF!,2,0),"Sinalização")</f>
        <v>Sinalização</v>
      </c>
    </row>
    <row r="488" spans="1:22" x14ac:dyDescent="0.25">
      <c r="A488" s="3" t="s">
        <v>22</v>
      </c>
      <c r="B488" s="4">
        <v>23514626</v>
      </c>
      <c r="C488" s="5" t="s">
        <v>23</v>
      </c>
      <c r="D488" s="6" t="s">
        <v>838</v>
      </c>
      <c r="E488" s="6" t="s">
        <v>25</v>
      </c>
      <c r="F488" s="11">
        <v>46166</v>
      </c>
      <c r="G488" s="6" t="s">
        <v>1079</v>
      </c>
      <c r="H488" s="7" t="s">
        <v>26</v>
      </c>
      <c r="I488" s="7" t="s">
        <v>27</v>
      </c>
      <c r="J488" s="7" t="s">
        <v>839</v>
      </c>
      <c r="K488" s="7" t="s">
        <v>29</v>
      </c>
      <c r="L488" s="3" t="str">
        <f>E488&amp;D488</f>
        <v>E.SP.IPAEE_INS_CONF_C_I_MAQ CHAVE MOLA_0030</v>
      </c>
      <c r="M488" s="3" t="str">
        <f>IFERROR(MID(D488,SEARCH("S_I_",D488,1),3),"")</f>
        <v/>
      </c>
      <c r="N488" s="3" t="str">
        <f>IFERROR(MID(D488,SEARCH("C_I_",D488,1),3),"")</f>
        <v>C_I</v>
      </c>
      <c r="O488" s="3" t="str">
        <f>IF(AND(M488="",N488=""),"Extra","")</f>
        <v/>
      </c>
      <c r="P488" s="3" t="str">
        <f>IF(Q488=0,"TERCEIRO","MRS")</f>
        <v>MRS</v>
      </c>
      <c r="Q488" s="8" t="str">
        <f>IFERROR(VLOOKUP(L488,#REF!,4,0),"0,00")</f>
        <v>0,00</v>
      </c>
      <c r="R488" s="9" t="s">
        <v>42</v>
      </c>
      <c r="S488" s="9">
        <f>COUNTIF(D488,"*_SEG_*")</f>
        <v>0</v>
      </c>
      <c r="T488" s="9">
        <f>COUNTIF(D488,"*_MAN_*")</f>
        <v>0</v>
      </c>
      <c r="U488" s="9">
        <f>(RIGHT(D488,4))*1</f>
        <v>30</v>
      </c>
      <c r="V488" s="9" t="str">
        <f>IFERROR(VLOOKUP(I488,#REF!,2,0),"Sinalização")</f>
        <v>Sinalização</v>
      </c>
    </row>
    <row r="489" spans="1:22" x14ac:dyDescent="0.25">
      <c r="A489" s="3" t="s">
        <v>22</v>
      </c>
      <c r="B489" s="4">
        <v>23514653</v>
      </c>
      <c r="C489" s="5" t="s">
        <v>23</v>
      </c>
      <c r="D489" s="6" t="s">
        <v>1013</v>
      </c>
      <c r="E489" s="6" t="s">
        <v>25</v>
      </c>
      <c r="F489" s="11">
        <v>46166</v>
      </c>
      <c r="G489" s="6" t="s">
        <v>1079</v>
      </c>
      <c r="H489" s="7" t="s">
        <v>32</v>
      </c>
      <c r="I489" s="7" t="s">
        <v>1008</v>
      </c>
      <c r="J489" s="7" t="s">
        <v>1014</v>
      </c>
      <c r="K489" s="7" t="s">
        <v>29</v>
      </c>
      <c r="L489" s="3" t="str">
        <f>E489&amp;D489</f>
        <v>E.SP.IPAEE_INS_SEG_C_I_SINAL LUMINOSO PN_0030</v>
      </c>
      <c r="M489" s="3" t="str">
        <f>IFERROR(MID(D489,SEARCH("S_I_",D489,1),3),"")</f>
        <v/>
      </c>
      <c r="N489" s="3" t="str">
        <f>IFERROR(MID(D489,SEARCH("C_I_",D489,1),3),"")</f>
        <v>C_I</v>
      </c>
      <c r="O489" s="3" t="str">
        <f>IF(AND(M489="",N489=""),"Extra","")</f>
        <v/>
      </c>
      <c r="P489" s="3" t="str">
        <f>IF(Q489=0,"TERCEIRO","MRS")</f>
        <v>MRS</v>
      </c>
      <c r="Q489" s="8" t="str">
        <f>IFERROR(VLOOKUP(L489,#REF!,4,0),"0,00")</f>
        <v>0,00</v>
      </c>
      <c r="R489" s="9" t="s">
        <v>30</v>
      </c>
      <c r="S489" s="9">
        <f>COUNTIF(D489,"*_SEG_*")</f>
        <v>1</v>
      </c>
      <c r="T489" s="9">
        <f>COUNTIF(D489,"*_MAN_*")</f>
        <v>0</v>
      </c>
      <c r="U489" s="9">
        <f>(RIGHT(D489,4))*1</f>
        <v>30</v>
      </c>
      <c r="V489" s="9" t="str">
        <f>IFERROR(VLOOKUP(I489,#REF!,2,0),"Sinalização")</f>
        <v>Sinalização</v>
      </c>
    </row>
    <row r="490" spans="1:22" x14ac:dyDescent="0.25">
      <c r="A490" s="3" t="s">
        <v>22</v>
      </c>
      <c r="B490" s="4">
        <v>23514654</v>
      </c>
      <c r="C490" s="5" t="s">
        <v>23</v>
      </c>
      <c r="D490" s="6" t="s">
        <v>1013</v>
      </c>
      <c r="E490" s="6" t="s">
        <v>25</v>
      </c>
      <c r="F490" s="11">
        <v>46166</v>
      </c>
      <c r="G490" s="6" t="s">
        <v>1079</v>
      </c>
      <c r="H490" s="7" t="s">
        <v>32</v>
      </c>
      <c r="I490" s="7" t="s">
        <v>1010</v>
      </c>
      <c r="J490" s="7" t="s">
        <v>1014</v>
      </c>
      <c r="K490" s="7" t="s">
        <v>29</v>
      </c>
      <c r="L490" s="3" t="str">
        <f>E490&amp;D490</f>
        <v>E.SP.IPAEE_INS_SEG_C_I_SINAL LUMINOSO PN_0030</v>
      </c>
      <c r="M490" s="3" t="str">
        <f>IFERROR(MID(D490,SEARCH("S_I_",D490,1),3),"")</f>
        <v/>
      </c>
      <c r="N490" s="3" t="str">
        <f>IFERROR(MID(D490,SEARCH("C_I_",D490,1),3),"")</f>
        <v>C_I</v>
      </c>
      <c r="O490" s="3" t="str">
        <f>IF(AND(M490="",N490=""),"Extra","")</f>
        <v/>
      </c>
      <c r="P490" s="3" t="str">
        <f>IF(Q490=0,"TERCEIRO","MRS")</f>
        <v>MRS</v>
      </c>
      <c r="Q490" s="8" t="str">
        <f>IFERROR(VLOOKUP(L490,#REF!,4,0),"0,00")</f>
        <v>0,00</v>
      </c>
      <c r="R490" s="9" t="s">
        <v>30</v>
      </c>
      <c r="S490" s="9">
        <f>COUNTIF(D490,"*_SEG_*")</f>
        <v>1</v>
      </c>
      <c r="T490" s="9">
        <f>COUNTIF(D490,"*_MAN_*")</f>
        <v>0</v>
      </c>
      <c r="U490" s="9">
        <f>(RIGHT(D490,4))*1</f>
        <v>30</v>
      </c>
      <c r="V490" s="9" t="str">
        <f>IFERROR(VLOOKUP(I490,#REF!,2,0),"Sinalização")</f>
        <v>Sinalização</v>
      </c>
    </row>
    <row r="491" spans="1:22" x14ac:dyDescent="0.25">
      <c r="A491" s="3" t="s">
        <v>22</v>
      </c>
      <c r="B491" s="4">
        <v>23514655</v>
      </c>
      <c r="C491" s="5" t="s">
        <v>23</v>
      </c>
      <c r="D491" s="6" t="s">
        <v>1013</v>
      </c>
      <c r="E491" s="6" t="s">
        <v>25</v>
      </c>
      <c r="F491" s="11">
        <v>46166</v>
      </c>
      <c r="G491" s="6" t="s">
        <v>1079</v>
      </c>
      <c r="H491" s="7" t="s">
        <v>26</v>
      </c>
      <c r="I491" s="7" t="s">
        <v>1009</v>
      </c>
      <c r="J491" s="7" t="s">
        <v>1014</v>
      </c>
      <c r="K491" s="7" t="s">
        <v>29</v>
      </c>
      <c r="L491" s="3" t="str">
        <f>E491&amp;D491</f>
        <v>E.SP.IPAEE_INS_SEG_C_I_SINAL LUMINOSO PN_0030</v>
      </c>
      <c r="M491" s="3" t="str">
        <f>IFERROR(MID(D491,SEARCH("S_I_",D491,1),3),"")</f>
        <v/>
      </c>
      <c r="N491" s="3" t="str">
        <f>IFERROR(MID(D491,SEARCH("C_I_",D491,1),3),"")</f>
        <v>C_I</v>
      </c>
      <c r="O491" s="3" t="str">
        <f>IF(AND(M491="",N491=""),"Extra","")</f>
        <v/>
      </c>
      <c r="P491" s="3" t="str">
        <f>IF(Q491=0,"TERCEIRO","MRS")</f>
        <v>MRS</v>
      </c>
      <c r="Q491" s="8" t="str">
        <f>IFERROR(VLOOKUP(L491,#REF!,4,0),"0,00")</f>
        <v>0,00</v>
      </c>
      <c r="R491" s="9" t="s">
        <v>30</v>
      </c>
      <c r="S491" s="9">
        <f>COUNTIF(D491,"*_SEG_*")</f>
        <v>1</v>
      </c>
      <c r="T491" s="9">
        <f>COUNTIF(D491,"*_MAN_*")</f>
        <v>0</v>
      </c>
      <c r="U491" s="9">
        <f>(RIGHT(D491,4))*1</f>
        <v>30</v>
      </c>
      <c r="V491" s="9" t="str">
        <f>IFERROR(VLOOKUP(I491,#REF!,2,0),"Sinalização")</f>
        <v>Sinalização</v>
      </c>
    </row>
    <row r="492" spans="1:22" x14ac:dyDescent="0.25">
      <c r="A492" s="3" t="s">
        <v>22</v>
      </c>
      <c r="B492" s="4">
        <v>23514656</v>
      </c>
      <c r="C492" s="5" t="s">
        <v>23</v>
      </c>
      <c r="D492" s="6" t="s">
        <v>1013</v>
      </c>
      <c r="E492" s="6" t="s">
        <v>25</v>
      </c>
      <c r="F492" s="11">
        <v>46166</v>
      </c>
      <c r="G492" s="6" t="s">
        <v>1079</v>
      </c>
      <c r="H492" s="7" t="s">
        <v>26</v>
      </c>
      <c r="I492" s="7" t="s">
        <v>1006</v>
      </c>
      <c r="J492" s="7" t="s">
        <v>1014</v>
      </c>
      <c r="K492" s="7" t="s">
        <v>29</v>
      </c>
      <c r="L492" s="3" t="str">
        <f>E492&amp;D492</f>
        <v>E.SP.IPAEE_INS_SEG_C_I_SINAL LUMINOSO PN_0030</v>
      </c>
      <c r="M492" s="3" t="str">
        <f>IFERROR(MID(D492,SEARCH("S_I_",D492,1),3),"")</f>
        <v/>
      </c>
      <c r="N492" s="3" t="str">
        <f>IFERROR(MID(D492,SEARCH("C_I_",D492,1),3),"")</f>
        <v>C_I</v>
      </c>
      <c r="O492" s="3" t="str">
        <f>IF(AND(M492="",N492=""),"Extra","")</f>
        <v/>
      </c>
      <c r="P492" s="3" t="str">
        <f>IF(Q492=0,"TERCEIRO","MRS")</f>
        <v>MRS</v>
      </c>
      <c r="Q492" s="8" t="str">
        <f>IFERROR(VLOOKUP(L492,#REF!,4,0),"0,00")</f>
        <v>0,00</v>
      </c>
      <c r="R492" s="9" t="s">
        <v>30</v>
      </c>
      <c r="S492" s="9">
        <f>COUNTIF(D492,"*_SEG_*")</f>
        <v>1</v>
      </c>
      <c r="T492" s="9">
        <f>COUNTIF(D492,"*_MAN_*")</f>
        <v>0</v>
      </c>
      <c r="U492" s="9">
        <f>(RIGHT(D492,4))*1</f>
        <v>30</v>
      </c>
      <c r="V492" s="9" t="str">
        <f>IFERROR(VLOOKUP(I492,#REF!,2,0),"Sinalização")</f>
        <v>Sinalização</v>
      </c>
    </row>
    <row r="493" spans="1:22" x14ac:dyDescent="0.25">
      <c r="A493" s="3" t="s">
        <v>22</v>
      </c>
      <c r="B493" s="4">
        <v>23514657</v>
      </c>
      <c r="C493" s="5" t="s">
        <v>23</v>
      </c>
      <c r="D493" s="6" t="s">
        <v>1013</v>
      </c>
      <c r="E493" s="6" t="s">
        <v>25</v>
      </c>
      <c r="F493" s="11">
        <v>46166</v>
      </c>
      <c r="G493" s="6" t="s">
        <v>1079</v>
      </c>
      <c r="H493" s="7" t="s">
        <v>32</v>
      </c>
      <c r="I493" s="7" t="s">
        <v>1007</v>
      </c>
      <c r="J493" s="7" t="s">
        <v>1014</v>
      </c>
      <c r="K493" s="7" t="s">
        <v>29</v>
      </c>
      <c r="L493" s="3" t="str">
        <f>E493&amp;D493</f>
        <v>E.SP.IPAEE_INS_SEG_C_I_SINAL LUMINOSO PN_0030</v>
      </c>
      <c r="M493" s="3" t="str">
        <f>IFERROR(MID(D493,SEARCH("S_I_",D493,1),3),"")</f>
        <v/>
      </c>
      <c r="N493" s="3" t="str">
        <f>IFERROR(MID(D493,SEARCH("C_I_",D493,1),3),"")</f>
        <v>C_I</v>
      </c>
      <c r="O493" s="3" t="str">
        <f>IF(AND(M493="",N493=""),"Extra","")</f>
        <v/>
      </c>
      <c r="P493" s="3" t="str">
        <f>IF(Q493=0,"TERCEIRO","MRS")</f>
        <v>MRS</v>
      </c>
      <c r="Q493" s="8" t="str">
        <f>IFERROR(VLOOKUP(L493,#REF!,4,0),"0,00")</f>
        <v>0,00</v>
      </c>
      <c r="R493" s="9" t="s">
        <v>30</v>
      </c>
      <c r="S493" s="9">
        <f>COUNTIF(D493,"*_SEG_*")</f>
        <v>1</v>
      </c>
      <c r="T493" s="9">
        <f>COUNTIF(D493,"*_MAN_*")</f>
        <v>0</v>
      </c>
      <c r="U493" s="9">
        <f>(RIGHT(D493,4))*1</f>
        <v>30</v>
      </c>
      <c r="V493" s="9" t="str">
        <f>IFERROR(VLOOKUP(I493,#REF!,2,0),"Sinalização")</f>
        <v>Sinalização</v>
      </c>
    </row>
    <row r="494" spans="1:22" x14ac:dyDescent="0.25">
      <c r="A494" s="3" t="s">
        <v>22</v>
      </c>
      <c r="B494" s="4">
        <v>23514727</v>
      </c>
      <c r="C494" s="5" t="s">
        <v>23</v>
      </c>
      <c r="D494" s="6" t="s">
        <v>843</v>
      </c>
      <c r="E494" s="6" t="s">
        <v>25</v>
      </c>
      <c r="F494" s="11">
        <v>46166</v>
      </c>
      <c r="G494" s="6" t="s">
        <v>1079</v>
      </c>
      <c r="H494" s="7" t="s">
        <v>32</v>
      </c>
      <c r="I494" s="7" t="s">
        <v>916</v>
      </c>
      <c r="J494" s="7" t="s">
        <v>844</v>
      </c>
      <c r="K494" s="7" t="s">
        <v>29</v>
      </c>
      <c r="L494" s="3" t="str">
        <f>E494&amp;D494</f>
        <v>E.SP.IPAEE_MAN_CONF_C_I_MAQ CHAVE MOLA_0030</v>
      </c>
      <c r="M494" s="3" t="str">
        <f>IFERROR(MID(D494,SEARCH("S_I_",D494,1),3),"")</f>
        <v/>
      </c>
      <c r="N494" s="3" t="str">
        <f>IFERROR(MID(D494,SEARCH("C_I_",D494,1),3),"")</f>
        <v>C_I</v>
      </c>
      <c r="O494" s="3" t="str">
        <f>IF(AND(M494="",N494=""),"Extra","")</f>
        <v/>
      </c>
      <c r="P494" s="3" t="str">
        <f>IF(Q494=0,"TERCEIRO","MRS")</f>
        <v>MRS</v>
      </c>
      <c r="Q494" s="8" t="str">
        <f>IFERROR(VLOOKUP(L494,#REF!,4,0),"0,00")</f>
        <v>0,00</v>
      </c>
      <c r="R494" s="9" t="s">
        <v>42</v>
      </c>
      <c r="S494" s="9">
        <f>COUNTIF(D494,"*_SEG_*")</f>
        <v>0</v>
      </c>
      <c r="T494" s="9">
        <f>COUNTIF(D494,"*_MAN_*")</f>
        <v>1</v>
      </c>
      <c r="U494" s="9">
        <f>(RIGHT(D494,4))*1</f>
        <v>30</v>
      </c>
      <c r="V494" s="9" t="str">
        <f>IFERROR(VLOOKUP(I494,#REF!,2,0),"Sinalização")</f>
        <v>Sinalização</v>
      </c>
    </row>
    <row r="495" spans="1:22" x14ac:dyDescent="0.25">
      <c r="A495" s="3" t="s">
        <v>22</v>
      </c>
      <c r="B495" s="4">
        <v>23514728</v>
      </c>
      <c r="C495" s="5" t="s">
        <v>23</v>
      </c>
      <c r="D495" s="6" t="s">
        <v>843</v>
      </c>
      <c r="E495" s="6" t="s">
        <v>25</v>
      </c>
      <c r="F495" s="11">
        <v>46166</v>
      </c>
      <c r="G495" s="6" t="s">
        <v>1079</v>
      </c>
      <c r="H495" s="7" t="s">
        <v>26</v>
      </c>
      <c r="I495" s="7" t="s">
        <v>27</v>
      </c>
      <c r="J495" s="7" t="s">
        <v>844</v>
      </c>
      <c r="K495" s="7" t="s">
        <v>29</v>
      </c>
      <c r="L495" s="3" t="str">
        <f>E495&amp;D495</f>
        <v>E.SP.IPAEE_MAN_CONF_C_I_MAQ CHAVE MOLA_0030</v>
      </c>
      <c r="M495" s="3" t="str">
        <f>IFERROR(MID(D495,SEARCH("S_I_",D495,1),3),"")</f>
        <v/>
      </c>
      <c r="N495" s="3" t="str">
        <f>IFERROR(MID(D495,SEARCH("C_I_",D495,1),3),"")</f>
        <v>C_I</v>
      </c>
      <c r="O495" s="3" t="str">
        <f>IF(AND(M495="",N495=""),"Extra","")</f>
        <v/>
      </c>
      <c r="P495" s="3" t="str">
        <f>IF(Q495=0,"TERCEIRO","MRS")</f>
        <v>MRS</v>
      </c>
      <c r="Q495" s="8" t="str">
        <f>IFERROR(VLOOKUP(L495,#REF!,4,0),"0,00")</f>
        <v>0,00</v>
      </c>
      <c r="R495" s="9" t="s">
        <v>42</v>
      </c>
      <c r="S495" s="9">
        <f>COUNTIF(D495,"*_SEG_*")</f>
        <v>0</v>
      </c>
      <c r="T495" s="9">
        <f>COUNTIF(D495,"*_MAN_*")</f>
        <v>1</v>
      </c>
      <c r="U495" s="9">
        <f>(RIGHT(D495,4))*1</f>
        <v>30</v>
      </c>
      <c r="V495" s="9" t="str">
        <f>IFERROR(VLOOKUP(I495,#REF!,2,0),"Sinalização")</f>
        <v>Sinalização</v>
      </c>
    </row>
    <row r="496" spans="1:22" x14ac:dyDescent="0.25">
      <c r="A496" s="3" t="s">
        <v>22</v>
      </c>
      <c r="B496" s="4">
        <v>23514762</v>
      </c>
      <c r="C496" s="5" t="s">
        <v>23</v>
      </c>
      <c r="D496" s="6" t="s">
        <v>1041</v>
      </c>
      <c r="E496" s="6" t="s">
        <v>25</v>
      </c>
      <c r="F496" s="11">
        <v>46166</v>
      </c>
      <c r="G496" s="6" t="s">
        <v>1079</v>
      </c>
      <c r="H496" s="7" t="s">
        <v>26</v>
      </c>
      <c r="I496" s="7" t="s">
        <v>360</v>
      </c>
      <c r="J496" s="7" t="s">
        <v>1042</v>
      </c>
      <c r="K496" s="7" t="s">
        <v>29</v>
      </c>
      <c r="L496" s="3" t="str">
        <f>E496&amp;D496</f>
        <v>E.SP.IPAEE_INS_CONF_C_I_IAS_0030</v>
      </c>
      <c r="M496" s="3" t="str">
        <f>IFERROR(MID(D496,SEARCH("S_I_",D496,1),3),"")</f>
        <v/>
      </c>
      <c r="N496" s="3" t="str">
        <f>IFERROR(MID(D496,SEARCH("C_I_",D496,1),3),"")</f>
        <v>C_I</v>
      </c>
      <c r="O496" s="3" t="str">
        <f>IF(AND(M496="",N496=""),"Extra","")</f>
        <v/>
      </c>
      <c r="P496" s="3" t="str">
        <f>IF(Q496=0,"TERCEIRO","MRS")</f>
        <v>MRS</v>
      </c>
      <c r="Q496" s="8" t="str">
        <f>IFERROR(VLOOKUP(L496,#REF!,4,0),"0,00")</f>
        <v>0,00</v>
      </c>
      <c r="R496" s="9" t="s">
        <v>57</v>
      </c>
      <c r="S496" s="9">
        <f>COUNTIF(D496,"*_SEG_*")</f>
        <v>0</v>
      </c>
      <c r="T496" s="9">
        <f>COUNTIF(D496,"*_MAN_*")</f>
        <v>0</v>
      </c>
      <c r="U496" s="9">
        <f>(RIGHT(D496,4))*1</f>
        <v>30</v>
      </c>
      <c r="V496" s="9" t="str">
        <f>IFERROR(VLOOKUP(I496,#REF!,2,0),"Sinalização")</f>
        <v>Sinalização</v>
      </c>
    </row>
    <row r="497" spans="1:22" x14ac:dyDescent="0.25">
      <c r="A497" s="3" t="s">
        <v>22</v>
      </c>
      <c r="B497" s="4">
        <v>23514763</v>
      </c>
      <c r="C497" s="5" t="s">
        <v>23</v>
      </c>
      <c r="D497" s="6" t="s">
        <v>1041</v>
      </c>
      <c r="E497" s="6" t="s">
        <v>25</v>
      </c>
      <c r="F497" s="11">
        <v>46166</v>
      </c>
      <c r="G497" s="6" t="s">
        <v>1079</v>
      </c>
      <c r="H497" s="7" t="s">
        <v>32</v>
      </c>
      <c r="I497" s="7" t="s">
        <v>319</v>
      </c>
      <c r="J497" s="7" t="s">
        <v>1042</v>
      </c>
      <c r="K497" s="7" t="s">
        <v>29</v>
      </c>
      <c r="L497" s="3" t="str">
        <f>E497&amp;D497</f>
        <v>E.SP.IPAEE_INS_CONF_C_I_IAS_0030</v>
      </c>
      <c r="M497" s="3" t="str">
        <f>IFERROR(MID(D497,SEARCH("S_I_",D497,1),3),"")</f>
        <v/>
      </c>
      <c r="N497" s="3" t="str">
        <f>IFERROR(MID(D497,SEARCH("C_I_",D497,1),3),"")</f>
        <v>C_I</v>
      </c>
      <c r="O497" s="3" t="str">
        <f>IF(AND(M497="",N497=""),"Extra","")</f>
        <v/>
      </c>
      <c r="P497" s="3" t="str">
        <f>IF(Q497=0,"TERCEIRO","MRS")</f>
        <v>MRS</v>
      </c>
      <c r="Q497" s="8" t="str">
        <f>IFERROR(VLOOKUP(L497,#REF!,4,0),"0,00")</f>
        <v>0,00</v>
      </c>
      <c r="R497" s="9" t="s">
        <v>57</v>
      </c>
      <c r="S497" s="9">
        <f>COUNTIF(D497,"*_SEG_*")</f>
        <v>0</v>
      </c>
      <c r="T497" s="9">
        <f>COUNTIF(D497,"*_MAN_*")</f>
        <v>0</v>
      </c>
      <c r="U497" s="9">
        <f>(RIGHT(D497,4))*1</f>
        <v>30</v>
      </c>
      <c r="V497" s="9" t="str">
        <f>IFERROR(VLOOKUP(I497,#REF!,2,0),"Sinalização")</f>
        <v>Sinalização</v>
      </c>
    </row>
    <row r="498" spans="1:22" x14ac:dyDescent="0.25">
      <c r="A498" s="3" t="s">
        <v>22</v>
      </c>
      <c r="B498" s="4">
        <v>23514766</v>
      </c>
      <c r="C498" s="5" t="s">
        <v>23</v>
      </c>
      <c r="D498" s="6" t="s">
        <v>1041</v>
      </c>
      <c r="E498" s="6" t="s">
        <v>25</v>
      </c>
      <c r="F498" s="11">
        <v>46166</v>
      </c>
      <c r="G498" s="6" t="s">
        <v>1079</v>
      </c>
      <c r="H498" s="7" t="s">
        <v>32</v>
      </c>
      <c r="I498" s="7" t="s">
        <v>313</v>
      </c>
      <c r="J498" s="7" t="s">
        <v>1042</v>
      </c>
      <c r="K498" s="7" t="s">
        <v>29</v>
      </c>
      <c r="L498" s="3" t="str">
        <f>E498&amp;D498</f>
        <v>E.SP.IPAEE_INS_CONF_C_I_IAS_0030</v>
      </c>
      <c r="M498" s="3" t="str">
        <f>IFERROR(MID(D498,SEARCH("S_I_",D498,1),3),"")</f>
        <v/>
      </c>
      <c r="N498" s="3" t="str">
        <f>IFERROR(MID(D498,SEARCH("C_I_",D498,1),3),"")</f>
        <v>C_I</v>
      </c>
      <c r="O498" s="3" t="str">
        <f>IF(AND(M498="",N498=""),"Extra","")</f>
        <v/>
      </c>
      <c r="P498" s="3" t="str">
        <f>IF(Q498=0,"TERCEIRO","MRS")</f>
        <v>MRS</v>
      </c>
      <c r="Q498" s="8" t="str">
        <f>IFERROR(VLOOKUP(L498,#REF!,4,0),"0,00")</f>
        <v>0,00</v>
      </c>
      <c r="R498" s="9" t="s">
        <v>57</v>
      </c>
      <c r="S498" s="9">
        <f>COUNTIF(D498,"*_SEG_*")</f>
        <v>0</v>
      </c>
      <c r="T498" s="9">
        <f>COUNTIF(D498,"*_MAN_*")</f>
        <v>0</v>
      </c>
      <c r="U498" s="9">
        <f>(RIGHT(D498,4))*1</f>
        <v>30</v>
      </c>
      <c r="V498" s="9" t="str">
        <f>IFERROR(VLOOKUP(I498,#REF!,2,0),"Sinalização")</f>
        <v>Sinalização</v>
      </c>
    </row>
    <row r="499" spans="1:22" x14ac:dyDescent="0.25">
      <c r="A499" s="3" t="s">
        <v>22</v>
      </c>
      <c r="B499" s="4">
        <v>23514767</v>
      </c>
      <c r="C499" s="5" t="s">
        <v>23</v>
      </c>
      <c r="D499" s="6" t="s">
        <v>1041</v>
      </c>
      <c r="E499" s="6" t="s">
        <v>25</v>
      </c>
      <c r="F499" s="11">
        <v>46166</v>
      </c>
      <c r="G499" s="6" t="s">
        <v>1079</v>
      </c>
      <c r="H499" s="7" t="s">
        <v>26</v>
      </c>
      <c r="I499" s="7" t="s">
        <v>316</v>
      </c>
      <c r="J499" s="7" t="s">
        <v>1042</v>
      </c>
      <c r="K499" s="7" t="s">
        <v>29</v>
      </c>
      <c r="L499" s="3" t="str">
        <f>E499&amp;D499</f>
        <v>E.SP.IPAEE_INS_CONF_C_I_IAS_0030</v>
      </c>
      <c r="M499" s="3" t="str">
        <f>IFERROR(MID(D499,SEARCH("S_I_",D499,1),3),"")</f>
        <v/>
      </c>
      <c r="N499" s="3" t="str">
        <f>IFERROR(MID(D499,SEARCH("C_I_",D499,1),3),"")</f>
        <v>C_I</v>
      </c>
      <c r="O499" s="3" t="str">
        <f>IF(AND(M499="",N499=""),"Extra","")</f>
        <v/>
      </c>
      <c r="P499" s="3" t="str">
        <f>IF(Q499=0,"TERCEIRO","MRS")</f>
        <v>MRS</v>
      </c>
      <c r="Q499" s="8" t="str">
        <f>IFERROR(VLOOKUP(L499,#REF!,4,0),"0,00")</f>
        <v>0,00</v>
      </c>
      <c r="R499" s="9" t="s">
        <v>57</v>
      </c>
      <c r="S499" s="9">
        <f>COUNTIF(D499,"*_SEG_*")</f>
        <v>0</v>
      </c>
      <c r="T499" s="9">
        <f>COUNTIF(D499,"*_MAN_*")</f>
        <v>0</v>
      </c>
      <c r="U499" s="9">
        <f>(RIGHT(D499,4))*1</f>
        <v>30</v>
      </c>
      <c r="V499" s="9" t="str">
        <f>IFERROR(VLOOKUP(I499,#REF!,2,0),"Sinalização")</f>
        <v>Sinalização</v>
      </c>
    </row>
    <row r="500" spans="1:22" x14ac:dyDescent="0.25">
      <c r="A500" s="3" t="s">
        <v>22</v>
      </c>
      <c r="B500" s="4">
        <v>23514770</v>
      </c>
      <c r="C500" s="5" t="s">
        <v>23</v>
      </c>
      <c r="D500" s="6" t="s">
        <v>1041</v>
      </c>
      <c r="E500" s="6" t="s">
        <v>25</v>
      </c>
      <c r="F500" s="11">
        <v>46166</v>
      </c>
      <c r="G500" s="6" t="s">
        <v>1079</v>
      </c>
      <c r="H500" s="7" t="s">
        <v>26</v>
      </c>
      <c r="I500" s="7" t="s">
        <v>207</v>
      </c>
      <c r="J500" s="7" t="s">
        <v>1042</v>
      </c>
      <c r="K500" s="7" t="s">
        <v>29</v>
      </c>
      <c r="L500" s="3" t="str">
        <f>E500&amp;D500</f>
        <v>E.SP.IPAEE_INS_CONF_C_I_IAS_0030</v>
      </c>
      <c r="M500" s="3" t="str">
        <f>IFERROR(MID(D500,SEARCH("S_I_",D500,1),3),"")</f>
        <v/>
      </c>
      <c r="N500" s="3" t="str">
        <f>IFERROR(MID(D500,SEARCH("C_I_",D500,1),3),"")</f>
        <v>C_I</v>
      </c>
      <c r="O500" s="3" t="str">
        <f>IF(AND(M500="",N500=""),"Extra","")</f>
        <v/>
      </c>
      <c r="P500" s="3" t="str">
        <f>IF(Q500=0,"TERCEIRO","MRS")</f>
        <v>MRS</v>
      </c>
      <c r="Q500" s="8" t="str">
        <f>IFERROR(VLOOKUP(L500,#REF!,4,0),"0,00")</f>
        <v>0,00</v>
      </c>
      <c r="R500" s="9" t="s">
        <v>57</v>
      </c>
      <c r="S500" s="9">
        <f>COUNTIF(D500,"*_SEG_*")</f>
        <v>0</v>
      </c>
      <c r="T500" s="9">
        <f>COUNTIF(D500,"*_MAN_*")</f>
        <v>0</v>
      </c>
      <c r="U500" s="9">
        <f>(RIGHT(D500,4))*1</f>
        <v>30</v>
      </c>
      <c r="V500" s="9" t="str">
        <f>IFERROR(VLOOKUP(I500,#REF!,2,0),"Sinalização")</f>
        <v>Sinalização</v>
      </c>
    </row>
    <row r="501" spans="1:22" x14ac:dyDescent="0.25">
      <c r="A501" s="3" t="s">
        <v>22</v>
      </c>
      <c r="B501" s="4">
        <v>23514772</v>
      </c>
      <c r="C501" s="5" t="s">
        <v>23</v>
      </c>
      <c r="D501" s="6" t="s">
        <v>1041</v>
      </c>
      <c r="E501" s="6" t="s">
        <v>25</v>
      </c>
      <c r="F501" s="11">
        <v>46166</v>
      </c>
      <c r="G501" s="6" t="s">
        <v>1079</v>
      </c>
      <c r="H501" s="7" t="s">
        <v>32</v>
      </c>
      <c r="I501" s="7" t="s">
        <v>1036</v>
      </c>
      <c r="J501" s="7" t="s">
        <v>1042</v>
      </c>
      <c r="K501" s="7" t="s">
        <v>29</v>
      </c>
      <c r="L501" s="3" t="str">
        <f>E501&amp;D501</f>
        <v>E.SP.IPAEE_INS_CONF_C_I_IAS_0030</v>
      </c>
      <c r="M501" s="3" t="str">
        <f>IFERROR(MID(D501,SEARCH("S_I_",D501,1),3),"")</f>
        <v/>
      </c>
      <c r="N501" s="3" t="str">
        <f>IFERROR(MID(D501,SEARCH("C_I_",D501,1),3),"")</f>
        <v>C_I</v>
      </c>
      <c r="O501" s="3" t="str">
        <f>IF(AND(M501="",N501=""),"Extra","")</f>
        <v/>
      </c>
      <c r="P501" s="3" t="str">
        <f>IF(Q501=0,"TERCEIRO","MRS")</f>
        <v>MRS</v>
      </c>
      <c r="Q501" s="8" t="str">
        <f>IFERROR(VLOOKUP(L501,#REF!,4,0),"0,00")</f>
        <v>0,00</v>
      </c>
      <c r="R501" s="9" t="s">
        <v>57</v>
      </c>
      <c r="S501" s="9">
        <f>COUNTIF(D501,"*_SEG_*")</f>
        <v>0</v>
      </c>
      <c r="T501" s="9">
        <f>COUNTIF(D501,"*_MAN_*")</f>
        <v>0</v>
      </c>
      <c r="U501" s="9">
        <f>(RIGHT(D501,4))*1</f>
        <v>30</v>
      </c>
      <c r="V501" s="9" t="str">
        <f>IFERROR(VLOOKUP(I501,#REF!,2,0),"Sinalização")</f>
        <v>Sinalização</v>
      </c>
    </row>
    <row r="502" spans="1:22" x14ac:dyDescent="0.25">
      <c r="A502" s="3" t="s">
        <v>22</v>
      </c>
      <c r="B502" s="4">
        <v>23514774</v>
      </c>
      <c r="C502" s="5" t="s">
        <v>23</v>
      </c>
      <c r="D502" s="6" t="s">
        <v>1041</v>
      </c>
      <c r="E502" s="6" t="s">
        <v>25</v>
      </c>
      <c r="F502" s="11">
        <v>46166</v>
      </c>
      <c r="G502" s="6" t="s">
        <v>1079</v>
      </c>
      <c r="H502" s="7" t="s">
        <v>32</v>
      </c>
      <c r="I502" s="7" t="s">
        <v>1037</v>
      </c>
      <c r="J502" s="7" t="s">
        <v>1042</v>
      </c>
      <c r="K502" s="7" t="s">
        <v>29</v>
      </c>
      <c r="L502" s="3" t="str">
        <f>E502&amp;D502</f>
        <v>E.SP.IPAEE_INS_CONF_C_I_IAS_0030</v>
      </c>
      <c r="M502" s="3" t="str">
        <f>IFERROR(MID(D502,SEARCH("S_I_",D502,1),3),"")</f>
        <v/>
      </c>
      <c r="N502" s="3" t="str">
        <f>IFERROR(MID(D502,SEARCH("C_I_",D502,1),3),"")</f>
        <v>C_I</v>
      </c>
      <c r="O502" s="3" t="str">
        <f>IF(AND(M502="",N502=""),"Extra","")</f>
        <v/>
      </c>
      <c r="P502" s="3" t="str">
        <f>IF(Q502=0,"TERCEIRO","MRS")</f>
        <v>MRS</v>
      </c>
      <c r="Q502" s="8" t="str">
        <f>IFERROR(VLOOKUP(L502,#REF!,4,0),"0,00")</f>
        <v>0,00</v>
      </c>
      <c r="R502" s="9" t="s">
        <v>57</v>
      </c>
      <c r="S502" s="9">
        <f>COUNTIF(D502,"*_SEG_*")</f>
        <v>0</v>
      </c>
      <c r="T502" s="9">
        <f>COUNTIF(D502,"*_MAN_*")</f>
        <v>0</v>
      </c>
      <c r="U502" s="9">
        <f>(RIGHT(D502,4))*1</f>
        <v>30</v>
      </c>
      <c r="V502" s="9" t="str">
        <f>IFERROR(VLOOKUP(I502,#REF!,2,0),"Sinalização")</f>
        <v>Sinalização</v>
      </c>
    </row>
    <row r="503" spans="1:22" x14ac:dyDescent="0.25">
      <c r="A503" s="3" t="s">
        <v>22</v>
      </c>
      <c r="B503" s="4">
        <v>23514775</v>
      </c>
      <c r="C503" s="5" t="s">
        <v>23</v>
      </c>
      <c r="D503" s="6" t="s">
        <v>1041</v>
      </c>
      <c r="E503" s="6" t="s">
        <v>25</v>
      </c>
      <c r="F503" s="11">
        <v>46166</v>
      </c>
      <c r="G503" s="6" t="s">
        <v>1079</v>
      </c>
      <c r="H503" s="7" t="s">
        <v>26</v>
      </c>
      <c r="I503" s="7" t="s">
        <v>1039</v>
      </c>
      <c r="J503" s="7" t="s">
        <v>1042</v>
      </c>
      <c r="K503" s="7" t="s">
        <v>29</v>
      </c>
      <c r="L503" s="3" t="str">
        <f>E503&amp;D503</f>
        <v>E.SP.IPAEE_INS_CONF_C_I_IAS_0030</v>
      </c>
      <c r="M503" s="3" t="str">
        <f>IFERROR(MID(D503,SEARCH("S_I_",D503,1),3),"")</f>
        <v/>
      </c>
      <c r="N503" s="3" t="str">
        <f>IFERROR(MID(D503,SEARCH("C_I_",D503,1),3),"")</f>
        <v>C_I</v>
      </c>
      <c r="O503" s="3" t="str">
        <f>IF(AND(M503="",N503=""),"Extra","")</f>
        <v/>
      </c>
      <c r="P503" s="3" t="str">
        <f>IF(Q503=0,"TERCEIRO","MRS")</f>
        <v>MRS</v>
      </c>
      <c r="Q503" s="8" t="str">
        <f>IFERROR(VLOOKUP(L503,#REF!,4,0),"0,00")</f>
        <v>0,00</v>
      </c>
      <c r="R503" s="9" t="s">
        <v>57</v>
      </c>
      <c r="S503" s="9">
        <f>COUNTIF(D503,"*_SEG_*")</f>
        <v>0</v>
      </c>
      <c r="T503" s="9">
        <f>COUNTIF(D503,"*_MAN_*")</f>
        <v>0</v>
      </c>
      <c r="U503" s="9">
        <f>(RIGHT(D503,4))*1</f>
        <v>30</v>
      </c>
      <c r="V503" s="9" t="str">
        <f>IFERROR(VLOOKUP(I503,#REF!,2,0),"Sinalização")</f>
        <v>Sinalização</v>
      </c>
    </row>
    <row r="504" spans="1:22" x14ac:dyDescent="0.25">
      <c r="A504" s="3" t="s">
        <v>22</v>
      </c>
      <c r="B504" s="4">
        <v>23514776</v>
      </c>
      <c r="C504" s="5" t="s">
        <v>23</v>
      </c>
      <c r="D504" s="6" t="s">
        <v>1041</v>
      </c>
      <c r="E504" s="6" t="s">
        <v>25</v>
      </c>
      <c r="F504" s="11">
        <v>46166</v>
      </c>
      <c r="G504" s="6" t="s">
        <v>1079</v>
      </c>
      <c r="H504" s="7" t="s">
        <v>26</v>
      </c>
      <c r="I504" s="7" t="s">
        <v>1038</v>
      </c>
      <c r="J504" s="7" t="s">
        <v>1042</v>
      </c>
      <c r="K504" s="7" t="s">
        <v>29</v>
      </c>
      <c r="L504" s="3" t="str">
        <f>E504&amp;D504</f>
        <v>E.SP.IPAEE_INS_CONF_C_I_IAS_0030</v>
      </c>
      <c r="M504" s="3" t="str">
        <f>IFERROR(MID(D504,SEARCH("S_I_",D504,1),3),"")</f>
        <v/>
      </c>
      <c r="N504" s="3" t="str">
        <f>IFERROR(MID(D504,SEARCH("C_I_",D504,1),3),"")</f>
        <v>C_I</v>
      </c>
      <c r="O504" s="3" t="str">
        <f>IF(AND(M504="",N504=""),"Extra","")</f>
        <v/>
      </c>
      <c r="P504" s="3" t="str">
        <f>IF(Q504=0,"TERCEIRO","MRS")</f>
        <v>MRS</v>
      </c>
      <c r="Q504" s="8" t="str">
        <f>IFERROR(VLOOKUP(L504,#REF!,4,0),"0,00")</f>
        <v>0,00</v>
      </c>
      <c r="R504" s="9" t="s">
        <v>57</v>
      </c>
      <c r="S504" s="9">
        <f>COUNTIF(D504,"*_SEG_*")</f>
        <v>0</v>
      </c>
      <c r="T504" s="9">
        <f>COUNTIF(D504,"*_MAN_*")</f>
        <v>0</v>
      </c>
      <c r="U504" s="9">
        <f>(RIGHT(D504,4))*1</f>
        <v>30</v>
      </c>
      <c r="V504" s="9" t="str">
        <f>IFERROR(VLOOKUP(I504,#REF!,2,0),"Sinalização")</f>
        <v>Sinalização</v>
      </c>
    </row>
    <row r="505" spans="1:22" x14ac:dyDescent="0.25">
      <c r="A505" s="3" t="s">
        <v>22</v>
      </c>
      <c r="B505" s="4">
        <v>23514777</v>
      </c>
      <c r="C505" s="5" t="s">
        <v>23</v>
      </c>
      <c r="D505" s="6" t="s">
        <v>1041</v>
      </c>
      <c r="E505" s="6" t="s">
        <v>25</v>
      </c>
      <c r="F505" s="11">
        <v>46166</v>
      </c>
      <c r="G505" s="6" t="s">
        <v>1079</v>
      </c>
      <c r="H505" s="7" t="s">
        <v>32</v>
      </c>
      <c r="I505" s="7" t="s">
        <v>1017</v>
      </c>
      <c r="J505" s="7" t="s">
        <v>1042</v>
      </c>
      <c r="K505" s="7" t="s">
        <v>29</v>
      </c>
      <c r="L505" s="3" t="str">
        <f>E505&amp;D505</f>
        <v>E.SP.IPAEE_INS_CONF_C_I_IAS_0030</v>
      </c>
      <c r="M505" s="3" t="str">
        <f>IFERROR(MID(D505,SEARCH("S_I_",D505,1),3),"")</f>
        <v/>
      </c>
      <c r="N505" s="3" t="str">
        <f>IFERROR(MID(D505,SEARCH("C_I_",D505,1),3),"")</f>
        <v>C_I</v>
      </c>
      <c r="O505" s="3" t="str">
        <f>IF(AND(M505="",N505=""),"Extra","")</f>
        <v/>
      </c>
      <c r="P505" s="3" t="str">
        <f>IF(Q505=0,"TERCEIRO","MRS")</f>
        <v>MRS</v>
      </c>
      <c r="Q505" s="8" t="str">
        <f>IFERROR(VLOOKUP(L505,#REF!,4,0),"0,00")</f>
        <v>0,00</v>
      </c>
      <c r="R505" s="9" t="s">
        <v>57</v>
      </c>
      <c r="S505" s="9">
        <f>COUNTIF(D505,"*_SEG_*")</f>
        <v>0</v>
      </c>
      <c r="T505" s="9">
        <f>COUNTIF(D505,"*_MAN_*")</f>
        <v>0</v>
      </c>
      <c r="U505" s="9">
        <f>(RIGHT(D505,4))*1</f>
        <v>30</v>
      </c>
      <c r="V505" s="9" t="str">
        <f>IFERROR(VLOOKUP(I505,#REF!,2,0),"Sinalização")</f>
        <v>Sinalização</v>
      </c>
    </row>
    <row r="506" spans="1:22" x14ac:dyDescent="0.25">
      <c r="A506" s="3" t="s">
        <v>22</v>
      </c>
      <c r="B506" s="4">
        <v>23514778</v>
      </c>
      <c r="C506" s="5" t="s">
        <v>23</v>
      </c>
      <c r="D506" s="6" t="s">
        <v>1041</v>
      </c>
      <c r="E506" s="6" t="s">
        <v>25</v>
      </c>
      <c r="F506" s="11">
        <v>46166</v>
      </c>
      <c r="G506" s="6" t="s">
        <v>1079</v>
      </c>
      <c r="H506" s="7" t="s">
        <v>32</v>
      </c>
      <c r="I506" s="7" t="s">
        <v>383</v>
      </c>
      <c r="J506" s="7" t="s">
        <v>1042</v>
      </c>
      <c r="K506" s="7" t="s">
        <v>29</v>
      </c>
      <c r="L506" s="3" t="str">
        <f>E506&amp;D506</f>
        <v>E.SP.IPAEE_INS_CONF_C_I_IAS_0030</v>
      </c>
      <c r="M506" s="3" t="str">
        <f>IFERROR(MID(D506,SEARCH("S_I_",D506,1),3),"")</f>
        <v/>
      </c>
      <c r="N506" s="3" t="str">
        <f>IFERROR(MID(D506,SEARCH("C_I_",D506,1),3),"")</f>
        <v>C_I</v>
      </c>
      <c r="O506" s="3" t="str">
        <f>IF(AND(M506="",N506=""),"Extra","")</f>
        <v/>
      </c>
      <c r="P506" s="3" t="str">
        <f>IF(Q506=0,"TERCEIRO","MRS")</f>
        <v>MRS</v>
      </c>
      <c r="Q506" s="8" t="str">
        <f>IFERROR(VLOOKUP(L506,#REF!,4,0),"0,00")</f>
        <v>0,00</v>
      </c>
      <c r="R506" s="9" t="s">
        <v>57</v>
      </c>
      <c r="S506" s="9">
        <f>COUNTIF(D506,"*_SEG_*")</f>
        <v>0</v>
      </c>
      <c r="T506" s="9">
        <f>COUNTIF(D506,"*_MAN_*")</f>
        <v>0</v>
      </c>
      <c r="U506" s="9">
        <f>(RIGHT(D506,4))*1</f>
        <v>30</v>
      </c>
      <c r="V506" s="9" t="str">
        <f>IFERROR(VLOOKUP(I506,#REF!,2,0),"Sinalização")</f>
        <v>Sinalização</v>
      </c>
    </row>
    <row r="507" spans="1:22" x14ac:dyDescent="0.25">
      <c r="A507" s="3" t="s">
        <v>22</v>
      </c>
      <c r="B507" s="4">
        <v>23514779</v>
      </c>
      <c r="C507" s="5" t="s">
        <v>23</v>
      </c>
      <c r="D507" s="6" t="s">
        <v>1041</v>
      </c>
      <c r="E507" s="6" t="s">
        <v>25</v>
      </c>
      <c r="F507" s="11">
        <v>46166</v>
      </c>
      <c r="G507" s="6" t="s">
        <v>1079</v>
      </c>
      <c r="H507" s="7" t="s">
        <v>26</v>
      </c>
      <c r="I507" s="7" t="s">
        <v>386</v>
      </c>
      <c r="J507" s="7" t="s">
        <v>1042</v>
      </c>
      <c r="K507" s="7" t="s">
        <v>29</v>
      </c>
      <c r="L507" s="3" t="str">
        <f>E507&amp;D507</f>
        <v>E.SP.IPAEE_INS_CONF_C_I_IAS_0030</v>
      </c>
      <c r="M507" s="3" t="str">
        <f>IFERROR(MID(D507,SEARCH("S_I_",D507,1),3),"")</f>
        <v/>
      </c>
      <c r="N507" s="3" t="str">
        <f>IFERROR(MID(D507,SEARCH("C_I_",D507,1),3),"")</f>
        <v>C_I</v>
      </c>
      <c r="O507" s="3" t="str">
        <f>IF(AND(M507="",N507=""),"Extra","")</f>
        <v/>
      </c>
      <c r="P507" s="3" t="str">
        <f>IF(Q507=0,"TERCEIRO","MRS")</f>
        <v>MRS</v>
      </c>
      <c r="Q507" s="8" t="str">
        <f>IFERROR(VLOOKUP(L507,#REF!,4,0),"0,00")</f>
        <v>0,00</v>
      </c>
      <c r="R507" s="9" t="s">
        <v>57</v>
      </c>
      <c r="S507" s="9">
        <f>COUNTIF(D507,"*_SEG_*")</f>
        <v>0</v>
      </c>
      <c r="T507" s="9">
        <f>COUNTIF(D507,"*_MAN_*")</f>
        <v>0</v>
      </c>
      <c r="U507" s="9">
        <f>(RIGHT(D507,4))*1</f>
        <v>30</v>
      </c>
      <c r="V507" s="9" t="str">
        <f>IFERROR(VLOOKUP(I507,#REF!,2,0),"Sinalização")</f>
        <v>Sinalização</v>
      </c>
    </row>
    <row r="508" spans="1:22" x14ac:dyDescent="0.25">
      <c r="A508" s="3" t="s">
        <v>22</v>
      </c>
      <c r="B508" s="4">
        <v>23514780</v>
      </c>
      <c r="C508" s="5" t="s">
        <v>23</v>
      </c>
      <c r="D508" s="6" t="s">
        <v>1041</v>
      </c>
      <c r="E508" s="6" t="s">
        <v>25</v>
      </c>
      <c r="F508" s="11">
        <v>46166</v>
      </c>
      <c r="G508" s="6" t="s">
        <v>1079</v>
      </c>
      <c r="H508" s="7" t="s">
        <v>26</v>
      </c>
      <c r="I508" s="7" t="s">
        <v>385</v>
      </c>
      <c r="J508" s="7" t="s">
        <v>1042</v>
      </c>
      <c r="K508" s="7" t="s">
        <v>29</v>
      </c>
      <c r="L508" s="3" t="str">
        <f>E508&amp;D508</f>
        <v>E.SP.IPAEE_INS_CONF_C_I_IAS_0030</v>
      </c>
      <c r="M508" s="3" t="str">
        <f>IFERROR(MID(D508,SEARCH("S_I_",D508,1),3),"")</f>
        <v/>
      </c>
      <c r="N508" s="3" t="str">
        <f>IFERROR(MID(D508,SEARCH("C_I_",D508,1),3),"")</f>
        <v>C_I</v>
      </c>
      <c r="O508" s="3" t="str">
        <f>IF(AND(M508="",N508=""),"Extra","")</f>
        <v/>
      </c>
      <c r="P508" s="3" t="str">
        <f>IF(Q508=0,"TERCEIRO","MRS")</f>
        <v>MRS</v>
      </c>
      <c r="Q508" s="8" t="str">
        <f>IFERROR(VLOOKUP(L508,#REF!,4,0),"0,00")</f>
        <v>0,00</v>
      </c>
      <c r="R508" s="9" t="s">
        <v>57</v>
      </c>
      <c r="S508" s="9">
        <f>COUNTIF(D508,"*_SEG_*")</f>
        <v>0</v>
      </c>
      <c r="T508" s="9">
        <f>COUNTIF(D508,"*_MAN_*")</f>
        <v>0</v>
      </c>
      <c r="U508" s="9">
        <f>(RIGHT(D508,4))*1</f>
        <v>30</v>
      </c>
      <c r="V508" s="9" t="str">
        <f>IFERROR(VLOOKUP(I508,#REF!,2,0),"Sinalização")</f>
        <v>Sinalização</v>
      </c>
    </row>
    <row r="509" spans="1:22" x14ac:dyDescent="0.25">
      <c r="A509" s="3" t="s">
        <v>22</v>
      </c>
      <c r="B509" s="4">
        <v>23514781</v>
      </c>
      <c r="C509" s="5" t="s">
        <v>23</v>
      </c>
      <c r="D509" s="6" t="s">
        <v>1041</v>
      </c>
      <c r="E509" s="6" t="s">
        <v>25</v>
      </c>
      <c r="F509" s="11">
        <v>46166</v>
      </c>
      <c r="G509" s="6" t="s">
        <v>1079</v>
      </c>
      <c r="H509" s="7" t="s">
        <v>32</v>
      </c>
      <c r="I509" s="7" t="s">
        <v>384</v>
      </c>
      <c r="J509" s="7" t="s">
        <v>1042</v>
      </c>
      <c r="K509" s="7" t="s">
        <v>29</v>
      </c>
      <c r="L509" s="3" t="str">
        <f>E509&amp;D509</f>
        <v>E.SP.IPAEE_INS_CONF_C_I_IAS_0030</v>
      </c>
      <c r="M509" s="3" t="str">
        <f>IFERROR(MID(D509,SEARCH("S_I_",D509,1),3),"")</f>
        <v/>
      </c>
      <c r="N509" s="3" t="str">
        <f>IFERROR(MID(D509,SEARCH("C_I_",D509,1),3),"")</f>
        <v>C_I</v>
      </c>
      <c r="O509" s="3" t="str">
        <f>IF(AND(M509="",N509=""),"Extra","")</f>
        <v/>
      </c>
      <c r="P509" s="3" t="str">
        <f>IF(Q509=0,"TERCEIRO","MRS")</f>
        <v>MRS</v>
      </c>
      <c r="Q509" s="8" t="str">
        <f>IFERROR(VLOOKUP(L509,#REF!,4,0),"0,00")</f>
        <v>0,00</v>
      </c>
      <c r="R509" s="9" t="s">
        <v>57</v>
      </c>
      <c r="S509" s="9">
        <f>COUNTIF(D509,"*_SEG_*")</f>
        <v>0</v>
      </c>
      <c r="T509" s="9">
        <f>COUNTIF(D509,"*_MAN_*")</f>
        <v>0</v>
      </c>
      <c r="U509" s="9">
        <f>(RIGHT(D509,4))*1</f>
        <v>30</v>
      </c>
      <c r="V509" s="9" t="str">
        <f>IFERROR(VLOOKUP(I509,#REF!,2,0),"Sinalização")</f>
        <v>Sinalização</v>
      </c>
    </row>
    <row r="510" spans="1:22" x14ac:dyDescent="0.25">
      <c r="A510" s="3" t="s">
        <v>22</v>
      </c>
      <c r="B510" s="4">
        <v>23514782</v>
      </c>
      <c r="C510" s="5" t="s">
        <v>23</v>
      </c>
      <c r="D510" s="6" t="s">
        <v>1041</v>
      </c>
      <c r="E510" s="6" t="s">
        <v>25</v>
      </c>
      <c r="F510" s="11">
        <v>46166</v>
      </c>
      <c r="G510" s="6" t="s">
        <v>1079</v>
      </c>
      <c r="H510" s="7" t="s">
        <v>32</v>
      </c>
      <c r="I510" s="7" t="s">
        <v>1052</v>
      </c>
      <c r="J510" s="7" t="s">
        <v>1042</v>
      </c>
      <c r="K510" s="7" t="s">
        <v>29</v>
      </c>
      <c r="L510" s="3" t="str">
        <f>E510&amp;D510</f>
        <v>E.SP.IPAEE_INS_CONF_C_I_IAS_0030</v>
      </c>
      <c r="M510" s="3" t="str">
        <f>IFERROR(MID(D510,SEARCH("S_I_",D510,1),3),"")</f>
        <v/>
      </c>
      <c r="N510" s="3" t="str">
        <f>IFERROR(MID(D510,SEARCH("C_I_",D510,1),3),"")</f>
        <v>C_I</v>
      </c>
      <c r="O510" s="3" t="str">
        <f>IF(AND(M510="",N510=""),"Extra","")</f>
        <v/>
      </c>
      <c r="P510" s="3" t="str">
        <f>IF(Q510=0,"TERCEIRO","MRS")</f>
        <v>MRS</v>
      </c>
      <c r="Q510" s="8" t="str">
        <f>IFERROR(VLOOKUP(L510,#REF!,4,0),"0,00")</f>
        <v>0,00</v>
      </c>
      <c r="R510" s="9" t="s">
        <v>57</v>
      </c>
      <c r="S510" s="9">
        <f>COUNTIF(D510,"*_SEG_*")</f>
        <v>0</v>
      </c>
      <c r="T510" s="9">
        <f>COUNTIF(D510,"*_MAN_*")</f>
        <v>0</v>
      </c>
      <c r="U510" s="9">
        <f>(RIGHT(D510,4))*1</f>
        <v>30</v>
      </c>
      <c r="V510" s="9" t="str">
        <f>IFERROR(VLOOKUP(I510,#REF!,2,0),"Sinalização")</f>
        <v>Sinalização</v>
      </c>
    </row>
    <row r="511" spans="1:22" x14ac:dyDescent="0.25">
      <c r="A511" s="3" t="s">
        <v>22</v>
      </c>
      <c r="B511" s="4">
        <v>23514783</v>
      </c>
      <c r="C511" s="5" t="s">
        <v>23</v>
      </c>
      <c r="D511" s="6" t="s">
        <v>1041</v>
      </c>
      <c r="E511" s="6" t="s">
        <v>25</v>
      </c>
      <c r="F511" s="11">
        <v>46166</v>
      </c>
      <c r="G511" s="6" t="s">
        <v>1079</v>
      </c>
      <c r="H511" s="7" t="s">
        <v>26</v>
      </c>
      <c r="I511" s="7" t="s">
        <v>1053</v>
      </c>
      <c r="J511" s="7" t="s">
        <v>1042</v>
      </c>
      <c r="K511" s="7" t="s">
        <v>29</v>
      </c>
      <c r="L511" s="3" t="str">
        <f>E511&amp;D511</f>
        <v>E.SP.IPAEE_INS_CONF_C_I_IAS_0030</v>
      </c>
      <c r="M511" s="3" t="str">
        <f>IFERROR(MID(D511,SEARCH("S_I_",D511,1),3),"")</f>
        <v/>
      </c>
      <c r="N511" s="3" t="str">
        <f>IFERROR(MID(D511,SEARCH("C_I_",D511,1),3),"")</f>
        <v>C_I</v>
      </c>
      <c r="O511" s="3" t="str">
        <f>IF(AND(M511="",N511=""),"Extra","")</f>
        <v/>
      </c>
      <c r="P511" s="3" t="str">
        <f>IF(Q511=0,"TERCEIRO","MRS")</f>
        <v>MRS</v>
      </c>
      <c r="Q511" s="8" t="str">
        <f>IFERROR(VLOOKUP(L511,#REF!,4,0),"0,00")</f>
        <v>0,00</v>
      </c>
      <c r="R511" s="9" t="s">
        <v>57</v>
      </c>
      <c r="S511" s="9">
        <f>COUNTIF(D511,"*_SEG_*")</f>
        <v>0</v>
      </c>
      <c r="T511" s="9">
        <f>COUNTIF(D511,"*_MAN_*")</f>
        <v>0</v>
      </c>
      <c r="U511" s="9">
        <f>(RIGHT(D511,4))*1</f>
        <v>30</v>
      </c>
      <c r="V511" s="9" t="str">
        <f>IFERROR(VLOOKUP(I511,#REF!,2,0),"Sinalização")</f>
        <v>Sinalização</v>
      </c>
    </row>
    <row r="512" spans="1:22" x14ac:dyDescent="0.25">
      <c r="A512" s="3" t="s">
        <v>22</v>
      </c>
      <c r="B512" s="4">
        <v>23514784</v>
      </c>
      <c r="C512" s="5" t="s">
        <v>23</v>
      </c>
      <c r="D512" s="6" t="s">
        <v>1041</v>
      </c>
      <c r="E512" s="6" t="s">
        <v>25</v>
      </c>
      <c r="F512" s="11">
        <v>46166</v>
      </c>
      <c r="G512" s="6" t="s">
        <v>1079</v>
      </c>
      <c r="H512" s="7" t="s">
        <v>26</v>
      </c>
      <c r="I512" s="7" t="s">
        <v>1054</v>
      </c>
      <c r="J512" s="7" t="s">
        <v>1042</v>
      </c>
      <c r="K512" s="7" t="s">
        <v>29</v>
      </c>
      <c r="L512" s="3" t="str">
        <f>E512&amp;D512</f>
        <v>E.SP.IPAEE_INS_CONF_C_I_IAS_0030</v>
      </c>
      <c r="M512" s="3" t="str">
        <f>IFERROR(MID(D512,SEARCH("S_I_",D512,1),3),"")</f>
        <v/>
      </c>
      <c r="N512" s="3" t="str">
        <f>IFERROR(MID(D512,SEARCH("C_I_",D512,1),3),"")</f>
        <v>C_I</v>
      </c>
      <c r="O512" s="3" t="str">
        <f>IF(AND(M512="",N512=""),"Extra","")</f>
        <v/>
      </c>
      <c r="P512" s="3" t="str">
        <f>IF(Q512=0,"TERCEIRO","MRS")</f>
        <v>MRS</v>
      </c>
      <c r="Q512" s="8" t="str">
        <f>IFERROR(VLOOKUP(L512,#REF!,4,0),"0,00")</f>
        <v>0,00</v>
      </c>
      <c r="R512" s="9" t="s">
        <v>57</v>
      </c>
      <c r="S512" s="9">
        <f>COUNTIF(D512,"*_SEG_*")</f>
        <v>0</v>
      </c>
      <c r="T512" s="9">
        <f>COUNTIF(D512,"*_MAN_*")</f>
        <v>0</v>
      </c>
      <c r="U512" s="9">
        <f>(RIGHT(D512,4))*1</f>
        <v>30</v>
      </c>
      <c r="V512" s="9" t="str">
        <f>IFERROR(VLOOKUP(I512,#REF!,2,0),"Sinalização")</f>
        <v>Sinalização</v>
      </c>
    </row>
    <row r="513" spans="1:22" x14ac:dyDescent="0.25">
      <c r="A513" s="3" t="s">
        <v>22</v>
      </c>
      <c r="B513" s="4">
        <v>23514785</v>
      </c>
      <c r="C513" s="5" t="s">
        <v>23</v>
      </c>
      <c r="D513" s="6" t="s">
        <v>1041</v>
      </c>
      <c r="E513" s="6" t="s">
        <v>25</v>
      </c>
      <c r="F513" s="11">
        <v>46166</v>
      </c>
      <c r="G513" s="6" t="s">
        <v>1079</v>
      </c>
      <c r="H513" s="7" t="s">
        <v>32</v>
      </c>
      <c r="I513" s="7" t="s">
        <v>314</v>
      </c>
      <c r="J513" s="7" t="s">
        <v>1042</v>
      </c>
      <c r="K513" s="7" t="s">
        <v>29</v>
      </c>
      <c r="L513" s="3" t="str">
        <f>E513&amp;D513</f>
        <v>E.SP.IPAEE_INS_CONF_C_I_IAS_0030</v>
      </c>
      <c r="M513" s="3" t="str">
        <f>IFERROR(MID(D513,SEARCH("S_I_",D513,1),3),"")</f>
        <v/>
      </c>
      <c r="N513" s="3" t="str">
        <f>IFERROR(MID(D513,SEARCH("C_I_",D513,1),3),"")</f>
        <v>C_I</v>
      </c>
      <c r="O513" s="3" t="str">
        <f>IF(AND(M513="",N513=""),"Extra","")</f>
        <v/>
      </c>
      <c r="P513" s="3" t="str">
        <f>IF(Q513=0,"TERCEIRO","MRS")</f>
        <v>MRS</v>
      </c>
      <c r="Q513" s="8" t="str">
        <f>IFERROR(VLOOKUP(L513,#REF!,4,0),"0,00")</f>
        <v>0,00</v>
      </c>
      <c r="R513" s="9" t="s">
        <v>57</v>
      </c>
      <c r="S513" s="9">
        <f>COUNTIF(D513,"*_SEG_*")</f>
        <v>0</v>
      </c>
      <c r="T513" s="9">
        <f>COUNTIF(D513,"*_MAN_*")</f>
        <v>0</v>
      </c>
      <c r="U513" s="9">
        <f>(RIGHT(D513,4))*1</f>
        <v>30</v>
      </c>
      <c r="V513" s="9" t="str">
        <f>IFERROR(VLOOKUP(I513,#REF!,2,0),"Sinalização")</f>
        <v>Sinalização</v>
      </c>
    </row>
    <row r="514" spans="1:22" x14ac:dyDescent="0.25">
      <c r="A514" s="3" t="s">
        <v>22</v>
      </c>
      <c r="B514" s="4">
        <v>23514786</v>
      </c>
      <c r="C514" s="5" t="s">
        <v>23</v>
      </c>
      <c r="D514" s="6" t="s">
        <v>1041</v>
      </c>
      <c r="E514" s="6" t="s">
        <v>25</v>
      </c>
      <c r="F514" s="11">
        <v>46166</v>
      </c>
      <c r="G514" s="6" t="s">
        <v>1079</v>
      </c>
      <c r="H514" s="7" t="s">
        <v>32</v>
      </c>
      <c r="I514" s="7" t="s">
        <v>312</v>
      </c>
      <c r="J514" s="7" t="s">
        <v>1042</v>
      </c>
      <c r="K514" s="7" t="s">
        <v>29</v>
      </c>
      <c r="L514" s="3" t="str">
        <f>E514&amp;D514</f>
        <v>E.SP.IPAEE_INS_CONF_C_I_IAS_0030</v>
      </c>
      <c r="M514" s="3" t="str">
        <f>IFERROR(MID(D514,SEARCH("S_I_",D514,1),3),"")</f>
        <v/>
      </c>
      <c r="N514" s="3" t="str">
        <f>IFERROR(MID(D514,SEARCH("C_I_",D514,1),3),"")</f>
        <v>C_I</v>
      </c>
      <c r="O514" s="3" t="str">
        <f>IF(AND(M514="",N514=""),"Extra","")</f>
        <v/>
      </c>
      <c r="P514" s="3" t="str">
        <f>IF(Q514=0,"TERCEIRO","MRS")</f>
        <v>MRS</v>
      </c>
      <c r="Q514" s="8" t="str">
        <f>IFERROR(VLOOKUP(L514,#REF!,4,0),"0,00")</f>
        <v>0,00</v>
      </c>
      <c r="R514" s="9" t="s">
        <v>57</v>
      </c>
      <c r="S514" s="9">
        <f>COUNTIF(D514,"*_SEG_*")</f>
        <v>0</v>
      </c>
      <c r="T514" s="9">
        <f>COUNTIF(D514,"*_MAN_*")</f>
        <v>0</v>
      </c>
      <c r="U514" s="9">
        <f>(RIGHT(D514,4))*1</f>
        <v>30</v>
      </c>
      <c r="V514" s="9" t="str">
        <f>IFERROR(VLOOKUP(I514,#REF!,2,0),"Sinalização")</f>
        <v>Sinalização</v>
      </c>
    </row>
    <row r="515" spans="1:22" x14ac:dyDescent="0.25">
      <c r="A515" s="3" t="s">
        <v>22</v>
      </c>
      <c r="B515" s="4">
        <v>23514787</v>
      </c>
      <c r="C515" s="5" t="s">
        <v>23</v>
      </c>
      <c r="D515" s="6" t="s">
        <v>1041</v>
      </c>
      <c r="E515" s="6" t="s">
        <v>25</v>
      </c>
      <c r="F515" s="11">
        <v>46166</v>
      </c>
      <c r="G515" s="6" t="s">
        <v>1079</v>
      </c>
      <c r="H515" s="7" t="s">
        <v>26</v>
      </c>
      <c r="I515" s="7" t="s">
        <v>315</v>
      </c>
      <c r="J515" s="7" t="s">
        <v>1042</v>
      </c>
      <c r="K515" s="7" t="s">
        <v>29</v>
      </c>
      <c r="L515" s="3" t="str">
        <f>E515&amp;D515</f>
        <v>E.SP.IPAEE_INS_CONF_C_I_IAS_0030</v>
      </c>
      <c r="M515" s="3" t="str">
        <f>IFERROR(MID(D515,SEARCH("S_I_",D515,1),3),"")</f>
        <v/>
      </c>
      <c r="N515" s="3" t="str">
        <f>IFERROR(MID(D515,SEARCH("C_I_",D515,1),3),"")</f>
        <v>C_I</v>
      </c>
      <c r="O515" s="3" t="str">
        <f>IF(AND(M515="",N515=""),"Extra","")</f>
        <v/>
      </c>
      <c r="P515" s="3" t="str">
        <f>IF(Q515=0,"TERCEIRO","MRS")</f>
        <v>MRS</v>
      </c>
      <c r="Q515" s="8" t="str">
        <f>IFERROR(VLOOKUP(L515,#REF!,4,0),"0,00")</f>
        <v>0,00</v>
      </c>
      <c r="R515" s="9" t="s">
        <v>57</v>
      </c>
      <c r="S515" s="9">
        <f>COUNTIF(D515,"*_SEG_*")</f>
        <v>0</v>
      </c>
      <c r="T515" s="9">
        <f>COUNTIF(D515,"*_MAN_*")</f>
        <v>0</v>
      </c>
      <c r="U515" s="9">
        <f>(RIGHT(D515,4))*1</f>
        <v>30</v>
      </c>
      <c r="V515" s="9" t="str">
        <f>IFERROR(VLOOKUP(I515,#REF!,2,0),"Sinalização")</f>
        <v>Sinalização</v>
      </c>
    </row>
    <row r="516" spans="1:22" x14ac:dyDescent="0.25">
      <c r="A516" s="3" t="s">
        <v>22</v>
      </c>
      <c r="B516" s="4">
        <v>23514788</v>
      </c>
      <c r="C516" s="5" t="s">
        <v>23</v>
      </c>
      <c r="D516" s="6" t="s">
        <v>1041</v>
      </c>
      <c r="E516" s="6" t="s">
        <v>25</v>
      </c>
      <c r="F516" s="11">
        <v>46166</v>
      </c>
      <c r="G516" s="6" t="s">
        <v>1079</v>
      </c>
      <c r="H516" s="7" t="s">
        <v>26</v>
      </c>
      <c r="I516" s="7" t="s">
        <v>318</v>
      </c>
      <c r="J516" s="7" t="s">
        <v>1042</v>
      </c>
      <c r="K516" s="7" t="s">
        <v>29</v>
      </c>
      <c r="L516" s="3" t="str">
        <f>E516&amp;D516</f>
        <v>E.SP.IPAEE_INS_CONF_C_I_IAS_0030</v>
      </c>
      <c r="M516" s="3" t="str">
        <f>IFERROR(MID(D516,SEARCH("S_I_",D516,1),3),"")</f>
        <v/>
      </c>
      <c r="N516" s="3" t="str">
        <f>IFERROR(MID(D516,SEARCH("C_I_",D516,1),3),"")</f>
        <v>C_I</v>
      </c>
      <c r="O516" s="3" t="str">
        <f>IF(AND(M516="",N516=""),"Extra","")</f>
        <v/>
      </c>
      <c r="P516" s="3" t="str">
        <f>IF(Q516=0,"TERCEIRO","MRS")</f>
        <v>MRS</v>
      </c>
      <c r="Q516" s="8" t="str">
        <f>IFERROR(VLOOKUP(L516,#REF!,4,0),"0,00")</f>
        <v>0,00</v>
      </c>
      <c r="R516" s="9" t="s">
        <v>57</v>
      </c>
      <c r="S516" s="9">
        <f>COUNTIF(D516,"*_SEG_*")</f>
        <v>0</v>
      </c>
      <c r="T516" s="9">
        <f>COUNTIF(D516,"*_MAN_*")</f>
        <v>0</v>
      </c>
      <c r="U516" s="9">
        <f>(RIGHT(D516,4))*1</f>
        <v>30</v>
      </c>
      <c r="V516" s="9" t="str">
        <f>IFERROR(VLOOKUP(I516,#REF!,2,0),"Sinalização")</f>
        <v>Sinalização</v>
      </c>
    </row>
    <row r="517" spans="1:22" x14ac:dyDescent="0.25">
      <c r="A517" s="3" t="s">
        <v>22</v>
      </c>
      <c r="B517" s="4">
        <v>23514789</v>
      </c>
      <c r="C517" s="5" t="s">
        <v>23</v>
      </c>
      <c r="D517" s="6" t="s">
        <v>1041</v>
      </c>
      <c r="E517" s="6" t="s">
        <v>25</v>
      </c>
      <c r="F517" s="11">
        <v>46166</v>
      </c>
      <c r="G517" s="6" t="s">
        <v>1079</v>
      </c>
      <c r="H517" s="7" t="s">
        <v>32</v>
      </c>
      <c r="I517" s="7" t="s">
        <v>317</v>
      </c>
      <c r="J517" s="7" t="s">
        <v>1042</v>
      </c>
      <c r="K517" s="7" t="s">
        <v>29</v>
      </c>
      <c r="L517" s="3" t="str">
        <f>E517&amp;D517</f>
        <v>E.SP.IPAEE_INS_CONF_C_I_IAS_0030</v>
      </c>
      <c r="M517" s="3" t="str">
        <f>IFERROR(MID(D517,SEARCH("S_I_",D517,1),3),"")</f>
        <v/>
      </c>
      <c r="N517" s="3" t="str">
        <f>IFERROR(MID(D517,SEARCH("C_I_",D517,1),3),"")</f>
        <v>C_I</v>
      </c>
      <c r="O517" s="3" t="str">
        <f>IF(AND(M517="",N517=""),"Extra","")</f>
        <v/>
      </c>
      <c r="P517" s="3" t="str">
        <f>IF(Q517=0,"TERCEIRO","MRS")</f>
        <v>MRS</v>
      </c>
      <c r="Q517" s="8" t="str">
        <f>IFERROR(VLOOKUP(L517,#REF!,4,0),"0,00")</f>
        <v>0,00</v>
      </c>
      <c r="R517" s="9" t="s">
        <v>57</v>
      </c>
      <c r="S517" s="9">
        <f>COUNTIF(D517,"*_SEG_*")</f>
        <v>0</v>
      </c>
      <c r="T517" s="9">
        <f>COUNTIF(D517,"*_MAN_*")</f>
        <v>0</v>
      </c>
      <c r="U517" s="9">
        <f>(RIGHT(D517,4))*1</f>
        <v>30</v>
      </c>
      <c r="V517" s="9" t="str">
        <f>IFERROR(VLOOKUP(I517,#REF!,2,0),"Sinalização")</f>
        <v>Sinalização</v>
      </c>
    </row>
    <row r="518" spans="1:22" x14ac:dyDescent="0.25">
      <c r="A518" s="3" t="s">
        <v>22</v>
      </c>
      <c r="B518" s="4">
        <v>23514790</v>
      </c>
      <c r="C518" s="5" t="s">
        <v>23</v>
      </c>
      <c r="D518" s="6" t="s">
        <v>1041</v>
      </c>
      <c r="E518" s="6" t="s">
        <v>25</v>
      </c>
      <c r="F518" s="11">
        <v>46166</v>
      </c>
      <c r="G518" s="6" t="s">
        <v>1079</v>
      </c>
      <c r="H518" s="7" t="s">
        <v>32</v>
      </c>
      <c r="I518" s="7" t="s">
        <v>311</v>
      </c>
      <c r="J518" s="7" t="s">
        <v>1042</v>
      </c>
      <c r="K518" s="7" t="s">
        <v>29</v>
      </c>
      <c r="L518" s="3" t="str">
        <f>E518&amp;D518</f>
        <v>E.SP.IPAEE_INS_CONF_C_I_IAS_0030</v>
      </c>
      <c r="M518" s="3" t="str">
        <f>IFERROR(MID(D518,SEARCH("S_I_",D518,1),3),"")</f>
        <v/>
      </c>
      <c r="N518" s="3" t="str">
        <f>IFERROR(MID(D518,SEARCH("C_I_",D518,1),3),"")</f>
        <v>C_I</v>
      </c>
      <c r="O518" s="3" t="str">
        <f>IF(AND(M518="",N518=""),"Extra","")</f>
        <v/>
      </c>
      <c r="P518" s="3" t="str">
        <f>IF(Q518=0,"TERCEIRO","MRS")</f>
        <v>MRS</v>
      </c>
      <c r="Q518" s="8" t="str">
        <f>IFERROR(VLOOKUP(L518,#REF!,4,0),"0,00")</f>
        <v>0,00</v>
      </c>
      <c r="R518" s="9" t="s">
        <v>57</v>
      </c>
      <c r="S518" s="9">
        <f>COUNTIF(D518,"*_SEG_*")</f>
        <v>0</v>
      </c>
      <c r="T518" s="9">
        <f>COUNTIF(D518,"*_MAN_*")</f>
        <v>0</v>
      </c>
      <c r="U518" s="9">
        <f>(RIGHT(D518,4))*1</f>
        <v>30</v>
      </c>
      <c r="V518" s="9" t="str">
        <f>IFERROR(VLOOKUP(I518,#REF!,2,0),"Sinalização")</f>
        <v>Sinalização</v>
      </c>
    </row>
    <row r="519" spans="1:22" x14ac:dyDescent="0.25">
      <c r="A519" s="3" t="s">
        <v>22</v>
      </c>
      <c r="B519" s="4">
        <v>23514791</v>
      </c>
      <c r="C519" s="5" t="s">
        <v>23</v>
      </c>
      <c r="D519" s="6" t="s">
        <v>1041</v>
      </c>
      <c r="E519" s="6" t="s">
        <v>25</v>
      </c>
      <c r="F519" s="11">
        <v>46166</v>
      </c>
      <c r="G519" s="6" t="s">
        <v>1079</v>
      </c>
      <c r="H519" s="7" t="s">
        <v>26</v>
      </c>
      <c r="I519" s="7" t="s">
        <v>1022</v>
      </c>
      <c r="J519" s="7" t="s">
        <v>1042</v>
      </c>
      <c r="K519" s="7" t="s">
        <v>29</v>
      </c>
      <c r="L519" s="3" t="str">
        <f>E519&amp;D519</f>
        <v>E.SP.IPAEE_INS_CONF_C_I_IAS_0030</v>
      </c>
      <c r="M519" s="3" t="str">
        <f>IFERROR(MID(D519,SEARCH("S_I_",D519,1),3),"")</f>
        <v/>
      </c>
      <c r="N519" s="3" t="str">
        <f>IFERROR(MID(D519,SEARCH("C_I_",D519,1),3),"")</f>
        <v>C_I</v>
      </c>
      <c r="O519" s="3" t="str">
        <f>IF(AND(M519="",N519=""),"Extra","")</f>
        <v/>
      </c>
      <c r="P519" s="3" t="str">
        <f>IF(Q519=0,"TERCEIRO","MRS")</f>
        <v>MRS</v>
      </c>
      <c r="Q519" s="8" t="str">
        <f>IFERROR(VLOOKUP(L519,#REF!,4,0),"0,00")</f>
        <v>0,00</v>
      </c>
      <c r="R519" s="9" t="s">
        <v>57</v>
      </c>
      <c r="S519" s="9">
        <f>COUNTIF(D519,"*_SEG_*")</f>
        <v>0</v>
      </c>
      <c r="T519" s="9">
        <f>COUNTIF(D519,"*_MAN_*")</f>
        <v>0</v>
      </c>
      <c r="U519" s="9">
        <f>(RIGHT(D519,4))*1</f>
        <v>30</v>
      </c>
      <c r="V519" s="9" t="str">
        <f>IFERROR(VLOOKUP(I519,#REF!,2,0),"Sinalização")</f>
        <v>Sinalização</v>
      </c>
    </row>
    <row r="520" spans="1:22" x14ac:dyDescent="0.25">
      <c r="A520" s="3" t="s">
        <v>22</v>
      </c>
      <c r="B520" s="4">
        <v>23514792</v>
      </c>
      <c r="C520" s="5" t="s">
        <v>23</v>
      </c>
      <c r="D520" s="6" t="s">
        <v>1041</v>
      </c>
      <c r="E520" s="6" t="s">
        <v>25</v>
      </c>
      <c r="F520" s="11">
        <v>46166</v>
      </c>
      <c r="G520" s="6" t="s">
        <v>1079</v>
      </c>
      <c r="H520" s="7" t="s">
        <v>26</v>
      </c>
      <c r="I520" s="7" t="s">
        <v>410</v>
      </c>
      <c r="J520" s="7" t="s">
        <v>1042</v>
      </c>
      <c r="K520" s="7" t="s">
        <v>29</v>
      </c>
      <c r="L520" s="3" t="str">
        <f>E520&amp;D520</f>
        <v>E.SP.IPAEE_INS_CONF_C_I_IAS_0030</v>
      </c>
      <c r="M520" s="3" t="str">
        <f>IFERROR(MID(D520,SEARCH("S_I_",D520,1),3),"")</f>
        <v/>
      </c>
      <c r="N520" s="3" t="str">
        <f>IFERROR(MID(D520,SEARCH("C_I_",D520,1),3),"")</f>
        <v>C_I</v>
      </c>
      <c r="O520" s="3" t="str">
        <f>IF(AND(M520="",N520=""),"Extra","")</f>
        <v/>
      </c>
      <c r="P520" s="3" t="str">
        <f>IF(Q520=0,"TERCEIRO","MRS")</f>
        <v>MRS</v>
      </c>
      <c r="Q520" s="8" t="str">
        <f>IFERROR(VLOOKUP(L520,#REF!,4,0),"0,00")</f>
        <v>0,00</v>
      </c>
      <c r="R520" s="9" t="s">
        <v>57</v>
      </c>
      <c r="S520" s="9">
        <f>COUNTIF(D520,"*_SEG_*")</f>
        <v>0</v>
      </c>
      <c r="T520" s="9">
        <f>COUNTIF(D520,"*_MAN_*")</f>
        <v>0</v>
      </c>
      <c r="U520" s="9">
        <f>(RIGHT(D520,4))*1</f>
        <v>30</v>
      </c>
      <c r="V520" s="9" t="str">
        <f>IFERROR(VLOOKUP(I520,#REF!,2,0),"Sinalização")</f>
        <v>Sinalização</v>
      </c>
    </row>
    <row r="521" spans="1:22" x14ac:dyDescent="0.25">
      <c r="A521" s="3" t="s">
        <v>22</v>
      </c>
      <c r="B521" s="4">
        <v>23514794</v>
      </c>
      <c r="C521" s="5" t="s">
        <v>23</v>
      </c>
      <c r="D521" s="6" t="s">
        <v>1041</v>
      </c>
      <c r="E521" s="6" t="s">
        <v>25</v>
      </c>
      <c r="F521" s="11">
        <v>46166</v>
      </c>
      <c r="G521" s="6" t="s">
        <v>1079</v>
      </c>
      <c r="H521" s="7" t="s">
        <v>32</v>
      </c>
      <c r="I521" s="7" t="s">
        <v>416</v>
      </c>
      <c r="J521" s="7" t="s">
        <v>1042</v>
      </c>
      <c r="K521" s="7" t="s">
        <v>29</v>
      </c>
      <c r="L521" s="3" t="str">
        <f>E521&amp;D521</f>
        <v>E.SP.IPAEE_INS_CONF_C_I_IAS_0030</v>
      </c>
      <c r="M521" s="3" t="str">
        <f>IFERROR(MID(D521,SEARCH("S_I_",D521,1),3),"")</f>
        <v/>
      </c>
      <c r="N521" s="3" t="str">
        <f>IFERROR(MID(D521,SEARCH("C_I_",D521,1),3),"")</f>
        <v>C_I</v>
      </c>
      <c r="O521" s="3" t="str">
        <f>IF(AND(M521="",N521=""),"Extra","")</f>
        <v/>
      </c>
      <c r="P521" s="3" t="str">
        <f>IF(Q521=0,"TERCEIRO","MRS")</f>
        <v>MRS</v>
      </c>
      <c r="Q521" s="8" t="str">
        <f>IFERROR(VLOOKUP(L521,#REF!,4,0),"0,00")</f>
        <v>0,00</v>
      </c>
      <c r="R521" s="9" t="s">
        <v>57</v>
      </c>
      <c r="S521" s="9">
        <f>COUNTIF(D521,"*_SEG_*")</f>
        <v>0</v>
      </c>
      <c r="T521" s="9">
        <f>COUNTIF(D521,"*_MAN_*")</f>
        <v>0</v>
      </c>
      <c r="U521" s="9">
        <f>(RIGHT(D521,4))*1</f>
        <v>30</v>
      </c>
      <c r="V521" s="9" t="str">
        <f>IFERROR(VLOOKUP(I521,#REF!,2,0),"Sinalização")</f>
        <v>Sinalização</v>
      </c>
    </row>
    <row r="522" spans="1:22" x14ac:dyDescent="0.25">
      <c r="A522" s="3" t="s">
        <v>22</v>
      </c>
      <c r="B522" s="4">
        <v>23514795</v>
      </c>
      <c r="C522" s="5" t="s">
        <v>23</v>
      </c>
      <c r="D522" s="6" t="s">
        <v>1041</v>
      </c>
      <c r="E522" s="6" t="s">
        <v>25</v>
      </c>
      <c r="F522" s="11">
        <v>46166</v>
      </c>
      <c r="G522" s="6" t="s">
        <v>1079</v>
      </c>
      <c r="H522" s="7" t="s">
        <v>32</v>
      </c>
      <c r="I522" s="7" t="s">
        <v>1025</v>
      </c>
      <c r="J522" s="7" t="s">
        <v>1042</v>
      </c>
      <c r="K522" s="7" t="s">
        <v>29</v>
      </c>
      <c r="L522" s="3" t="str">
        <f>E522&amp;D522</f>
        <v>E.SP.IPAEE_INS_CONF_C_I_IAS_0030</v>
      </c>
      <c r="M522" s="3" t="str">
        <f>IFERROR(MID(D522,SEARCH("S_I_",D522,1),3),"")</f>
        <v/>
      </c>
      <c r="N522" s="3" t="str">
        <f>IFERROR(MID(D522,SEARCH("C_I_",D522,1),3),"")</f>
        <v>C_I</v>
      </c>
      <c r="O522" s="3" t="str">
        <f>IF(AND(M522="",N522=""),"Extra","")</f>
        <v/>
      </c>
      <c r="P522" s="3" t="str">
        <f>IF(Q522=0,"TERCEIRO","MRS")</f>
        <v>MRS</v>
      </c>
      <c r="Q522" s="8" t="str">
        <f>IFERROR(VLOOKUP(L522,#REF!,4,0),"0,00")</f>
        <v>0,00</v>
      </c>
      <c r="R522" s="9" t="s">
        <v>57</v>
      </c>
      <c r="S522" s="9">
        <f>COUNTIF(D522,"*_SEG_*")</f>
        <v>0</v>
      </c>
      <c r="T522" s="9">
        <f>COUNTIF(D522,"*_MAN_*")</f>
        <v>0</v>
      </c>
      <c r="U522" s="9">
        <f>(RIGHT(D522,4))*1</f>
        <v>30</v>
      </c>
      <c r="V522" s="9" t="str">
        <f>IFERROR(VLOOKUP(I522,#REF!,2,0),"Sinalização")</f>
        <v>Sinalização</v>
      </c>
    </row>
    <row r="523" spans="1:22" x14ac:dyDescent="0.25">
      <c r="A523" s="3" t="s">
        <v>22</v>
      </c>
      <c r="B523" s="4">
        <v>23514801</v>
      </c>
      <c r="C523" s="5" t="s">
        <v>23</v>
      </c>
      <c r="D523" s="6" t="s">
        <v>1041</v>
      </c>
      <c r="E523" s="6" t="s">
        <v>25</v>
      </c>
      <c r="F523" s="11">
        <v>46166</v>
      </c>
      <c r="G523" s="6" t="s">
        <v>1079</v>
      </c>
      <c r="H523" s="7" t="s">
        <v>26</v>
      </c>
      <c r="I523" s="7" t="s">
        <v>1026</v>
      </c>
      <c r="J523" s="7" t="s">
        <v>1042</v>
      </c>
      <c r="K523" s="7" t="s">
        <v>29</v>
      </c>
      <c r="L523" s="3" t="str">
        <f>E523&amp;D523</f>
        <v>E.SP.IPAEE_INS_CONF_C_I_IAS_0030</v>
      </c>
      <c r="M523" s="3" t="str">
        <f>IFERROR(MID(D523,SEARCH("S_I_",D523,1),3),"")</f>
        <v/>
      </c>
      <c r="N523" s="3" t="str">
        <f>IFERROR(MID(D523,SEARCH("C_I_",D523,1),3),"")</f>
        <v>C_I</v>
      </c>
      <c r="O523" s="3" t="str">
        <f>IF(AND(M523="",N523=""),"Extra","")</f>
        <v/>
      </c>
      <c r="P523" s="3" t="str">
        <f>IF(Q523=0,"TERCEIRO","MRS")</f>
        <v>MRS</v>
      </c>
      <c r="Q523" s="8" t="str">
        <f>IFERROR(VLOOKUP(L523,#REF!,4,0),"0,00")</f>
        <v>0,00</v>
      </c>
      <c r="R523" s="9" t="s">
        <v>57</v>
      </c>
      <c r="S523" s="9">
        <f>COUNTIF(D523,"*_SEG_*")</f>
        <v>0</v>
      </c>
      <c r="T523" s="9">
        <f>COUNTIF(D523,"*_MAN_*")</f>
        <v>0</v>
      </c>
      <c r="U523" s="9">
        <f>(RIGHT(D523,4))*1</f>
        <v>30</v>
      </c>
      <c r="V523" s="9" t="str">
        <f>IFERROR(VLOOKUP(I523,#REF!,2,0),"Sinalização")</f>
        <v>Sinalização</v>
      </c>
    </row>
    <row r="524" spans="1:22" x14ac:dyDescent="0.25">
      <c r="A524" s="3" t="s">
        <v>22</v>
      </c>
      <c r="B524" s="4">
        <v>23514802</v>
      </c>
      <c r="C524" s="5" t="s">
        <v>23</v>
      </c>
      <c r="D524" s="6" t="s">
        <v>1041</v>
      </c>
      <c r="E524" s="6" t="s">
        <v>25</v>
      </c>
      <c r="F524" s="11">
        <v>46166</v>
      </c>
      <c r="G524" s="6" t="s">
        <v>1079</v>
      </c>
      <c r="H524" s="7" t="s">
        <v>26</v>
      </c>
      <c r="I524" s="7" t="s">
        <v>1055</v>
      </c>
      <c r="J524" s="7" t="s">
        <v>1042</v>
      </c>
      <c r="K524" s="7" t="s">
        <v>29</v>
      </c>
      <c r="L524" s="3" t="str">
        <f>E524&amp;D524</f>
        <v>E.SP.IPAEE_INS_CONF_C_I_IAS_0030</v>
      </c>
      <c r="M524" s="3" t="str">
        <f>IFERROR(MID(D524,SEARCH("S_I_",D524,1),3),"")</f>
        <v/>
      </c>
      <c r="N524" s="3" t="str">
        <f>IFERROR(MID(D524,SEARCH("C_I_",D524,1),3),"")</f>
        <v>C_I</v>
      </c>
      <c r="O524" s="3" t="str">
        <f>IF(AND(M524="",N524=""),"Extra","")</f>
        <v/>
      </c>
      <c r="P524" s="3" t="str">
        <f>IF(Q524=0,"TERCEIRO","MRS")</f>
        <v>MRS</v>
      </c>
      <c r="Q524" s="8" t="str">
        <f>IFERROR(VLOOKUP(L524,#REF!,4,0),"0,00")</f>
        <v>0,00</v>
      </c>
      <c r="R524" s="9" t="s">
        <v>57</v>
      </c>
      <c r="S524" s="9">
        <f>COUNTIF(D524,"*_SEG_*")</f>
        <v>0</v>
      </c>
      <c r="T524" s="9">
        <f>COUNTIF(D524,"*_MAN_*")</f>
        <v>0</v>
      </c>
      <c r="U524" s="9">
        <f>(RIGHT(D524,4))*1</f>
        <v>30</v>
      </c>
      <c r="V524" s="9" t="str">
        <f>IFERROR(VLOOKUP(I524,#REF!,2,0),"Sinalização")</f>
        <v>Sinalização</v>
      </c>
    </row>
    <row r="525" spans="1:22" x14ac:dyDescent="0.25">
      <c r="A525" s="3" t="s">
        <v>22</v>
      </c>
      <c r="B525" s="4">
        <v>23514803</v>
      </c>
      <c r="C525" s="5" t="s">
        <v>23</v>
      </c>
      <c r="D525" s="6" t="s">
        <v>1041</v>
      </c>
      <c r="E525" s="6" t="s">
        <v>25</v>
      </c>
      <c r="F525" s="11">
        <v>46166</v>
      </c>
      <c r="G525" s="6" t="s">
        <v>1079</v>
      </c>
      <c r="H525" s="7" t="s">
        <v>32</v>
      </c>
      <c r="I525" s="7" t="s">
        <v>1056</v>
      </c>
      <c r="J525" s="7" t="s">
        <v>1042</v>
      </c>
      <c r="K525" s="7" t="s">
        <v>29</v>
      </c>
      <c r="L525" s="3" t="str">
        <f>E525&amp;D525</f>
        <v>E.SP.IPAEE_INS_CONF_C_I_IAS_0030</v>
      </c>
      <c r="M525" s="3" t="str">
        <f>IFERROR(MID(D525,SEARCH("S_I_",D525,1),3),"")</f>
        <v/>
      </c>
      <c r="N525" s="3" t="str">
        <f>IFERROR(MID(D525,SEARCH("C_I_",D525,1),3),"")</f>
        <v>C_I</v>
      </c>
      <c r="O525" s="3" t="str">
        <f>IF(AND(M525="",N525=""),"Extra","")</f>
        <v/>
      </c>
      <c r="P525" s="3" t="str">
        <f>IF(Q525=0,"TERCEIRO","MRS")</f>
        <v>MRS</v>
      </c>
      <c r="Q525" s="8" t="str">
        <f>IFERROR(VLOOKUP(L525,#REF!,4,0),"0,00")</f>
        <v>0,00</v>
      </c>
      <c r="R525" s="9" t="s">
        <v>57</v>
      </c>
      <c r="S525" s="9">
        <f>COUNTIF(D525,"*_SEG_*")</f>
        <v>0</v>
      </c>
      <c r="T525" s="9">
        <f>COUNTIF(D525,"*_MAN_*")</f>
        <v>0</v>
      </c>
      <c r="U525" s="9">
        <f>(RIGHT(D525,4))*1</f>
        <v>30</v>
      </c>
      <c r="V525" s="9" t="str">
        <f>IFERROR(VLOOKUP(I525,#REF!,2,0),"Sinalização")</f>
        <v>Sinalização</v>
      </c>
    </row>
    <row r="526" spans="1:22" x14ac:dyDescent="0.25">
      <c r="A526" s="3" t="s">
        <v>22</v>
      </c>
      <c r="B526" s="4">
        <v>23514804</v>
      </c>
      <c r="C526" s="5" t="s">
        <v>23</v>
      </c>
      <c r="D526" s="6" t="s">
        <v>1041</v>
      </c>
      <c r="E526" s="6" t="s">
        <v>25</v>
      </c>
      <c r="F526" s="11">
        <v>46166</v>
      </c>
      <c r="G526" s="6" t="s">
        <v>1079</v>
      </c>
      <c r="H526" s="7" t="s">
        <v>32</v>
      </c>
      <c r="I526" s="7" t="s">
        <v>1033</v>
      </c>
      <c r="J526" s="7" t="s">
        <v>1042</v>
      </c>
      <c r="K526" s="7" t="s">
        <v>29</v>
      </c>
      <c r="L526" s="3" t="str">
        <f>E526&amp;D526</f>
        <v>E.SP.IPAEE_INS_CONF_C_I_IAS_0030</v>
      </c>
      <c r="M526" s="3" t="str">
        <f>IFERROR(MID(D526,SEARCH("S_I_",D526,1),3),"")</f>
        <v/>
      </c>
      <c r="N526" s="3" t="str">
        <f>IFERROR(MID(D526,SEARCH("C_I_",D526,1),3),"")</f>
        <v>C_I</v>
      </c>
      <c r="O526" s="3" t="str">
        <f>IF(AND(M526="",N526=""),"Extra","")</f>
        <v/>
      </c>
      <c r="P526" s="3" t="str">
        <f>IF(Q526=0,"TERCEIRO","MRS")</f>
        <v>MRS</v>
      </c>
      <c r="Q526" s="8" t="str">
        <f>IFERROR(VLOOKUP(L526,#REF!,4,0),"0,00")</f>
        <v>0,00</v>
      </c>
      <c r="R526" s="9" t="s">
        <v>57</v>
      </c>
      <c r="S526" s="9">
        <f>COUNTIF(D526,"*_SEG_*")</f>
        <v>0</v>
      </c>
      <c r="T526" s="9">
        <f>COUNTIF(D526,"*_MAN_*")</f>
        <v>0</v>
      </c>
      <c r="U526" s="9">
        <f>(RIGHT(D526,4))*1</f>
        <v>30</v>
      </c>
      <c r="V526" s="9" t="str">
        <f>IFERROR(VLOOKUP(I526,#REF!,2,0),"Sinalização")</f>
        <v>Sinalização</v>
      </c>
    </row>
    <row r="527" spans="1:22" x14ac:dyDescent="0.25">
      <c r="A527" s="3" t="s">
        <v>22</v>
      </c>
      <c r="B527" s="4">
        <v>23514805</v>
      </c>
      <c r="C527" s="5" t="s">
        <v>23</v>
      </c>
      <c r="D527" s="6" t="s">
        <v>1041</v>
      </c>
      <c r="E527" s="6" t="s">
        <v>25</v>
      </c>
      <c r="F527" s="11">
        <v>46166</v>
      </c>
      <c r="G527" s="6" t="s">
        <v>1079</v>
      </c>
      <c r="H527" s="7" t="s">
        <v>26</v>
      </c>
      <c r="I527" s="7" t="s">
        <v>1030</v>
      </c>
      <c r="J527" s="7" t="s">
        <v>1042</v>
      </c>
      <c r="K527" s="7" t="s">
        <v>29</v>
      </c>
      <c r="L527" s="3" t="str">
        <f>E527&amp;D527</f>
        <v>E.SP.IPAEE_INS_CONF_C_I_IAS_0030</v>
      </c>
      <c r="M527" s="3" t="str">
        <f>IFERROR(MID(D527,SEARCH("S_I_",D527,1),3),"")</f>
        <v/>
      </c>
      <c r="N527" s="3" t="str">
        <f>IFERROR(MID(D527,SEARCH("C_I_",D527,1),3),"")</f>
        <v>C_I</v>
      </c>
      <c r="O527" s="3" t="str">
        <f>IF(AND(M527="",N527=""),"Extra","")</f>
        <v/>
      </c>
      <c r="P527" s="3" t="str">
        <f>IF(Q527=0,"TERCEIRO","MRS")</f>
        <v>MRS</v>
      </c>
      <c r="Q527" s="8" t="str">
        <f>IFERROR(VLOOKUP(L527,#REF!,4,0),"0,00")</f>
        <v>0,00</v>
      </c>
      <c r="R527" s="9" t="s">
        <v>57</v>
      </c>
      <c r="S527" s="9">
        <f>COUNTIF(D527,"*_SEG_*")</f>
        <v>0</v>
      </c>
      <c r="T527" s="9">
        <f>COUNTIF(D527,"*_MAN_*")</f>
        <v>0</v>
      </c>
      <c r="U527" s="9">
        <f>(RIGHT(D527,4))*1</f>
        <v>30</v>
      </c>
      <c r="V527" s="9" t="str">
        <f>IFERROR(VLOOKUP(I527,#REF!,2,0),"Sinalização")</f>
        <v>Sinalização</v>
      </c>
    </row>
    <row r="528" spans="1:22" x14ac:dyDescent="0.25">
      <c r="A528" s="3" t="s">
        <v>22</v>
      </c>
      <c r="B528" s="4">
        <v>23514806</v>
      </c>
      <c r="C528" s="5" t="s">
        <v>23</v>
      </c>
      <c r="D528" s="6" t="s">
        <v>1041</v>
      </c>
      <c r="E528" s="6" t="s">
        <v>25</v>
      </c>
      <c r="F528" s="11">
        <v>46166</v>
      </c>
      <c r="G528" s="6" t="s">
        <v>1079</v>
      </c>
      <c r="H528" s="7" t="s">
        <v>26</v>
      </c>
      <c r="I528" s="7" t="s">
        <v>1020</v>
      </c>
      <c r="J528" s="7" t="s">
        <v>1042</v>
      </c>
      <c r="K528" s="7" t="s">
        <v>29</v>
      </c>
      <c r="L528" s="3" t="str">
        <f>E528&amp;D528</f>
        <v>E.SP.IPAEE_INS_CONF_C_I_IAS_0030</v>
      </c>
      <c r="M528" s="3" t="str">
        <f>IFERROR(MID(D528,SEARCH("S_I_",D528,1),3),"")</f>
        <v/>
      </c>
      <c r="N528" s="3" t="str">
        <f>IFERROR(MID(D528,SEARCH("C_I_",D528,1),3),"")</f>
        <v>C_I</v>
      </c>
      <c r="O528" s="3" t="str">
        <f>IF(AND(M528="",N528=""),"Extra","")</f>
        <v/>
      </c>
      <c r="P528" s="3" t="str">
        <f>IF(Q528=0,"TERCEIRO","MRS")</f>
        <v>MRS</v>
      </c>
      <c r="Q528" s="8" t="str">
        <f>IFERROR(VLOOKUP(L528,#REF!,4,0),"0,00")</f>
        <v>0,00</v>
      </c>
      <c r="R528" s="9" t="s">
        <v>57</v>
      </c>
      <c r="S528" s="9">
        <f>COUNTIF(D528,"*_SEG_*")</f>
        <v>0</v>
      </c>
      <c r="T528" s="9">
        <f>COUNTIF(D528,"*_MAN_*")</f>
        <v>0</v>
      </c>
      <c r="U528" s="9">
        <f>(RIGHT(D528,4))*1</f>
        <v>30</v>
      </c>
      <c r="V528" s="9" t="str">
        <f>IFERROR(VLOOKUP(I528,#REF!,2,0),"Sinalização")</f>
        <v>Sinalização</v>
      </c>
    </row>
    <row r="529" spans="1:22" x14ac:dyDescent="0.25">
      <c r="A529" s="3" t="s">
        <v>22</v>
      </c>
      <c r="B529" s="4">
        <v>23514807</v>
      </c>
      <c r="C529" s="5" t="s">
        <v>23</v>
      </c>
      <c r="D529" s="6" t="s">
        <v>1041</v>
      </c>
      <c r="E529" s="6" t="s">
        <v>25</v>
      </c>
      <c r="F529" s="11">
        <v>46166</v>
      </c>
      <c r="G529" s="6" t="s">
        <v>1079</v>
      </c>
      <c r="H529" s="7" t="s">
        <v>32</v>
      </c>
      <c r="I529" s="7" t="s">
        <v>1029</v>
      </c>
      <c r="J529" s="7" t="s">
        <v>1042</v>
      </c>
      <c r="K529" s="7" t="s">
        <v>29</v>
      </c>
      <c r="L529" s="3" t="str">
        <f>E529&amp;D529</f>
        <v>E.SP.IPAEE_INS_CONF_C_I_IAS_0030</v>
      </c>
      <c r="M529" s="3" t="str">
        <f>IFERROR(MID(D529,SEARCH("S_I_",D529,1),3),"")</f>
        <v/>
      </c>
      <c r="N529" s="3" t="str">
        <f>IFERROR(MID(D529,SEARCH("C_I_",D529,1),3),"")</f>
        <v>C_I</v>
      </c>
      <c r="O529" s="3" t="str">
        <f>IF(AND(M529="",N529=""),"Extra","")</f>
        <v/>
      </c>
      <c r="P529" s="3" t="str">
        <f>IF(Q529=0,"TERCEIRO","MRS")</f>
        <v>MRS</v>
      </c>
      <c r="Q529" s="8" t="str">
        <f>IFERROR(VLOOKUP(L529,#REF!,4,0),"0,00")</f>
        <v>0,00</v>
      </c>
      <c r="R529" s="9" t="s">
        <v>57</v>
      </c>
      <c r="S529" s="9">
        <f>COUNTIF(D529,"*_SEG_*")</f>
        <v>0</v>
      </c>
      <c r="T529" s="9">
        <f>COUNTIF(D529,"*_MAN_*")</f>
        <v>0</v>
      </c>
      <c r="U529" s="9">
        <f>(RIGHT(D529,4))*1</f>
        <v>30</v>
      </c>
      <c r="V529" s="9" t="str">
        <f>IFERROR(VLOOKUP(I529,#REF!,2,0),"Sinalização")</f>
        <v>Sinalização</v>
      </c>
    </row>
    <row r="530" spans="1:22" x14ac:dyDescent="0.25">
      <c r="A530" s="3" t="s">
        <v>22</v>
      </c>
      <c r="B530" s="4">
        <v>23514808</v>
      </c>
      <c r="C530" s="5" t="s">
        <v>23</v>
      </c>
      <c r="D530" s="6" t="s">
        <v>1041</v>
      </c>
      <c r="E530" s="6" t="s">
        <v>25</v>
      </c>
      <c r="F530" s="11">
        <v>46166</v>
      </c>
      <c r="G530" s="6" t="s">
        <v>1079</v>
      </c>
      <c r="H530" s="7" t="s">
        <v>32</v>
      </c>
      <c r="I530" s="7" t="s">
        <v>1028</v>
      </c>
      <c r="J530" s="7" t="s">
        <v>1042</v>
      </c>
      <c r="K530" s="7" t="s">
        <v>29</v>
      </c>
      <c r="L530" s="3" t="str">
        <f>E530&amp;D530</f>
        <v>E.SP.IPAEE_INS_CONF_C_I_IAS_0030</v>
      </c>
      <c r="M530" s="3" t="str">
        <f>IFERROR(MID(D530,SEARCH("S_I_",D530,1),3),"")</f>
        <v/>
      </c>
      <c r="N530" s="3" t="str">
        <f>IFERROR(MID(D530,SEARCH("C_I_",D530,1),3),"")</f>
        <v>C_I</v>
      </c>
      <c r="O530" s="3" t="str">
        <f>IF(AND(M530="",N530=""),"Extra","")</f>
        <v/>
      </c>
      <c r="P530" s="3" t="str">
        <f>IF(Q530=0,"TERCEIRO","MRS")</f>
        <v>MRS</v>
      </c>
      <c r="Q530" s="8" t="str">
        <f>IFERROR(VLOOKUP(L530,#REF!,4,0),"0,00")</f>
        <v>0,00</v>
      </c>
      <c r="R530" s="9" t="s">
        <v>57</v>
      </c>
      <c r="S530" s="9">
        <f>COUNTIF(D530,"*_SEG_*")</f>
        <v>0</v>
      </c>
      <c r="T530" s="9">
        <f>COUNTIF(D530,"*_MAN_*")</f>
        <v>0</v>
      </c>
      <c r="U530" s="9">
        <f>(RIGHT(D530,4))*1</f>
        <v>30</v>
      </c>
      <c r="V530" s="9" t="str">
        <f>IFERROR(VLOOKUP(I530,#REF!,2,0),"Sinalização")</f>
        <v>Sinalização</v>
      </c>
    </row>
    <row r="531" spans="1:22" x14ac:dyDescent="0.25">
      <c r="A531" s="3" t="s">
        <v>22</v>
      </c>
      <c r="B531" s="4">
        <v>23514809</v>
      </c>
      <c r="C531" s="5" t="s">
        <v>23</v>
      </c>
      <c r="D531" s="6" t="s">
        <v>1041</v>
      </c>
      <c r="E531" s="6" t="s">
        <v>25</v>
      </c>
      <c r="F531" s="11">
        <v>46166</v>
      </c>
      <c r="G531" s="6" t="s">
        <v>1079</v>
      </c>
      <c r="H531" s="7" t="s">
        <v>26</v>
      </c>
      <c r="I531" s="7" t="s">
        <v>1027</v>
      </c>
      <c r="J531" s="7" t="s">
        <v>1042</v>
      </c>
      <c r="K531" s="7" t="s">
        <v>29</v>
      </c>
      <c r="L531" s="3" t="str">
        <f>E531&amp;D531</f>
        <v>E.SP.IPAEE_INS_CONF_C_I_IAS_0030</v>
      </c>
      <c r="M531" s="3" t="str">
        <f>IFERROR(MID(D531,SEARCH("S_I_",D531,1),3),"")</f>
        <v/>
      </c>
      <c r="N531" s="3" t="str">
        <f>IFERROR(MID(D531,SEARCH("C_I_",D531,1),3),"")</f>
        <v>C_I</v>
      </c>
      <c r="O531" s="3" t="str">
        <f>IF(AND(M531="",N531=""),"Extra","")</f>
        <v/>
      </c>
      <c r="P531" s="3" t="str">
        <f>IF(Q531=0,"TERCEIRO","MRS")</f>
        <v>MRS</v>
      </c>
      <c r="Q531" s="8" t="str">
        <f>IFERROR(VLOOKUP(L531,#REF!,4,0),"0,00")</f>
        <v>0,00</v>
      </c>
      <c r="R531" s="9" t="s">
        <v>57</v>
      </c>
      <c r="S531" s="9">
        <f>COUNTIF(D531,"*_SEG_*")</f>
        <v>0</v>
      </c>
      <c r="T531" s="9">
        <f>COUNTIF(D531,"*_MAN_*")</f>
        <v>0</v>
      </c>
      <c r="U531" s="9">
        <f>(RIGHT(D531,4))*1</f>
        <v>30</v>
      </c>
      <c r="V531" s="9" t="str">
        <f>IFERROR(VLOOKUP(I531,#REF!,2,0),"Sinalização")</f>
        <v>Sinalização</v>
      </c>
    </row>
    <row r="532" spans="1:22" x14ac:dyDescent="0.25">
      <c r="A532" s="3" t="s">
        <v>22</v>
      </c>
      <c r="B532" s="4">
        <v>23514810</v>
      </c>
      <c r="C532" s="5" t="s">
        <v>23</v>
      </c>
      <c r="D532" s="6" t="s">
        <v>1041</v>
      </c>
      <c r="E532" s="6" t="s">
        <v>25</v>
      </c>
      <c r="F532" s="11">
        <v>46166</v>
      </c>
      <c r="G532" s="6" t="s">
        <v>1079</v>
      </c>
      <c r="H532" s="7" t="s">
        <v>26</v>
      </c>
      <c r="I532" s="7" t="s">
        <v>310</v>
      </c>
      <c r="J532" s="7" t="s">
        <v>1042</v>
      </c>
      <c r="K532" s="7" t="s">
        <v>29</v>
      </c>
      <c r="L532" s="3" t="str">
        <f>E532&amp;D532</f>
        <v>E.SP.IPAEE_INS_CONF_C_I_IAS_0030</v>
      </c>
      <c r="M532" s="3" t="str">
        <f>IFERROR(MID(D532,SEARCH("S_I_",D532,1),3),"")</f>
        <v/>
      </c>
      <c r="N532" s="3" t="str">
        <f>IFERROR(MID(D532,SEARCH("C_I_",D532,1),3),"")</f>
        <v>C_I</v>
      </c>
      <c r="O532" s="3" t="str">
        <f>IF(AND(M532="",N532=""),"Extra","")</f>
        <v/>
      </c>
      <c r="P532" s="3" t="str">
        <f>IF(Q532=0,"TERCEIRO","MRS")</f>
        <v>MRS</v>
      </c>
      <c r="Q532" s="8" t="str">
        <f>IFERROR(VLOOKUP(L532,#REF!,4,0),"0,00")</f>
        <v>0,00</v>
      </c>
      <c r="R532" s="9" t="s">
        <v>57</v>
      </c>
      <c r="S532" s="9">
        <f>COUNTIF(D532,"*_SEG_*")</f>
        <v>0</v>
      </c>
      <c r="T532" s="9">
        <f>COUNTIF(D532,"*_MAN_*")</f>
        <v>0</v>
      </c>
      <c r="U532" s="9">
        <f>(RIGHT(D532,4))*1</f>
        <v>30</v>
      </c>
      <c r="V532" s="9" t="str">
        <f>IFERROR(VLOOKUP(I532,#REF!,2,0),"Sinalização")</f>
        <v>Sinalização</v>
      </c>
    </row>
    <row r="533" spans="1:22" x14ac:dyDescent="0.25">
      <c r="A533" s="3" t="s">
        <v>22</v>
      </c>
      <c r="B533" s="4">
        <v>23514879</v>
      </c>
      <c r="C533" s="5" t="s">
        <v>23</v>
      </c>
      <c r="D533" s="6" t="s">
        <v>847</v>
      </c>
      <c r="E533" s="6" t="s">
        <v>25</v>
      </c>
      <c r="F533" s="11">
        <v>46166</v>
      </c>
      <c r="G533" s="6" t="s">
        <v>1079</v>
      </c>
      <c r="H533" s="7" t="s">
        <v>32</v>
      </c>
      <c r="I533" s="7" t="s">
        <v>123</v>
      </c>
      <c r="J533" s="7" t="s">
        <v>810</v>
      </c>
      <c r="K533" s="7" t="s">
        <v>29</v>
      </c>
      <c r="L533" s="3" t="str">
        <f>E533&amp;D533</f>
        <v>E.SP.IPAEE_MAN_CONF_C_I_MCH 110VCC GRS 5C_0030</v>
      </c>
      <c r="M533" s="3" t="str">
        <f>IFERROR(MID(D533,SEARCH("S_I_",D533,1),3),"")</f>
        <v/>
      </c>
      <c r="N533" s="3" t="str">
        <f>IFERROR(MID(D533,SEARCH("C_I_",D533,1),3),"")</f>
        <v>C_I</v>
      </c>
      <c r="O533" s="3" t="str">
        <f>IF(AND(M533="",N533=""),"Extra","")</f>
        <v/>
      </c>
      <c r="P533" s="3" t="str">
        <f>IF(Q533=0,"TERCEIRO","MRS")</f>
        <v>MRS</v>
      </c>
      <c r="Q533" s="8" t="str">
        <f>IFERROR(VLOOKUP(L533,#REF!,4,0),"0,00")</f>
        <v>0,00</v>
      </c>
      <c r="R533" s="9" t="s">
        <v>42</v>
      </c>
      <c r="S533" s="9">
        <f>COUNTIF(D533,"*_SEG_*")</f>
        <v>0</v>
      </c>
      <c r="T533" s="9">
        <f>COUNTIF(D533,"*_MAN_*")</f>
        <v>1</v>
      </c>
      <c r="U533" s="9">
        <f>(RIGHT(D533,4))*1</f>
        <v>30</v>
      </c>
      <c r="V533" s="9" t="str">
        <f>IFERROR(VLOOKUP(I533,#REF!,2,0),"Sinalização")</f>
        <v>Sinalização</v>
      </c>
    </row>
    <row r="534" spans="1:22" x14ac:dyDescent="0.25">
      <c r="A534" s="3" t="s">
        <v>22</v>
      </c>
      <c r="B534" s="4">
        <v>23514900</v>
      </c>
      <c r="C534" s="5" t="s">
        <v>23</v>
      </c>
      <c r="D534" s="6" t="s">
        <v>929</v>
      </c>
      <c r="E534" s="6" t="s">
        <v>25</v>
      </c>
      <c r="F534" s="11">
        <v>46166</v>
      </c>
      <c r="G534" s="6" t="s">
        <v>1079</v>
      </c>
      <c r="H534" s="7" t="s">
        <v>32</v>
      </c>
      <c r="I534" s="7" t="s">
        <v>80</v>
      </c>
      <c r="J534" s="7" t="s">
        <v>810</v>
      </c>
      <c r="K534" s="7" t="s">
        <v>29</v>
      </c>
      <c r="L534" s="3" t="str">
        <f>E534&amp;D534</f>
        <v>E.SP.IPAEE_MAN_CONF_C_I_MCH 110VCC GRS 55BR_0030</v>
      </c>
      <c r="M534" s="3" t="str">
        <f>IFERROR(MID(D534,SEARCH("S_I_",D534,1),3),"")</f>
        <v/>
      </c>
      <c r="N534" s="3" t="str">
        <f>IFERROR(MID(D534,SEARCH("C_I_",D534,1),3),"")</f>
        <v>C_I</v>
      </c>
      <c r="O534" s="3" t="str">
        <f>IF(AND(M534="",N534=""),"Extra","")</f>
        <v/>
      </c>
      <c r="P534" s="3" t="str">
        <f>IF(Q534=0,"TERCEIRO","MRS")</f>
        <v>MRS</v>
      </c>
      <c r="Q534" s="8" t="str">
        <f>IFERROR(VLOOKUP(L534,#REF!,4,0),"0,00")</f>
        <v>0,00</v>
      </c>
      <c r="R534" s="9" t="s">
        <v>42</v>
      </c>
      <c r="S534" s="9">
        <f>COUNTIF(D534,"*_SEG_*")</f>
        <v>0</v>
      </c>
      <c r="T534" s="9">
        <f>COUNTIF(D534,"*_MAN_*")</f>
        <v>1</v>
      </c>
      <c r="U534" s="9">
        <f>(RIGHT(D534,4))*1</f>
        <v>30</v>
      </c>
      <c r="V534" s="9" t="str">
        <f>IFERROR(VLOOKUP(I534,#REF!,2,0),"Sinalização")</f>
        <v>Sinalização</v>
      </c>
    </row>
    <row r="535" spans="1:22" x14ac:dyDescent="0.25">
      <c r="A535" s="3" t="s">
        <v>22</v>
      </c>
      <c r="B535" s="4">
        <v>23514963</v>
      </c>
      <c r="C535" s="5" t="s">
        <v>23</v>
      </c>
      <c r="D535" s="6" t="s">
        <v>847</v>
      </c>
      <c r="E535" s="6" t="s">
        <v>25</v>
      </c>
      <c r="F535" s="11">
        <v>46166</v>
      </c>
      <c r="G535" s="6" t="s">
        <v>1079</v>
      </c>
      <c r="H535" s="7" t="s">
        <v>26</v>
      </c>
      <c r="I535" s="7" t="s">
        <v>449</v>
      </c>
      <c r="J535" s="7" t="s">
        <v>810</v>
      </c>
      <c r="K535" s="7" t="s">
        <v>29</v>
      </c>
      <c r="L535" s="3" t="str">
        <f>E535&amp;D535</f>
        <v>E.SP.IPAEE_MAN_CONF_C_I_MCH 110VCC GRS 5C_0030</v>
      </c>
      <c r="M535" s="3" t="str">
        <f>IFERROR(MID(D535,SEARCH("S_I_",D535,1),3),"")</f>
        <v/>
      </c>
      <c r="N535" s="3" t="str">
        <f>IFERROR(MID(D535,SEARCH("C_I_",D535,1),3),"")</f>
        <v>C_I</v>
      </c>
      <c r="O535" s="3" t="str">
        <f>IF(AND(M535="",N535=""),"Extra","")</f>
        <v/>
      </c>
      <c r="P535" s="3" t="str">
        <f>IF(Q535=0,"TERCEIRO","MRS")</f>
        <v>MRS</v>
      </c>
      <c r="Q535" s="8" t="str">
        <f>IFERROR(VLOOKUP(L535,#REF!,4,0),"0,00")</f>
        <v>0,00</v>
      </c>
      <c r="R535" s="9" t="s">
        <v>42</v>
      </c>
      <c r="S535" s="9">
        <f>COUNTIF(D535,"*_SEG_*")</f>
        <v>0</v>
      </c>
      <c r="T535" s="9">
        <f>COUNTIF(D535,"*_MAN_*")</f>
        <v>1</v>
      </c>
      <c r="U535" s="9">
        <f>(RIGHT(D535,4))*1</f>
        <v>30</v>
      </c>
      <c r="V535" s="9" t="str">
        <f>IFERROR(VLOOKUP(I535,#REF!,2,0),"Sinalização")</f>
        <v>Sinalização</v>
      </c>
    </row>
    <row r="536" spans="1:22" x14ac:dyDescent="0.25">
      <c r="A536" s="3" t="s">
        <v>22</v>
      </c>
      <c r="B536" s="4">
        <v>23514964</v>
      </c>
      <c r="C536" s="5" t="s">
        <v>23</v>
      </c>
      <c r="D536" s="6" t="s">
        <v>847</v>
      </c>
      <c r="E536" s="6" t="s">
        <v>25</v>
      </c>
      <c r="F536" s="11">
        <v>46166</v>
      </c>
      <c r="G536" s="6" t="s">
        <v>1079</v>
      </c>
      <c r="H536" s="7" t="s">
        <v>26</v>
      </c>
      <c r="I536" s="7" t="s">
        <v>607</v>
      </c>
      <c r="J536" s="7" t="s">
        <v>810</v>
      </c>
      <c r="K536" s="7" t="s">
        <v>29</v>
      </c>
      <c r="L536" s="3" t="str">
        <f>E536&amp;D536</f>
        <v>E.SP.IPAEE_MAN_CONF_C_I_MCH 110VCC GRS 5C_0030</v>
      </c>
      <c r="M536" s="3" t="str">
        <f>IFERROR(MID(D536,SEARCH("S_I_",D536,1),3),"")</f>
        <v/>
      </c>
      <c r="N536" s="3" t="str">
        <f>IFERROR(MID(D536,SEARCH("C_I_",D536,1),3),"")</f>
        <v>C_I</v>
      </c>
      <c r="O536" s="3" t="str">
        <f>IF(AND(M536="",N536=""),"Extra","")</f>
        <v/>
      </c>
      <c r="P536" s="3" t="str">
        <f>IF(Q536=0,"TERCEIRO","MRS")</f>
        <v>MRS</v>
      </c>
      <c r="Q536" s="8" t="str">
        <f>IFERROR(VLOOKUP(L536,#REF!,4,0),"0,00")</f>
        <v>0,00</v>
      </c>
      <c r="R536" s="9" t="s">
        <v>42</v>
      </c>
      <c r="S536" s="9">
        <f>COUNTIF(D536,"*_SEG_*")</f>
        <v>0</v>
      </c>
      <c r="T536" s="9">
        <f>COUNTIF(D536,"*_MAN_*")</f>
        <v>1</v>
      </c>
      <c r="U536" s="9">
        <f>(RIGHT(D536,4))*1</f>
        <v>30</v>
      </c>
      <c r="V536" s="9" t="str">
        <f>IFERROR(VLOOKUP(I536,#REF!,2,0),"Sinalização")</f>
        <v>Sinalização</v>
      </c>
    </row>
    <row r="537" spans="1:22" x14ac:dyDescent="0.25">
      <c r="A537" s="3" t="s">
        <v>22</v>
      </c>
      <c r="B537" s="4">
        <v>23514966</v>
      </c>
      <c r="C537" s="5" t="s">
        <v>23</v>
      </c>
      <c r="D537" s="6" t="s">
        <v>1045</v>
      </c>
      <c r="E537" s="6" t="s">
        <v>25</v>
      </c>
      <c r="F537" s="11">
        <v>46166</v>
      </c>
      <c r="G537" s="6" t="s">
        <v>1079</v>
      </c>
      <c r="H537" s="7" t="s">
        <v>32</v>
      </c>
      <c r="I537" s="7" t="s">
        <v>40</v>
      </c>
      <c r="J537" s="7" t="s">
        <v>927</v>
      </c>
      <c r="K537" s="7" t="s">
        <v>29</v>
      </c>
      <c r="L537" s="3" t="str">
        <f>E537&amp;D537</f>
        <v>E.SP.IPAEE_INS_CONF_C_I_MCH 110VCC GRS 5C_0030</v>
      </c>
      <c r="M537" s="3" t="str">
        <f>IFERROR(MID(D537,SEARCH("S_I_",D537,1),3),"")</f>
        <v/>
      </c>
      <c r="N537" s="3" t="str">
        <f>IFERROR(MID(D537,SEARCH("C_I_",D537,1),3),"")</f>
        <v>C_I</v>
      </c>
      <c r="O537" s="3" t="str">
        <f>IF(AND(M537="",N537=""),"Extra","")</f>
        <v/>
      </c>
      <c r="P537" s="3" t="str">
        <f>IF(Q537=0,"TERCEIRO","MRS")</f>
        <v>MRS</v>
      </c>
      <c r="Q537" s="8" t="str">
        <f>IFERROR(VLOOKUP(L537,#REF!,4,0),"0,00")</f>
        <v>0,00</v>
      </c>
      <c r="R537" s="9" t="s">
        <v>42</v>
      </c>
      <c r="S537" s="9">
        <f>COUNTIF(D537,"*_SEG_*")</f>
        <v>0</v>
      </c>
      <c r="T537" s="9">
        <f>COUNTIF(D537,"*_MAN_*")</f>
        <v>0</v>
      </c>
      <c r="U537" s="9">
        <f>(RIGHT(D537,4))*1</f>
        <v>30</v>
      </c>
      <c r="V537" s="9" t="str">
        <f>IFERROR(VLOOKUP(I537,#REF!,2,0),"Sinalização")</f>
        <v>Sinalização</v>
      </c>
    </row>
    <row r="538" spans="1:22" x14ac:dyDescent="0.25">
      <c r="A538" s="3" t="s">
        <v>22</v>
      </c>
      <c r="B538" s="4">
        <v>23514967</v>
      </c>
      <c r="C538" s="5" t="s">
        <v>23</v>
      </c>
      <c r="D538" s="6" t="s">
        <v>1044</v>
      </c>
      <c r="E538" s="6" t="s">
        <v>25</v>
      </c>
      <c r="F538" s="11">
        <v>46166</v>
      </c>
      <c r="G538" s="6" t="s">
        <v>1079</v>
      </c>
      <c r="H538" s="7" t="s">
        <v>32</v>
      </c>
      <c r="I538" s="7" t="s">
        <v>40</v>
      </c>
      <c r="J538" s="7" t="s">
        <v>958</v>
      </c>
      <c r="K538" s="7" t="s">
        <v>29</v>
      </c>
      <c r="L538" s="3" t="str">
        <f>E538&amp;D538</f>
        <v>E.SP.IPAEE_INS_SEG_C_I_MCH 110VCC GRS 5C_0030</v>
      </c>
      <c r="M538" s="3" t="str">
        <f>IFERROR(MID(D538,SEARCH("S_I_",D538,1),3),"")</f>
        <v/>
      </c>
      <c r="N538" s="3" t="str">
        <f>IFERROR(MID(D538,SEARCH("C_I_",D538,1),3),"")</f>
        <v>C_I</v>
      </c>
      <c r="O538" s="3" t="str">
        <f>IF(AND(M538="",N538=""),"Extra","")</f>
        <v/>
      </c>
      <c r="P538" s="3" t="str">
        <f>IF(Q538=0,"TERCEIRO","MRS")</f>
        <v>MRS</v>
      </c>
      <c r="Q538" s="8" t="str">
        <f>IFERROR(VLOOKUP(L538,#REF!,4,0),"0,00")</f>
        <v>0,00</v>
      </c>
      <c r="R538" s="9" t="s">
        <v>30</v>
      </c>
      <c r="S538" s="9">
        <f>COUNTIF(D538,"*_SEG_*")</f>
        <v>1</v>
      </c>
      <c r="T538" s="9">
        <f>COUNTIF(D538,"*_MAN_*")</f>
        <v>0</v>
      </c>
      <c r="U538" s="9">
        <f>(RIGHT(D538,4))*1</f>
        <v>30</v>
      </c>
      <c r="V538" s="9" t="str">
        <f>IFERROR(VLOOKUP(I538,#REF!,2,0),"Sinalização")</f>
        <v>Sinalização</v>
      </c>
    </row>
    <row r="539" spans="1:22" x14ac:dyDescent="0.25">
      <c r="A539" s="3" t="s">
        <v>22</v>
      </c>
      <c r="B539" s="4">
        <v>23514969</v>
      </c>
      <c r="C539" s="5" t="s">
        <v>23</v>
      </c>
      <c r="D539" s="6" t="s">
        <v>847</v>
      </c>
      <c r="E539" s="6" t="s">
        <v>25</v>
      </c>
      <c r="F539" s="11">
        <v>46166</v>
      </c>
      <c r="G539" s="6" t="s">
        <v>1079</v>
      </c>
      <c r="H539" s="7" t="s">
        <v>26</v>
      </c>
      <c r="I539" s="7" t="s">
        <v>40</v>
      </c>
      <c r="J539" s="7" t="s">
        <v>810</v>
      </c>
      <c r="K539" s="7" t="s">
        <v>29</v>
      </c>
      <c r="L539" s="3" t="str">
        <f>E539&amp;D539</f>
        <v>E.SP.IPAEE_MAN_CONF_C_I_MCH 110VCC GRS 5C_0030</v>
      </c>
      <c r="M539" s="3" t="str">
        <f>IFERROR(MID(D539,SEARCH("S_I_",D539,1),3),"")</f>
        <v/>
      </c>
      <c r="N539" s="3" t="str">
        <f>IFERROR(MID(D539,SEARCH("C_I_",D539,1),3),"")</f>
        <v>C_I</v>
      </c>
      <c r="O539" s="3" t="str">
        <f>IF(AND(M539="",N539=""),"Extra","")</f>
        <v/>
      </c>
      <c r="P539" s="3" t="str">
        <f>IF(Q539=0,"TERCEIRO","MRS")</f>
        <v>MRS</v>
      </c>
      <c r="Q539" s="8" t="str">
        <f>IFERROR(VLOOKUP(L539,#REF!,4,0),"0,00")</f>
        <v>0,00</v>
      </c>
      <c r="R539" s="9" t="s">
        <v>42</v>
      </c>
      <c r="S539" s="9">
        <f>COUNTIF(D539,"*_SEG_*")</f>
        <v>0</v>
      </c>
      <c r="T539" s="9">
        <f>COUNTIF(D539,"*_MAN_*")</f>
        <v>1</v>
      </c>
      <c r="U539" s="9">
        <f>(RIGHT(D539,4))*1</f>
        <v>30</v>
      </c>
      <c r="V539" s="9" t="str">
        <f>IFERROR(VLOOKUP(I539,#REF!,2,0),"Sinalização")</f>
        <v>Sinalização</v>
      </c>
    </row>
    <row r="540" spans="1:22" x14ac:dyDescent="0.25">
      <c r="A540" s="3" t="s">
        <v>22</v>
      </c>
      <c r="B540" s="4">
        <v>23515052</v>
      </c>
      <c r="C540" s="5" t="s">
        <v>23</v>
      </c>
      <c r="D540" s="6" t="s">
        <v>1057</v>
      </c>
      <c r="E540" s="6" t="s">
        <v>25</v>
      </c>
      <c r="F540" s="11">
        <v>46166</v>
      </c>
      <c r="G540" s="6" t="s">
        <v>1079</v>
      </c>
      <c r="H540" s="7" t="s">
        <v>26</v>
      </c>
      <c r="I540" s="7" t="s">
        <v>1058</v>
      </c>
      <c r="J540" s="7" t="s">
        <v>1059</v>
      </c>
      <c r="K540" s="7" t="s">
        <v>29</v>
      </c>
      <c r="L540" s="3" t="str">
        <f>E540&amp;D540</f>
        <v>E.SP.IPAEE_INS_CONF_C_I_DISJ CABINE PRIM_0030</v>
      </c>
      <c r="M540" s="3" t="str">
        <f>IFERROR(MID(D540,SEARCH("S_I_",D540,1),3),"")</f>
        <v/>
      </c>
      <c r="N540" s="3" t="str">
        <f>IFERROR(MID(D540,SEARCH("C_I_",D540,1),3),"")</f>
        <v>C_I</v>
      </c>
      <c r="O540" s="3" t="str">
        <f>IF(AND(M540="",N540=""),"Extra","")</f>
        <v/>
      </c>
      <c r="P540" s="3" t="str">
        <f>IF(Q540=0,"TERCEIRO","MRS")</f>
        <v>MRS</v>
      </c>
      <c r="Q540" s="8" t="str">
        <f>IFERROR(VLOOKUP(L540,#REF!,4,0),"0,00")</f>
        <v>0,00</v>
      </c>
      <c r="R540" s="9" t="s">
        <v>57</v>
      </c>
      <c r="S540" s="9">
        <f>COUNTIF(D540,"*_SEG_*")</f>
        <v>0</v>
      </c>
      <c r="T540" s="9">
        <f>COUNTIF(D540,"*_MAN_*")</f>
        <v>0</v>
      </c>
      <c r="U540" s="9">
        <f>(RIGHT(D540,4))*1</f>
        <v>30</v>
      </c>
      <c r="V540" s="9" t="str">
        <f>IFERROR(VLOOKUP(I540,#REF!,2,0),"Sinalização")</f>
        <v>Sinalização</v>
      </c>
    </row>
    <row r="541" spans="1:22" x14ac:dyDescent="0.25">
      <c r="A541" s="3" t="s">
        <v>22</v>
      </c>
      <c r="B541" s="4">
        <v>23114571</v>
      </c>
      <c r="C541" s="5" t="s">
        <v>23</v>
      </c>
      <c r="D541" s="6" t="s">
        <v>300</v>
      </c>
      <c r="E541" s="6" t="s">
        <v>25</v>
      </c>
      <c r="F541" s="11">
        <v>46165</v>
      </c>
      <c r="G541" s="6" t="s">
        <v>1079</v>
      </c>
      <c r="H541" s="7" t="s">
        <v>32</v>
      </c>
      <c r="I541" s="7" t="s">
        <v>400</v>
      </c>
      <c r="J541" s="7" t="s">
        <v>195</v>
      </c>
      <c r="K541" s="7" t="s">
        <v>29</v>
      </c>
      <c r="L541" s="3" t="str">
        <f>E541&amp;D541</f>
        <v>E.SP.IPAEE_INS_SEG_S_I_CDV DETETORA CA_0180</v>
      </c>
      <c r="M541" s="3" t="str">
        <f>IFERROR(MID(D541,SEARCH("S_I_",D541,1),3),"")</f>
        <v>S_I</v>
      </c>
      <c r="N541" s="3" t="str">
        <f>IFERROR(MID(D541,SEARCH("C_I_",D541,1),3),"")</f>
        <v/>
      </c>
      <c r="O541" s="3" t="str">
        <f>IF(AND(M541="",N541=""),"Extra","")</f>
        <v/>
      </c>
      <c r="P541" s="3" t="str">
        <f>IF(Q541=0,"TERCEIRO","MRS")</f>
        <v>MRS</v>
      </c>
      <c r="Q541" s="8" t="str">
        <f>IFERROR(VLOOKUP(L541,#REF!,4,0),"0,00")</f>
        <v>0,00</v>
      </c>
      <c r="R541" s="9" t="s">
        <v>30</v>
      </c>
      <c r="S541" s="9">
        <f>COUNTIF(D541,"*_SEG_*")</f>
        <v>1</v>
      </c>
      <c r="T541" s="9">
        <f>COUNTIF(D541,"*_MAN_*")</f>
        <v>0</v>
      </c>
      <c r="U541" s="9">
        <f>(RIGHT(D541,4))*1</f>
        <v>180</v>
      </c>
      <c r="V541" s="9" t="str">
        <f>IFERROR(VLOOKUP(I541,#REF!,2,0),"Sinalização")</f>
        <v>Sinalização</v>
      </c>
    </row>
    <row r="542" spans="1:22" x14ac:dyDescent="0.25">
      <c r="A542" s="3" t="s">
        <v>22</v>
      </c>
      <c r="B542" s="4">
        <v>23114572</v>
      </c>
      <c r="C542" s="5" t="s">
        <v>23</v>
      </c>
      <c r="D542" s="6" t="s">
        <v>337</v>
      </c>
      <c r="E542" s="6" t="s">
        <v>25</v>
      </c>
      <c r="F542" s="11">
        <v>46165</v>
      </c>
      <c r="G542" s="6" t="s">
        <v>1079</v>
      </c>
      <c r="H542" s="7" t="s">
        <v>32</v>
      </c>
      <c r="I542" s="7" t="s">
        <v>401</v>
      </c>
      <c r="J542" s="7" t="s">
        <v>275</v>
      </c>
      <c r="K542" s="7" t="s">
        <v>29</v>
      </c>
      <c r="L542" s="3" t="str">
        <f>E542&amp;D542</f>
        <v>E.SP.IPAEE_INS_SEG_C_I_SINAL L UNIFOCAL AUT_0180</v>
      </c>
      <c r="M542" s="3" t="str">
        <f>IFERROR(MID(D542,SEARCH("S_I_",D542,1),3),"")</f>
        <v/>
      </c>
      <c r="N542" s="3" t="str">
        <f>IFERROR(MID(D542,SEARCH("C_I_",D542,1),3),"")</f>
        <v>C_I</v>
      </c>
      <c r="O542" s="3" t="str">
        <f>IF(AND(M542="",N542=""),"Extra","")</f>
        <v/>
      </c>
      <c r="P542" s="3" t="str">
        <f>IF(Q542=0,"TERCEIRO","MRS")</f>
        <v>MRS</v>
      </c>
      <c r="Q542" s="8" t="str">
        <f>IFERROR(VLOOKUP(L542,#REF!,4,0),"0,00")</f>
        <v>0,00</v>
      </c>
      <c r="R542" s="9" t="s">
        <v>30</v>
      </c>
      <c r="S542" s="9">
        <f>COUNTIF(D542,"*_SEG_*")</f>
        <v>1</v>
      </c>
      <c r="T542" s="9">
        <f>COUNTIF(D542,"*_MAN_*")</f>
        <v>0</v>
      </c>
      <c r="U542" s="9">
        <f>(RIGHT(D542,4))*1</f>
        <v>180</v>
      </c>
      <c r="V542" s="9" t="str">
        <f>IFERROR(VLOOKUP(I542,#REF!,2,0),"Sinalização")</f>
        <v>Sinalização</v>
      </c>
    </row>
    <row r="543" spans="1:22" x14ac:dyDescent="0.25">
      <c r="A543" s="3" t="s">
        <v>22</v>
      </c>
      <c r="B543" s="4">
        <v>23114573</v>
      </c>
      <c r="C543" s="5" t="s">
        <v>23</v>
      </c>
      <c r="D543" s="6" t="s">
        <v>337</v>
      </c>
      <c r="E543" s="6" t="s">
        <v>25</v>
      </c>
      <c r="F543" s="11">
        <v>46165</v>
      </c>
      <c r="G543" s="6" t="s">
        <v>1079</v>
      </c>
      <c r="H543" s="7" t="s">
        <v>26</v>
      </c>
      <c r="I543" s="7" t="s">
        <v>402</v>
      </c>
      <c r="J543" s="7" t="s">
        <v>275</v>
      </c>
      <c r="K543" s="7" t="s">
        <v>29</v>
      </c>
      <c r="L543" s="3" t="str">
        <f>E543&amp;D543</f>
        <v>E.SP.IPAEE_INS_SEG_C_I_SINAL L UNIFOCAL AUT_0180</v>
      </c>
      <c r="M543" s="3" t="str">
        <f>IFERROR(MID(D543,SEARCH("S_I_",D543,1),3),"")</f>
        <v/>
      </c>
      <c r="N543" s="3" t="str">
        <f>IFERROR(MID(D543,SEARCH("C_I_",D543,1),3),"")</f>
        <v>C_I</v>
      </c>
      <c r="O543" s="3" t="str">
        <f>IF(AND(M543="",N543=""),"Extra","")</f>
        <v/>
      </c>
      <c r="P543" s="3" t="str">
        <f>IF(Q543=0,"TERCEIRO","MRS")</f>
        <v>MRS</v>
      </c>
      <c r="Q543" s="8" t="str">
        <f>IFERROR(VLOOKUP(L543,#REF!,4,0),"0,00")</f>
        <v>0,00</v>
      </c>
      <c r="R543" s="9" t="s">
        <v>30</v>
      </c>
      <c r="S543" s="9">
        <f>COUNTIF(D543,"*_SEG_*")</f>
        <v>1</v>
      </c>
      <c r="T543" s="9">
        <f>COUNTIF(D543,"*_MAN_*")</f>
        <v>0</v>
      </c>
      <c r="U543" s="9">
        <f>(RIGHT(D543,4))*1</f>
        <v>180</v>
      </c>
      <c r="V543" s="9" t="str">
        <f>IFERROR(VLOOKUP(I543,#REF!,2,0),"Sinalização")</f>
        <v>Sinalização</v>
      </c>
    </row>
    <row r="544" spans="1:22" x14ac:dyDescent="0.25">
      <c r="A544" s="3" t="s">
        <v>22</v>
      </c>
      <c r="B544" s="4">
        <v>23114574</v>
      </c>
      <c r="C544" s="5" t="s">
        <v>23</v>
      </c>
      <c r="D544" s="6" t="s">
        <v>337</v>
      </c>
      <c r="E544" s="6" t="s">
        <v>25</v>
      </c>
      <c r="F544" s="11">
        <v>46165</v>
      </c>
      <c r="G544" s="6" t="s">
        <v>1079</v>
      </c>
      <c r="H544" s="7" t="s">
        <v>26</v>
      </c>
      <c r="I544" s="7" t="s">
        <v>403</v>
      </c>
      <c r="J544" s="7" t="s">
        <v>275</v>
      </c>
      <c r="K544" s="7" t="s">
        <v>29</v>
      </c>
      <c r="L544" s="3" t="str">
        <f>E544&amp;D544</f>
        <v>E.SP.IPAEE_INS_SEG_C_I_SINAL L UNIFOCAL AUT_0180</v>
      </c>
      <c r="M544" s="3" t="str">
        <f>IFERROR(MID(D544,SEARCH("S_I_",D544,1),3),"")</f>
        <v/>
      </c>
      <c r="N544" s="3" t="str">
        <f>IFERROR(MID(D544,SEARCH("C_I_",D544,1),3),"")</f>
        <v>C_I</v>
      </c>
      <c r="O544" s="3" t="str">
        <f>IF(AND(M544="",N544=""),"Extra","")</f>
        <v/>
      </c>
      <c r="P544" s="3" t="str">
        <f>IF(Q544=0,"TERCEIRO","MRS")</f>
        <v>MRS</v>
      </c>
      <c r="Q544" s="8" t="str">
        <f>IFERROR(VLOOKUP(L544,#REF!,4,0),"0,00")</f>
        <v>0,00</v>
      </c>
      <c r="R544" s="9" t="s">
        <v>30</v>
      </c>
      <c r="S544" s="9">
        <f>COUNTIF(D544,"*_SEG_*")</f>
        <v>1</v>
      </c>
      <c r="T544" s="9">
        <f>COUNTIF(D544,"*_MAN_*")</f>
        <v>0</v>
      </c>
      <c r="U544" s="9">
        <f>(RIGHT(D544,4))*1</f>
        <v>180</v>
      </c>
      <c r="V544" s="9" t="str">
        <f>IFERROR(VLOOKUP(I544,#REF!,2,0),"Sinalização")</f>
        <v>Sinalização</v>
      </c>
    </row>
    <row r="545" spans="1:22" x14ac:dyDescent="0.25">
      <c r="A545" s="3" t="s">
        <v>22</v>
      </c>
      <c r="B545" s="4">
        <v>23114575</v>
      </c>
      <c r="C545" s="5" t="s">
        <v>23</v>
      </c>
      <c r="D545" s="6" t="s">
        <v>337</v>
      </c>
      <c r="E545" s="6" t="s">
        <v>25</v>
      </c>
      <c r="F545" s="11">
        <v>46165</v>
      </c>
      <c r="G545" s="6" t="s">
        <v>1079</v>
      </c>
      <c r="H545" s="7" t="s">
        <v>32</v>
      </c>
      <c r="I545" s="7" t="s">
        <v>404</v>
      </c>
      <c r="J545" s="7" t="s">
        <v>275</v>
      </c>
      <c r="K545" s="7" t="s">
        <v>29</v>
      </c>
      <c r="L545" s="3" t="str">
        <f>E545&amp;D545</f>
        <v>E.SP.IPAEE_INS_SEG_C_I_SINAL L UNIFOCAL AUT_0180</v>
      </c>
      <c r="M545" s="3" t="str">
        <f>IFERROR(MID(D545,SEARCH("S_I_",D545,1),3),"")</f>
        <v/>
      </c>
      <c r="N545" s="3" t="str">
        <f>IFERROR(MID(D545,SEARCH("C_I_",D545,1),3),"")</f>
        <v>C_I</v>
      </c>
      <c r="O545" s="3" t="str">
        <f>IF(AND(M545="",N545=""),"Extra","")</f>
        <v/>
      </c>
      <c r="P545" s="3" t="str">
        <f>IF(Q545=0,"TERCEIRO","MRS")</f>
        <v>MRS</v>
      </c>
      <c r="Q545" s="8" t="str">
        <f>IFERROR(VLOOKUP(L545,#REF!,4,0),"0,00")</f>
        <v>0,00</v>
      </c>
      <c r="R545" s="9" t="s">
        <v>30</v>
      </c>
      <c r="S545" s="9">
        <f>COUNTIF(D545,"*_SEG_*")</f>
        <v>1</v>
      </c>
      <c r="T545" s="9">
        <f>COUNTIF(D545,"*_MAN_*")</f>
        <v>0</v>
      </c>
      <c r="U545" s="9">
        <f>(RIGHT(D545,4))*1</f>
        <v>180</v>
      </c>
      <c r="V545" s="9" t="str">
        <f>IFERROR(VLOOKUP(I545,#REF!,2,0),"Sinalização")</f>
        <v>Sinalização</v>
      </c>
    </row>
    <row r="546" spans="1:22" x14ac:dyDescent="0.25">
      <c r="A546" s="3" t="s">
        <v>22</v>
      </c>
      <c r="B546" s="4">
        <v>23114576</v>
      </c>
      <c r="C546" s="5" t="s">
        <v>23</v>
      </c>
      <c r="D546" s="6" t="s">
        <v>300</v>
      </c>
      <c r="E546" s="6" t="s">
        <v>25</v>
      </c>
      <c r="F546" s="11">
        <v>46165</v>
      </c>
      <c r="G546" s="6" t="s">
        <v>1079</v>
      </c>
      <c r="H546" s="7" t="s">
        <v>32</v>
      </c>
      <c r="I546" s="7" t="s">
        <v>405</v>
      </c>
      <c r="J546" s="7" t="s">
        <v>195</v>
      </c>
      <c r="K546" s="7" t="s">
        <v>29</v>
      </c>
      <c r="L546" s="3" t="str">
        <f>E546&amp;D546</f>
        <v>E.SP.IPAEE_INS_SEG_S_I_CDV DETETORA CA_0180</v>
      </c>
      <c r="M546" s="3" t="str">
        <f>IFERROR(MID(D546,SEARCH("S_I_",D546,1),3),"")</f>
        <v>S_I</v>
      </c>
      <c r="N546" s="3" t="str">
        <f>IFERROR(MID(D546,SEARCH("C_I_",D546,1),3),"")</f>
        <v/>
      </c>
      <c r="O546" s="3" t="str">
        <f>IF(AND(M546="",N546=""),"Extra","")</f>
        <v/>
      </c>
      <c r="P546" s="3" t="str">
        <f>IF(Q546=0,"TERCEIRO","MRS")</f>
        <v>MRS</v>
      </c>
      <c r="Q546" s="8" t="str">
        <f>IFERROR(VLOOKUP(L546,#REF!,4,0),"0,00")</f>
        <v>0,00</v>
      </c>
      <c r="R546" s="9" t="s">
        <v>30</v>
      </c>
      <c r="S546" s="9">
        <f>COUNTIF(D546,"*_SEG_*")</f>
        <v>1</v>
      </c>
      <c r="T546" s="9">
        <f>COUNTIF(D546,"*_MAN_*")</f>
        <v>0</v>
      </c>
      <c r="U546" s="9">
        <f>(RIGHT(D546,4))*1</f>
        <v>180</v>
      </c>
      <c r="V546" s="9" t="str">
        <f>IFERROR(VLOOKUP(I546,#REF!,2,0),"Sinalização")</f>
        <v>Sinalização</v>
      </c>
    </row>
    <row r="547" spans="1:22" x14ac:dyDescent="0.25">
      <c r="A547" s="3" t="s">
        <v>22</v>
      </c>
      <c r="B547" s="4">
        <v>23114579</v>
      </c>
      <c r="C547" s="5" t="s">
        <v>23</v>
      </c>
      <c r="D547" s="6" t="s">
        <v>193</v>
      </c>
      <c r="E547" s="6" t="s">
        <v>25</v>
      </c>
      <c r="F547" s="11">
        <v>46165</v>
      </c>
      <c r="G547" s="6" t="s">
        <v>1079</v>
      </c>
      <c r="H547" s="7" t="s">
        <v>26</v>
      </c>
      <c r="I547" s="7" t="s">
        <v>406</v>
      </c>
      <c r="J547" s="7" t="s">
        <v>195</v>
      </c>
      <c r="K547" s="7" t="s">
        <v>29</v>
      </c>
      <c r="L547" s="3" t="str">
        <f>E547&amp;D547</f>
        <v>E.SP.IPAEE_INS_SEG_S_I_CIRCUITO VIA CA_0180</v>
      </c>
      <c r="M547" s="3" t="str">
        <f>IFERROR(MID(D547,SEARCH("S_I_",D547,1),3),"")</f>
        <v>S_I</v>
      </c>
      <c r="N547" s="3" t="str">
        <f>IFERROR(MID(D547,SEARCH("C_I_",D547,1),3),"")</f>
        <v/>
      </c>
      <c r="O547" s="3" t="str">
        <f>IF(AND(M547="",N547=""),"Extra","")</f>
        <v/>
      </c>
      <c r="P547" s="3" t="str">
        <f>IF(Q547=0,"TERCEIRO","MRS")</f>
        <v>MRS</v>
      </c>
      <c r="Q547" s="8" t="str">
        <f>IFERROR(VLOOKUP(L547,#REF!,4,0),"0,00")</f>
        <v>0,00</v>
      </c>
      <c r="R547" s="9" t="s">
        <v>30</v>
      </c>
      <c r="S547" s="9">
        <f>COUNTIF(D547,"*_SEG_*")</f>
        <v>1</v>
      </c>
      <c r="T547" s="9">
        <f>COUNTIF(D547,"*_MAN_*")</f>
        <v>0</v>
      </c>
      <c r="U547" s="9">
        <f>(RIGHT(D547,4))*1</f>
        <v>180</v>
      </c>
      <c r="V547" s="9" t="str">
        <f>IFERROR(VLOOKUP(I547,#REF!,2,0),"Sinalização")</f>
        <v>Sinalização</v>
      </c>
    </row>
    <row r="548" spans="1:22" x14ac:dyDescent="0.25">
      <c r="A548" s="3" t="s">
        <v>22</v>
      </c>
      <c r="B548" s="4">
        <v>23114585</v>
      </c>
      <c r="C548" s="5" t="s">
        <v>23</v>
      </c>
      <c r="D548" s="6" t="s">
        <v>342</v>
      </c>
      <c r="E548" s="6" t="s">
        <v>25</v>
      </c>
      <c r="F548" s="11">
        <v>46165</v>
      </c>
      <c r="G548" s="6" t="s">
        <v>1079</v>
      </c>
      <c r="H548" s="7" t="s">
        <v>26</v>
      </c>
      <c r="I548" s="7" t="s">
        <v>401</v>
      </c>
      <c r="J548" s="7" t="s">
        <v>222</v>
      </c>
      <c r="K548" s="7" t="s">
        <v>29</v>
      </c>
      <c r="L548" s="3" t="str">
        <f>E548&amp;D548</f>
        <v>E.SP.IPAEE_INS_SEG_S_I_SINAL L UNIFOCAL AUT_0180</v>
      </c>
      <c r="M548" s="3" t="str">
        <f>IFERROR(MID(D548,SEARCH("S_I_",D548,1),3),"")</f>
        <v>S_I</v>
      </c>
      <c r="N548" s="3" t="str">
        <f>IFERROR(MID(D548,SEARCH("C_I_",D548,1),3),"")</f>
        <v/>
      </c>
      <c r="O548" s="3" t="str">
        <f>IF(AND(M548="",N548=""),"Extra","")</f>
        <v/>
      </c>
      <c r="P548" s="3" t="str">
        <f>IF(Q548=0,"TERCEIRO","MRS")</f>
        <v>MRS</v>
      </c>
      <c r="Q548" s="8" t="str">
        <f>IFERROR(VLOOKUP(L548,#REF!,4,0),"0,00")</f>
        <v>0,00</v>
      </c>
      <c r="R548" s="9" t="s">
        <v>30</v>
      </c>
      <c r="S548" s="9">
        <f>COUNTIF(D548,"*_SEG_*")</f>
        <v>1</v>
      </c>
      <c r="T548" s="9">
        <f>COUNTIF(D548,"*_MAN_*")</f>
        <v>0</v>
      </c>
      <c r="U548" s="9">
        <f>(RIGHT(D548,4))*1</f>
        <v>180</v>
      </c>
      <c r="V548" s="9" t="str">
        <f>IFERROR(VLOOKUP(I548,#REF!,2,0),"Sinalização")</f>
        <v>Sinalização</v>
      </c>
    </row>
    <row r="549" spans="1:22" x14ac:dyDescent="0.25">
      <c r="A549" s="3" t="s">
        <v>22</v>
      </c>
      <c r="B549" s="4">
        <v>23114586</v>
      </c>
      <c r="C549" s="5" t="s">
        <v>23</v>
      </c>
      <c r="D549" s="6" t="s">
        <v>342</v>
      </c>
      <c r="E549" s="6" t="s">
        <v>25</v>
      </c>
      <c r="F549" s="11">
        <v>46165</v>
      </c>
      <c r="G549" s="6" t="s">
        <v>1079</v>
      </c>
      <c r="H549" s="7" t="s">
        <v>32</v>
      </c>
      <c r="I549" s="7" t="s">
        <v>402</v>
      </c>
      <c r="J549" s="7" t="s">
        <v>222</v>
      </c>
      <c r="K549" s="7" t="s">
        <v>29</v>
      </c>
      <c r="L549" s="3" t="str">
        <f>E549&amp;D549</f>
        <v>E.SP.IPAEE_INS_SEG_S_I_SINAL L UNIFOCAL AUT_0180</v>
      </c>
      <c r="M549" s="3" t="str">
        <f>IFERROR(MID(D549,SEARCH("S_I_",D549,1),3),"")</f>
        <v>S_I</v>
      </c>
      <c r="N549" s="3" t="str">
        <f>IFERROR(MID(D549,SEARCH("C_I_",D549,1),3),"")</f>
        <v/>
      </c>
      <c r="O549" s="3" t="str">
        <f>IF(AND(M549="",N549=""),"Extra","")</f>
        <v/>
      </c>
      <c r="P549" s="3" t="str">
        <f>IF(Q549=0,"TERCEIRO","MRS")</f>
        <v>MRS</v>
      </c>
      <c r="Q549" s="8" t="str">
        <f>IFERROR(VLOOKUP(L549,#REF!,4,0),"0,00")</f>
        <v>0,00</v>
      </c>
      <c r="R549" s="9" t="s">
        <v>30</v>
      </c>
      <c r="S549" s="9">
        <f>COUNTIF(D549,"*_SEG_*")</f>
        <v>1</v>
      </c>
      <c r="T549" s="9">
        <f>COUNTIF(D549,"*_MAN_*")</f>
        <v>0</v>
      </c>
      <c r="U549" s="9">
        <f>(RIGHT(D549,4))*1</f>
        <v>180</v>
      </c>
      <c r="V549" s="9" t="str">
        <f>IFERROR(VLOOKUP(I549,#REF!,2,0),"Sinalização")</f>
        <v>Sinalização</v>
      </c>
    </row>
    <row r="550" spans="1:22" x14ac:dyDescent="0.25">
      <c r="A550" s="3" t="s">
        <v>22</v>
      </c>
      <c r="B550" s="4">
        <v>23114587</v>
      </c>
      <c r="C550" s="5" t="s">
        <v>23</v>
      </c>
      <c r="D550" s="6" t="s">
        <v>342</v>
      </c>
      <c r="E550" s="6" t="s">
        <v>25</v>
      </c>
      <c r="F550" s="11">
        <v>46165</v>
      </c>
      <c r="G550" s="6" t="s">
        <v>1079</v>
      </c>
      <c r="H550" s="7" t="s">
        <v>32</v>
      </c>
      <c r="I550" s="7" t="s">
        <v>403</v>
      </c>
      <c r="J550" s="7" t="s">
        <v>222</v>
      </c>
      <c r="K550" s="7" t="s">
        <v>29</v>
      </c>
      <c r="L550" s="3" t="str">
        <f>E550&amp;D550</f>
        <v>E.SP.IPAEE_INS_SEG_S_I_SINAL L UNIFOCAL AUT_0180</v>
      </c>
      <c r="M550" s="3" t="str">
        <f>IFERROR(MID(D550,SEARCH("S_I_",D550,1),3),"")</f>
        <v>S_I</v>
      </c>
      <c r="N550" s="3" t="str">
        <f>IFERROR(MID(D550,SEARCH("C_I_",D550,1),3),"")</f>
        <v/>
      </c>
      <c r="O550" s="3" t="str">
        <f>IF(AND(M550="",N550=""),"Extra","")</f>
        <v/>
      </c>
      <c r="P550" s="3" t="str">
        <f>IF(Q550=0,"TERCEIRO","MRS")</f>
        <v>MRS</v>
      </c>
      <c r="Q550" s="8" t="str">
        <f>IFERROR(VLOOKUP(L550,#REF!,4,0),"0,00")</f>
        <v>0,00</v>
      </c>
      <c r="R550" s="9" t="s">
        <v>30</v>
      </c>
      <c r="S550" s="9">
        <f>COUNTIF(D550,"*_SEG_*")</f>
        <v>1</v>
      </c>
      <c r="T550" s="9">
        <f>COUNTIF(D550,"*_MAN_*")</f>
        <v>0</v>
      </c>
      <c r="U550" s="9">
        <f>(RIGHT(D550,4))*1</f>
        <v>180</v>
      </c>
      <c r="V550" s="9" t="str">
        <f>IFERROR(VLOOKUP(I550,#REF!,2,0),"Sinalização")</f>
        <v>Sinalização</v>
      </c>
    </row>
    <row r="551" spans="1:22" x14ac:dyDescent="0.25">
      <c r="A551" s="3" t="s">
        <v>22</v>
      </c>
      <c r="B551" s="4">
        <v>23114588</v>
      </c>
      <c r="C551" s="5" t="s">
        <v>23</v>
      </c>
      <c r="D551" s="6" t="s">
        <v>342</v>
      </c>
      <c r="E551" s="6" t="s">
        <v>25</v>
      </c>
      <c r="F551" s="11">
        <v>46165</v>
      </c>
      <c r="G551" s="6" t="s">
        <v>1079</v>
      </c>
      <c r="H551" s="7" t="s">
        <v>26</v>
      </c>
      <c r="I551" s="7" t="s">
        <v>404</v>
      </c>
      <c r="J551" s="7" t="s">
        <v>222</v>
      </c>
      <c r="K551" s="7" t="s">
        <v>29</v>
      </c>
      <c r="L551" s="3" t="str">
        <f>E551&amp;D551</f>
        <v>E.SP.IPAEE_INS_SEG_S_I_SINAL L UNIFOCAL AUT_0180</v>
      </c>
      <c r="M551" s="3" t="str">
        <f>IFERROR(MID(D551,SEARCH("S_I_",D551,1),3),"")</f>
        <v>S_I</v>
      </c>
      <c r="N551" s="3" t="str">
        <f>IFERROR(MID(D551,SEARCH("C_I_",D551,1),3),"")</f>
        <v/>
      </c>
      <c r="O551" s="3" t="str">
        <f>IF(AND(M551="",N551=""),"Extra","")</f>
        <v/>
      </c>
      <c r="P551" s="3" t="str">
        <f>IF(Q551=0,"TERCEIRO","MRS")</f>
        <v>MRS</v>
      </c>
      <c r="Q551" s="8" t="str">
        <f>IFERROR(VLOOKUP(L551,#REF!,4,0),"0,00")</f>
        <v>0,00</v>
      </c>
      <c r="R551" s="9" t="s">
        <v>30</v>
      </c>
      <c r="S551" s="9">
        <f>COUNTIF(D551,"*_SEG_*")</f>
        <v>1</v>
      </c>
      <c r="T551" s="9">
        <f>COUNTIF(D551,"*_MAN_*")</f>
        <v>0</v>
      </c>
      <c r="U551" s="9">
        <f>(RIGHT(D551,4))*1</f>
        <v>180</v>
      </c>
      <c r="V551" s="9" t="str">
        <f>IFERROR(VLOOKUP(I551,#REF!,2,0),"Sinalização")</f>
        <v>Sinalização</v>
      </c>
    </row>
    <row r="552" spans="1:22" x14ac:dyDescent="0.25">
      <c r="A552" s="3" t="s">
        <v>22</v>
      </c>
      <c r="B552" s="4">
        <v>23114654</v>
      </c>
      <c r="C552" s="5" t="s">
        <v>23</v>
      </c>
      <c r="D552" s="6" t="s">
        <v>196</v>
      </c>
      <c r="E552" s="6" t="s">
        <v>25</v>
      </c>
      <c r="F552" s="11">
        <v>46165</v>
      </c>
      <c r="G552" s="6" t="s">
        <v>1079</v>
      </c>
      <c r="H552" s="7" t="s">
        <v>26</v>
      </c>
      <c r="I552" s="7" t="s">
        <v>407</v>
      </c>
      <c r="J552" s="7" t="s">
        <v>197</v>
      </c>
      <c r="K552" s="7" t="s">
        <v>29</v>
      </c>
      <c r="L552" s="3" t="str">
        <f>E552&amp;D552</f>
        <v>E.SP.IPAEE_INS_CONF_S_I_BAT ESTAC AES-FO_0180</v>
      </c>
      <c r="M552" s="3" t="str">
        <f>IFERROR(MID(D552,SEARCH("S_I_",D552,1),3),"")</f>
        <v>S_I</v>
      </c>
      <c r="N552" s="3" t="str">
        <f>IFERROR(MID(D552,SEARCH("C_I_",D552,1),3),"")</f>
        <v/>
      </c>
      <c r="O552" s="3" t="str">
        <f>IF(AND(M552="",N552=""),"Extra","")</f>
        <v/>
      </c>
      <c r="P552" s="3" t="str">
        <f>IF(Q552=0,"TERCEIRO","MRS")</f>
        <v>MRS</v>
      </c>
      <c r="Q552" s="8" t="str">
        <f>IFERROR(VLOOKUP(L552,#REF!,4,0),"0,00")</f>
        <v>0,00</v>
      </c>
      <c r="R552" s="9" t="s">
        <v>42</v>
      </c>
      <c r="S552" s="9">
        <f>COUNTIF(D552,"*_SEG_*")</f>
        <v>0</v>
      </c>
      <c r="T552" s="9">
        <f>COUNTIF(D552,"*_MAN_*")</f>
        <v>0</v>
      </c>
      <c r="U552" s="9">
        <f>(RIGHT(D552,4))*1</f>
        <v>180</v>
      </c>
      <c r="V552" s="9" t="str">
        <f>IFERROR(VLOOKUP(I552,#REF!,2,0),"Sinalização")</f>
        <v>Sinalização</v>
      </c>
    </row>
    <row r="553" spans="1:22" x14ac:dyDescent="0.25">
      <c r="A553" s="3" t="s">
        <v>22</v>
      </c>
      <c r="B553" s="4">
        <v>23114655</v>
      </c>
      <c r="C553" s="5" t="s">
        <v>23</v>
      </c>
      <c r="D553" s="6" t="s">
        <v>196</v>
      </c>
      <c r="E553" s="6" t="s">
        <v>25</v>
      </c>
      <c r="F553" s="11">
        <v>46165</v>
      </c>
      <c r="G553" s="6" t="s">
        <v>1079</v>
      </c>
      <c r="H553" s="7" t="s">
        <v>32</v>
      </c>
      <c r="I553" s="7" t="s">
        <v>408</v>
      </c>
      <c r="J553" s="7" t="s">
        <v>197</v>
      </c>
      <c r="K553" s="7" t="s">
        <v>29</v>
      </c>
      <c r="L553" s="3" t="str">
        <f>E553&amp;D553</f>
        <v>E.SP.IPAEE_INS_CONF_S_I_BAT ESTAC AES-FO_0180</v>
      </c>
      <c r="M553" s="3" t="str">
        <f>IFERROR(MID(D553,SEARCH("S_I_",D553,1),3),"")</f>
        <v>S_I</v>
      </c>
      <c r="N553" s="3" t="str">
        <f>IFERROR(MID(D553,SEARCH("C_I_",D553,1),3),"")</f>
        <v/>
      </c>
      <c r="O553" s="3" t="str">
        <f>IF(AND(M553="",N553=""),"Extra","")</f>
        <v/>
      </c>
      <c r="P553" s="3" t="str">
        <f>IF(Q553=0,"TERCEIRO","MRS")</f>
        <v>MRS</v>
      </c>
      <c r="Q553" s="8" t="str">
        <f>IFERROR(VLOOKUP(L553,#REF!,4,0),"0,00")</f>
        <v>0,00</v>
      </c>
      <c r="R553" s="9" t="s">
        <v>42</v>
      </c>
      <c r="S553" s="9">
        <f>COUNTIF(D553,"*_SEG_*")</f>
        <v>0</v>
      </c>
      <c r="T553" s="9">
        <f>COUNTIF(D553,"*_MAN_*")</f>
        <v>0</v>
      </c>
      <c r="U553" s="9">
        <f>(RIGHT(D553,4))*1</f>
        <v>180</v>
      </c>
      <c r="V553" s="9" t="str">
        <f>IFERROR(VLOOKUP(I553,#REF!,2,0),"Sinalização")</f>
        <v>Sinalização</v>
      </c>
    </row>
    <row r="554" spans="1:22" x14ac:dyDescent="0.25">
      <c r="A554" s="3" t="s">
        <v>22</v>
      </c>
      <c r="B554" s="4">
        <v>23114868</v>
      </c>
      <c r="C554" s="5" t="s">
        <v>23</v>
      </c>
      <c r="D554" s="6" t="s">
        <v>206</v>
      </c>
      <c r="E554" s="6" t="s">
        <v>25</v>
      </c>
      <c r="F554" s="11">
        <v>46165</v>
      </c>
      <c r="G554" s="6" t="s">
        <v>1079</v>
      </c>
      <c r="H554" s="7" t="s">
        <v>32</v>
      </c>
      <c r="I554" s="7" t="s">
        <v>409</v>
      </c>
      <c r="J554" s="7" t="s">
        <v>208</v>
      </c>
      <c r="K554" s="7" t="s">
        <v>29</v>
      </c>
      <c r="L554" s="3" t="str">
        <f>E554&amp;D554</f>
        <v>E.SP.IPAEE_INS_CONF_S_I_IAS_0180</v>
      </c>
      <c r="M554" s="3" t="str">
        <f>IFERROR(MID(D554,SEARCH("S_I_",D554,1),3),"")</f>
        <v>S_I</v>
      </c>
      <c r="N554" s="3" t="str">
        <f>IFERROR(MID(D554,SEARCH("C_I_",D554,1),3),"")</f>
        <v/>
      </c>
      <c r="O554" s="3" t="str">
        <f>IF(AND(M554="",N554=""),"Extra","")</f>
        <v/>
      </c>
      <c r="P554" s="3" t="str">
        <f>IF(Q554=0,"TERCEIRO","MRS")</f>
        <v>MRS</v>
      </c>
      <c r="Q554" s="8" t="str">
        <f>IFERROR(VLOOKUP(L554,#REF!,4,0),"0,00")</f>
        <v>0,00</v>
      </c>
      <c r="R554" s="9" t="s">
        <v>42</v>
      </c>
      <c r="S554" s="9">
        <f>COUNTIF(D554,"*_SEG_*")</f>
        <v>0</v>
      </c>
      <c r="T554" s="9">
        <f>COUNTIF(D554,"*_MAN_*")</f>
        <v>0</v>
      </c>
      <c r="U554" s="9">
        <f>(RIGHT(D554,4))*1</f>
        <v>180</v>
      </c>
      <c r="V554" s="9" t="str">
        <f>IFERROR(VLOOKUP(I554,#REF!,2,0),"Sinalização")</f>
        <v>Sinalização</v>
      </c>
    </row>
    <row r="555" spans="1:22" x14ac:dyDescent="0.25">
      <c r="A555" s="3" t="s">
        <v>22</v>
      </c>
      <c r="B555" s="4">
        <v>23114872</v>
      </c>
      <c r="C555" s="5" t="s">
        <v>23</v>
      </c>
      <c r="D555" s="6" t="s">
        <v>206</v>
      </c>
      <c r="E555" s="6" t="s">
        <v>25</v>
      </c>
      <c r="F555" s="11">
        <v>46165</v>
      </c>
      <c r="G555" s="6" t="s">
        <v>1079</v>
      </c>
      <c r="H555" s="7" t="s">
        <v>26</v>
      </c>
      <c r="I555" s="7" t="s">
        <v>410</v>
      </c>
      <c r="J555" s="7" t="s">
        <v>208</v>
      </c>
      <c r="K555" s="7" t="s">
        <v>29</v>
      </c>
      <c r="L555" s="3" t="str">
        <f>E555&amp;D555</f>
        <v>E.SP.IPAEE_INS_CONF_S_I_IAS_0180</v>
      </c>
      <c r="M555" s="3" t="str">
        <f>IFERROR(MID(D555,SEARCH("S_I_",D555,1),3),"")</f>
        <v>S_I</v>
      </c>
      <c r="N555" s="3" t="str">
        <f>IFERROR(MID(D555,SEARCH("C_I_",D555,1),3),"")</f>
        <v/>
      </c>
      <c r="O555" s="3" t="str">
        <f>IF(AND(M555="",N555=""),"Extra","")</f>
        <v/>
      </c>
      <c r="P555" s="3" t="str">
        <f>IF(Q555=0,"TERCEIRO","MRS")</f>
        <v>MRS</v>
      </c>
      <c r="Q555" s="8" t="str">
        <f>IFERROR(VLOOKUP(L555,#REF!,4,0),"0,00")</f>
        <v>0,00</v>
      </c>
      <c r="R555" s="9" t="s">
        <v>42</v>
      </c>
      <c r="S555" s="9">
        <f>COUNTIF(D555,"*_SEG_*")</f>
        <v>0</v>
      </c>
      <c r="T555" s="9">
        <f>COUNTIF(D555,"*_MAN_*")</f>
        <v>0</v>
      </c>
      <c r="U555" s="9">
        <f>(RIGHT(D555,4))*1</f>
        <v>180</v>
      </c>
      <c r="V555" s="9" t="str">
        <f>IFERROR(VLOOKUP(I555,#REF!,2,0),"Sinalização")</f>
        <v>Sinalização</v>
      </c>
    </row>
    <row r="556" spans="1:22" x14ac:dyDescent="0.25">
      <c r="A556" s="3" t="s">
        <v>22</v>
      </c>
      <c r="B556" s="4">
        <v>23114873</v>
      </c>
      <c r="C556" s="5" t="s">
        <v>23</v>
      </c>
      <c r="D556" s="6" t="s">
        <v>206</v>
      </c>
      <c r="E556" s="6" t="s">
        <v>25</v>
      </c>
      <c r="F556" s="11">
        <v>46165</v>
      </c>
      <c r="G556" s="6" t="s">
        <v>1079</v>
      </c>
      <c r="H556" s="7" t="s">
        <v>26</v>
      </c>
      <c r="I556" s="7" t="s">
        <v>411</v>
      </c>
      <c r="J556" s="7" t="s">
        <v>208</v>
      </c>
      <c r="K556" s="7" t="s">
        <v>29</v>
      </c>
      <c r="L556" s="3" t="str">
        <f>E556&amp;D556</f>
        <v>E.SP.IPAEE_INS_CONF_S_I_IAS_0180</v>
      </c>
      <c r="M556" s="3" t="str">
        <f>IFERROR(MID(D556,SEARCH("S_I_",D556,1),3),"")</f>
        <v>S_I</v>
      </c>
      <c r="N556" s="3" t="str">
        <f>IFERROR(MID(D556,SEARCH("C_I_",D556,1),3),"")</f>
        <v/>
      </c>
      <c r="O556" s="3" t="str">
        <f>IF(AND(M556="",N556=""),"Extra","")</f>
        <v/>
      </c>
      <c r="P556" s="3" t="str">
        <f>IF(Q556=0,"TERCEIRO","MRS")</f>
        <v>MRS</v>
      </c>
      <c r="Q556" s="8" t="str">
        <f>IFERROR(VLOOKUP(L556,#REF!,4,0),"0,00")</f>
        <v>0,00</v>
      </c>
      <c r="R556" s="9" t="s">
        <v>42</v>
      </c>
      <c r="S556" s="9">
        <f>COUNTIF(D556,"*_SEG_*")</f>
        <v>0</v>
      </c>
      <c r="T556" s="9">
        <f>COUNTIF(D556,"*_MAN_*")</f>
        <v>0</v>
      </c>
      <c r="U556" s="9">
        <f>(RIGHT(D556,4))*1</f>
        <v>180</v>
      </c>
      <c r="V556" s="9" t="str">
        <f>IFERROR(VLOOKUP(I556,#REF!,2,0),"Sinalização")</f>
        <v>Sinalização</v>
      </c>
    </row>
    <row r="557" spans="1:22" x14ac:dyDescent="0.25">
      <c r="A557" s="3" t="s">
        <v>22</v>
      </c>
      <c r="B557" s="4">
        <v>23114876</v>
      </c>
      <c r="C557" s="5" t="s">
        <v>23</v>
      </c>
      <c r="D557" s="6" t="s">
        <v>206</v>
      </c>
      <c r="E557" s="6" t="s">
        <v>25</v>
      </c>
      <c r="F557" s="11">
        <v>46165</v>
      </c>
      <c r="G557" s="6" t="s">
        <v>1079</v>
      </c>
      <c r="H557" s="7" t="s">
        <v>32</v>
      </c>
      <c r="I557" s="7" t="s">
        <v>412</v>
      </c>
      <c r="J557" s="7" t="s">
        <v>208</v>
      </c>
      <c r="K557" s="7" t="s">
        <v>29</v>
      </c>
      <c r="L557" s="3" t="str">
        <f>E557&amp;D557</f>
        <v>E.SP.IPAEE_INS_CONF_S_I_IAS_0180</v>
      </c>
      <c r="M557" s="3" t="str">
        <f>IFERROR(MID(D557,SEARCH("S_I_",D557,1),3),"")</f>
        <v>S_I</v>
      </c>
      <c r="N557" s="3" t="str">
        <f>IFERROR(MID(D557,SEARCH("C_I_",D557,1),3),"")</f>
        <v/>
      </c>
      <c r="O557" s="3" t="str">
        <f>IF(AND(M557="",N557=""),"Extra","")</f>
        <v/>
      </c>
      <c r="P557" s="3" t="str">
        <f>IF(Q557=0,"TERCEIRO","MRS")</f>
        <v>MRS</v>
      </c>
      <c r="Q557" s="8" t="str">
        <f>IFERROR(VLOOKUP(L557,#REF!,4,0),"0,00")</f>
        <v>0,00</v>
      </c>
      <c r="R557" s="9" t="s">
        <v>42</v>
      </c>
      <c r="S557" s="9">
        <f>COUNTIF(D557,"*_SEG_*")</f>
        <v>0</v>
      </c>
      <c r="T557" s="9">
        <f>COUNTIF(D557,"*_MAN_*")</f>
        <v>0</v>
      </c>
      <c r="U557" s="9">
        <f>(RIGHT(D557,4))*1</f>
        <v>180</v>
      </c>
      <c r="V557" s="9" t="str">
        <f>IFERROR(VLOOKUP(I557,#REF!,2,0),"Sinalização")</f>
        <v>Sinalização</v>
      </c>
    </row>
    <row r="558" spans="1:22" x14ac:dyDescent="0.25">
      <c r="A558" s="3" t="s">
        <v>22</v>
      </c>
      <c r="B558" s="4">
        <v>23114877</v>
      </c>
      <c r="C558" s="5" t="s">
        <v>23</v>
      </c>
      <c r="D558" s="6" t="s">
        <v>206</v>
      </c>
      <c r="E558" s="6" t="s">
        <v>25</v>
      </c>
      <c r="F558" s="11">
        <v>46165</v>
      </c>
      <c r="G558" s="6" t="s">
        <v>1079</v>
      </c>
      <c r="H558" s="7" t="s">
        <v>32</v>
      </c>
      <c r="I558" s="7" t="s">
        <v>413</v>
      </c>
      <c r="J558" s="7" t="s">
        <v>208</v>
      </c>
      <c r="K558" s="7" t="s">
        <v>29</v>
      </c>
      <c r="L558" s="3" t="str">
        <f>E558&amp;D558</f>
        <v>E.SP.IPAEE_INS_CONF_S_I_IAS_0180</v>
      </c>
      <c r="M558" s="3" t="str">
        <f>IFERROR(MID(D558,SEARCH("S_I_",D558,1),3),"")</f>
        <v>S_I</v>
      </c>
      <c r="N558" s="3" t="str">
        <f>IFERROR(MID(D558,SEARCH("C_I_",D558,1),3),"")</f>
        <v/>
      </c>
      <c r="O558" s="3" t="str">
        <f>IF(AND(M558="",N558=""),"Extra","")</f>
        <v/>
      </c>
      <c r="P558" s="3" t="str">
        <f>IF(Q558=0,"TERCEIRO","MRS")</f>
        <v>MRS</v>
      </c>
      <c r="Q558" s="8" t="str">
        <f>IFERROR(VLOOKUP(L558,#REF!,4,0),"0,00")</f>
        <v>0,00</v>
      </c>
      <c r="R558" s="9" t="s">
        <v>42</v>
      </c>
      <c r="S558" s="9">
        <f>COUNTIF(D558,"*_SEG_*")</f>
        <v>0</v>
      </c>
      <c r="T558" s="9">
        <f>COUNTIF(D558,"*_MAN_*")</f>
        <v>0</v>
      </c>
      <c r="U558" s="9">
        <f>(RIGHT(D558,4))*1</f>
        <v>180</v>
      </c>
      <c r="V558" s="9" t="str">
        <f>IFERROR(VLOOKUP(I558,#REF!,2,0),"Sinalização")</f>
        <v>Sinalização</v>
      </c>
    </row>
    <row r="559" spans="1:22" x14ac:dyDescent="0.25">
      <c r="A559" s="3" t="s">
        <v>22</v>
      </c>
      <c r="B559" s="4">
        <v>23114878</v>
      </c>
      <c r="C559" s="5" t="s">
        <v>23</v>
      </c>
      <c r="D559" s="6" t="s">
        <v>206</v>
      </c>
      <c r="E559" s="6" t="s">
        <v>25</v>
      </c>
      <c r="F559" s="11">
        <v>46165</v>
      </c>
      <c r="G559" s="6" t="s">
        <v>1079</v>
      </c>
      <c r="H559" s="7" t="s">
        <v>26</v>
      </c>
      <c r="I559" s="7" t="s">
        <v>414</v>
      </c>
      <c r="J559" s="7" t="s">
        <v>208</v>
      </c>
      <c r="K559" s="7" t="s">
        <v>29</v>
      </c>
      <c r="L559" s="3" t="str">
        <f>E559&amp;D559</f>
        <v>E.SP.IPAEE_INS_CONF_S_I_IAS_0180</v>
      </c>
      <c r="M559" s="3" t="str">
        <f>IFERROR(MID(D559,SEARCH("S_I_",D559,1),3),"")</f>
        <v>S_I</v>
      </c>
      <c r="N559" s="3" t="str">
        <f>IFERROR(MID(D559,SEARCH("C_I_",D559,1),3),"")</f>
        <v/>
      </c>
      <c r="O559" s="3" t="str">
        <f>IF(AND(M559="",N559=""),"Extra","")</f>
        <v/>
      </c>
      <c r="P559" s="3" t="str">
        <f>IF(Q559=0,"TERCEIRO","MRS")</f>
        <v>MRS</v>
      </c>
      <c r="Q559" s="8" t="str">
        <f>IFERROR(VLOOKUP(L559,#REF!,4,0),"0,00")</f>
        <v>0,00</v>
      </c>
      <c r="R559" s="9" t="s">
        <v>42</v>
      </c>
      <c r="S559" s="9">
        <f>COUNTIF(D559,"*_SEG_*")</f>
        <v>0</v>
      </c>
      <c r="T559" s="9">
        <f>COUNTIF(D559,"*_MAN_*")</f>
        <v>0</v>
      </c>
      <c r="U559" s="9">
        <f>(RIGHT(D559,4))*1</f>
        <v>180</v>
      </c>
      <c r="V559" s="9" t="str">
        <f>IFERROR(VLOOKUP(I559,#REF!,2,0),"Sinalização")</f>
        <v>Sinalização</v>
      </c>
    </row>
    <row r="560" spans="1:22" x14ac:dyDescent="0.25">
      <c r="A560" s="3" t="s">
        <v>22</v>
      </c>
      <c r="B560" s="4">
        <v>23114879</v>
      </c>
      <c r="C560" s="5" t="s">
        <v>23</v>
      </c>
      <c r="D560" s="6" t="s">
        <v>206</v>
      </c>
      <c r="E560" s="6" t="s">
        <v>25</v>
      </c>
      <c r="F560" s="11">
        <v>46165</v>
      </c>
      <c r="G560" s="6" t="s">
        <v>1079</v>
      </c>
      <c r="H560" s="7" t="s">
        <v>26</v>
      </c>
      <c r="I560" s="7" t="s">
        <v>415</v>
      </c>
      <c r="J560" s="7" t="s">
        <v>208</v>
      </c>
      <c r="K560" s="7" t="s">
        <v>29</v>
      </c>
      <c r="L560" s="3" t="str">
        <f>E560&amp;D560</f>
        <v>E.SP.IPAEE_INS_CONF_S_I_IAS_0180</v>
      </c>
      <c r="M560" s="3" t="str">
        <f>IFERROR(MID(D560,SEARCH("S_I_",D560,1),3),"")</f>
        <v>S_I</v>
      </c>
      <c r="N560" s="3" t="str">
        <f>IFERROR(MID(D560,SEARCH("C_I_",D560,1),3),"")</f>
        <v/>
      </c>
      <c r="O560" s="3" t="str">
        <f>IF(AND(M560="",N560=""),"Extra","")</f>
        <v/>
      </c>
      <c r="P560" s="3" t="str">
        <f>IF(Q560=0,"TERCEIRO","MRS")</f>
        <v>MRS</v>
      </c>
      <c r="Q560" s="8" t="str">
        <f>IFERROR(VLOOKUP(L560,#REF!,4,0),"0,00")</f>
        <v>0,00</v>
      </c>
      <c r="R560" s="9" t="s">
        <v>42</v>
      </c>
      <c r="S560" s="9">
        <f>COUNTIF(D560,"*_SEG_*")</f>
        <v>0</v>
      </c>
      <c r="T560" s="9">
        <f>COUNTIF(D560,"*_MAN_*")</f>
        <v>0</v>
      </c>
      <c r="U560" s="9">
        <f>(RIGHT(D560,4))*1</f>
        <v>180</v>
      </c>
      <c r="V560" s="9" t="str">
        <f>IFERROR(VLOOKUP(I560,#REF!,2,0),"Sinalização")</f>
        <v>Sinalização</v>
      </c>
    </row>
    <row r="561" spans="1:22" x14ac:dyDescent="0.25">
      <c r="A561" s="3" t="s">
        <v>22</v>
      </c>
      <c r="B561" s="4">
        <v>23114896</v>
      </c>
      <c r="C561" s="5" t="s">
        <v>23</v>
      </c>
      <c r="D561" s="6" t="s">
        <v>206</v>
      </c>
      <c r="E561" s="6" t="s">
        <v>25</v>
      </c>
      <c r="F561" s="11">
        <v>46165</v>
      </c>
      <c r="G561" s="6" t="s">
        <v>1079</v>
      </c>
      <c r="H561" s="7" t="s">
        <v>32</v>
      </c>
      <c r="I561" s="7" t="s">
        <v>416</v>
      </c>
      <c r="J561" s="7" t="s">
        <v>208</v>
      </c>
      <c r="K561" s="7" t="s">
        <v>29</v>
      </c>
      <c r="L561" s="3" t="str">
        <f>E561&amp;D561</f>
        <v>E.SP.IPAEE_INS_CONF_S_I_IAS_0180</v>
      </c>
      <c r="M561" s="3" t="str">
        <f>IFERROR(MID(D561,SEARCH("S_I_",D561,1),3),"")</f>
        <v>S_I</v>
      </c>
      <c r="N561" s="3" t="str">
        <f>IFERROR(MID(D561,SEARCH("C_I_",D561,1),3),"")</f>
        <v/>
      </c>
      <c r="O561" s="3" t="str">
        <f>IF(AND(M561="",N561=""),"Extra","")</f>
        <v/>
      </c>
      <c r="P561" s="3" t="str">
        <f>IF(Q561=0,"TERCEIRO","MRS")</f>
        <v>MRS</v>
      </c>
      <c r="Q561" s="8" t="str">
        <f>IFERROR(VLOOKUP(L561,#REF!,4,0),"0,00")</f>
        <v>0,00</v>
      </c>
      <c r="R561" s="9" t="s">
        <v>42</v>
      </c>
      <c r="S561" s="9">
        <f>COUNTIF(D561,"*_SEG_*")</f>
        <v>0</v>
      </c>
      <c r="T561" s="9">
        <f>COUNTIF(D561,"*_MAN_*")</f>
        <v>0</v>
      </c>
      <c r="U561" s="9">
        <f>(RIGHT(D561,4))*1</f>
        <v>180</v>
      </c>
      <c r="V561" s="9" t="str">
        <f>IFERROR(VLOOKUP(I561,#REF!,2,0),"Sinalização")</f>
        <v>Sinalização</v>
      </c>
    </row>
    <row r="562" spans="1:22" x14ac:dyDescent="0.25">
      <c r="A562" s="3" t="s">
        <v>22</v>
      </c>
      <c r="B562" s="4">
        <v>23114994</v>
      </c>
      <c r="C562" s="5" t="s">
        <v>23</v>
      </c>
      <c r="D562" s="6" t="s">
        <v>387</v>
      </c>
      <c r="E562" s="6" t="s">
        <v>25</v>
      </c>
      <c r="F562" s="11">
        <v>46165</v>
      </c>
      <c r="G562" s="6" t="s">
        <v>1079</v>
      </c>
      <c r="H562" s="7" t="s">
        <v>32</v>
      </c>
      <c r="I562" s="7" t="s">
        <v>417</v>
      </c>
      <c r="J562" s="7" t="s">
        <v>389</v>
      </c>
      <c r="K562" s="7" t="s">
        <v>29</v>
      </c>
      <c r="L562" s="3" t="str">
        <f>E562&amp;D562</f>
        <v>E.SP.IPAEE_MAN_CONF_S_I_BL INT RELÉ S/ BAT_0180</v>
      </c>
      <c r="M562" s="3" t="str">
        <f>IFERROR(MID(D562,SEARCH("S_I_",D562,1),3),"")</f>
        <v>S_I</v>
      </c>
      <c r="N562" s="3" t="str">
        <f>IFERROR(MID(D562,SEARCH("C_I_",D562,1),3),"")</f>
        <v/>
      </c>
      <c r="O562" s="3" t="str">
        <f>IF(AND(M562="",N562=""),"Extra","")</f>
        <v/>
      </c>
      <c r="P562" s="3" t="str">
        <f>IF(Q562=0,"TERCEIRO","MRS")</f>
        <v>MRS</v>
      </c>
      <c r="Q562" s="8" t="str">
        <f>IFERROR(VLOOKUP(L562,#REF!,4,0),"0,00")</f>
        <v>0,00</v>
      </c>
      <c r="R562" s="9" t="s">
        <v>42</v>
      </c>
      <c r="S562" s="9">
        <f>COUNTIF(D562,"*_SEG_*")</f>
        <v>0</v>
      </c>
      <c r="T562" s="9">
        <f>COUNTIF(D562,"*_MAN_*")</f>
        <v>1</v>
      </c>
      <c r="U562" s="9">
        <f>(RIGHT(D562,4))*1</f>
        <v>180</v>
      </c>
      <c r="V562" s="9" t="str">
        <f>IFERROR(VLOOKUP(I562,#REF!,2,0),"Sinalização")</f>
        <v>Sinalização</v>
      </c>
    </row>
    <row r="563" spans="1:22" x14ac:dyDescent="0.25">
      <c r="A563" s="3" t="s">
        <v>22</v>
      </c>
      <c r="B563" s="4">
        <v>23114998</v>
      </c>
      <c r="C563" s="5" t="s">
        <v>23</v>
      </c>
      <c r="D563" s="6" t="s">
        <v>212</v>
      </c>
      <c r="E563" s="6" t="s">
        <v>25</v>
      </c>
      <c r="F563" s="11">
        <v>46165</v>
      </c>
      <c r="G563" s="6" t="s">
        <v>1079</v>
      </c>
      <c r="H563" s="7" t="s">
        <v>26</v>
      </c>
      <c r="I563" s="7" t="s">
        <v>418</v>
      </c>
      <c r="J563" s="7" t="s">
        <v>189</v>
      </c>
      <c r="K563" s="7" t="s">
        <v>29</v>
      </c>
      <c r="L563" s="3" t="str">
        <f>E563&amp;D563</f>
        <v>E.SP.IPAEE_INS_SEG_C_I_MCH 110V GRS 55BR R_0180</v>
      </c>
      <c r="M563" s="3" t="str">
        <f>IFERROR(MID(D563,SEARCH("S_I_",D563,1),3),"")</f>
        <v/>
      </c>
      <c r="N563" s="3" t="str">
        <f>IFERROR(MID(D563,SEARCH("C_I_",D563,1),3),"")</f>
        <v>C_I</v>
      </c>
      <c r="O563" s="3" t="str">
        <f>IF(AND(M563="",N563=""),"Extra","")</f>
        <v/>
      </c>
      <c r="P563" s="3" t="str">
        <f>IF(Q563=0,"TERCEIRO","MRS")</f>
        <v>MRS</v>
      </c>
      <c r="Q563" s="8" t="str">
        <f>IFERROR(VLOOKUP(L563,#REF!,4,0),"0,00")</f>
        <v>0,00</v>
      </c>
      <c r="R563" s="9" t="s">
        <v>30</v>
      </c>
      <c r="S563" s="9">
        <f>COUNTIF(D563,"*_SEG_*")</f>
        <v>1</v>
      </c>
      <c r="T563" s="9">
        <f>COUNTIF(D563,"*_MAN_*")</f>
        <v>0</v>
      </c>
      <c r="U563" s="9">
        <f>(RIGHT(D563,4))*1</f>
        <v>180</v>
      </c>
      <c r="V563" s="9" t="str">
        <f>IFERROR(VLOOKUP(I563,#REF!,2,0),"Sinalização")</f>
        <v>Sinalização</v>
      </c>
    </row>
    <row r="564" spans="1:22" x14ac:dyDescent="0.25">
      <c r="A564" s="3" t="s">
        <v>22</v>
      </c>
      <c r="B564" s="4">
        <v>23114999</v>
      </c>
      <c r="C564" s="5" t="s">
        <v>23</v>
      </c>
      <c r="D564" s="6" t="s">
        <v>212</v>
      </c>
      <c r="E564" s="6" t="s">
        <v>25</v>
      </c>
      <c r="F564" s="11">
        <v>46165</v>
      </c>
      <c r="G564" s="6" t="s">
        <v>1079</v>
      </c>
      <c r="H564" s="7" t="s">
        <v>26</v>
      </c>
      <c r="I564" s="7" t="s">
        <v>419</v>
      </c>
      <c r="J564" s="7" t="s">
        <v>189</v>
      </c>
      <c r="K564" s="7" t="s">
        <v>29</v>
      </c>
      <c r="L564" s="3" t="str">
        <f>E564&amp;D564</f>
        <v>E.SP.IPAEE_INS_SEG_C_I_MCH 110V GRS 55BR R_0180</v>
      </c>
      <c r="M564" s="3" t="str">
        <f>IFERROR(MID(D564,SEARCH("S_I_",D564,1),3),"")</f>
        <v/>
      </c>
      <c r="N564" s="3" t="str">
        <f>IFERROR(MID(D564,SEARCH("C_I_",D564,1),3),"")</f>
        <v>C_I</v>
      </c>
      <c r="O564" s="3" t="str">
        <f>IF(AND(M564="",N564=""),"Extra","")</f>
        <v/>
      </c>
      <c r="P564" s="3" t="str">
        <f>IF(Q564=0,"TERCEIRO","MRS")</f>
        <v>MRS</v>
      </c>
      <c r="Q564" s="8" t="str">
        <f>IFERROR(VLOOKUP(L564,#REF!,4,0),"0,00")</f>
        <v>0,00</v>
      </c>
      <c r="R564" s="9" t="s">
        <v>30</v>
      </c>
      <c r="S564" s="9">
        <f>COUNTIF(D564,"*_SEG_*")</f>
        <v>1</v>
      </c>
      <c r="T564" s="9">
        <f>COUNTIF(D564,"*_MAN_*")</f>
        <v>0</v>
      </c>
      <c r="U564" s="9">
        <f>(RIGHT(D564,4))*1</f>
        <v>180</v>
      </c>
      <c r="V564" s="9" t="str">
        <f>IFERROR(VLOOKUP(I564,#REF!,2,0),"Sinalização")</f>
        <v>Sinalização</v>
      </c>
    </row>
    <row r="565" spans="1:22" x14ac:dyDescent="0.25">
      <c r="A565" s="3" t="s">
        <v>22</v>
      </c>
      <c r="B565" s="4">
        <v>23115015</v>
      </c>
      <c r="C565" s="5" t="s">
        <v>23</v>
      </c>
      <c r="D565" s="6" t="s">
        <v>220</v>
      </c>
      <c r="E565" s="6" t="s">
        <v>25</v>
      </c>
      <c r="F565" s="11">
        <v>46165</v>
      </c>
      <c r="G565" s="6" t="s">
        <v>1079</v>
      </c>
      <c r="H565" s="7" t="s">
        <v>32</v>
      </c>
      <c r="I565" s="7" t="s">
        <v>420</v>
      </c>
      <c r="J565" s="7" t="s">
        <v>222</v>
      </c>
      <c r="K565" s="7" t="s">
        <v>29</v>
      </c>
      <c r="L565" s="3" t="str">
        <f>E565&amp;D565</f>
        <v>E.SP.IPAEE_INS_SEG_S_I_SINAL L UNIFO CONT_0180</v>
      </c>
      <c r="M565" s="3" t="str">
        <f>IFERROR(MID(D565,SEARCH("S_I_",D565,1),3),"")</f>
        <v>S_I</v>
      </c>
      <c r="N565" s="3" t="str">
        <f>IFERROR(MID(D565,SEARCH("C_I_",D565,1),3),"")</f>
        <v/>
      </c>
      <c r="O565" s="3" t="str">
        <f>IF(AND(M565="",N565=""),"Extra","")</f>
        <v/>
      </c>
      <c r="P565" s="3" t="str">
        <f>IF(Q565=0,"TERCEIRO","MRS")</f>
        <v>MRS</v>
      </c>
      <c r="Q565" s="8" t="str">
        <f>IFERROR(VLOOKUP(L565,#REF!,4,0),"0,00")</f>
        <v>0,00</v>
      </c>
      <c r="R565" s="9" t="s">
        <v>30</v>
      </c>
      <c r="S565" s="9">
        <f>COUNTIF(D565,"*_SEG_*")</f>
        <v>1</v>
      </c>
      <c r="T565" s="9">
        <f>COUNTIF(D565,"*_MAN_*")</f>
        <v>0</v>
      </c>
      <c r="U565" s="9">
        <f>(RIGHT(D565,4))*1</f>
        <v>180</v>
      </c>
      <c r="V565" s="9" t="str">
        <f>IFERROR(VLOOKUP(I565,#REF!,2,0),"Sinalização")</f>
        <v>Sinalização</v>
      </c>
    </row>
    <row r="566" spans="1:22" x14ac:dyDescent="0.25">
      <c r="A566" s="3" t="s">
        <v>22</v>
      </c>
      <c r="B566" s="4">
        <v>23115016</v>
      </c>
      <c r="C566" s="5" t="s">
        <v>23</v>
      </c>
      <c r="D566" s="6" t="s">
        <v>220</v>
      </c>
      <c r="E566" s="6" t="s">
        <v>25</v>
      </c>
      <c r="F566" s="11">
        <v>46165</v>
      </c>
      <c r="G566" s="6" t="s">
        <v>1079</v>
      </c>
      <c r="H566" s="7" t="s">
        <v>32</v>
      </c>
      <c r="I566" s="7" t="s">
        <v>421</v>
      </c>
      <c r="J566" s="7" t="s">
        <v>222</v>
      </c>
      <c r="K566" s="7" t="s">
        <v>29</v>
      </c>
      <c r="L566" s="3" t="str">
        <f>E566&amp;D566</f>
        <v>E.SP.IPAEE_INS_SEG_S_I_SINAL L UNIFO CONT_0180</v>
      </c>
      <c r="M566" s="3" t="str">
        <f>IFERROR(MID(D566,SEARCH("S_I_",D566,1),3),"")</f>
        <v>S_I</v>
      </c>
      <c r="N566" s="3" t="str">
        <f>IFERROR(MID(D566,SEARCH("C_I_",D566,1),3),"")</f>
        <v/>
      </c>
      <c r="O566" s="3" t="str">
        <f>IF(AND(M566="",N566=""),"Extra","")</f>
        <v/>
      </c>
      <c r="P566" s="3" t="str">
        <f>IF(Q566=0,"TERCEIRO","MRS")</f>
        <v>MRS</v>
      </c>
      <c r="Q566" s="8" t="str">
        <f>IFERROR(VLOOKUP(L566,#REF!,4,0),"0,00")</f>
        <v>0,00</v>
      </c>
      <c r="R566" s="9" t="s">
        <v>30</v>
      </c>
      <c r="S566" s="9">
        <f>COUNTIF(D566,"*_SEG_*")</f>
        <v>1</v>
      </c>
      <c r="T566" s="9">
        <f>COUNTIF(D566,"*_MAN_*")</f>
        <v>0</v>
      </c>
      <c r="U566" s="9">
        <f>(RIGHT(D566,4))*1</f>
        <v>180</v>
      </c>
      <c r="V566" s="9" t="str">
        <f>IFERROR(VLOOKUP(I566,#REF!,2,0),"Sinalização")</f>
        <v>Sinalização</v>
      </c>
    </row>
    <row r="567" spans="1:22" x14ac:dyDescent="0.25">
      <c r="A567" s="3" t="s">
        <v>22</v>
      </c>
      <c r="B567" s="4">
        <v>23115017</v>
      </c>
      <c r="C567" s="5" t="s">
        <v>23</v>
      </c>
      <c r="D567" s="6" t="s">
        <v>220</v>
      </c>
      <c r="E567" s="6" t="s">
        <v>25</v>
      </c>
      <c r="F567" s="11">
        <v>46165</v>
      </c>
      <c r="G567" s="6" t="s">
        <v>1079</v>
      </c>
      <c r="H567" s="7" t="s">
        <v>26</v>
      </c>
      <c r="I567" s="7" t="s">
        <v>422</v>
      </c>
      <c r="J567" s="7" t="s">
        <v>222</v>
      </c>
      <c r="K567" s="7" t="s">
        <v>29</v>
      </c>
      <c r="L567" s="3" t="str">
        <f>E567&amp;D567</f>
        <v>E.SP.IPAEE_INS_SEG_S_I_SINAL L UNIFO CONT_0180</v>
      </c>
      <c r="M567" s="3" t="str">
        <f>IFERROR(MID(D567,SEARCH("S_I_",D567,1),3),"")</f>
        <v>S_I</v>
      </c>
      <c r="N567" s="3" t="str">
        <f>IFERROR(MID(D567,SEARCH("C_I_",D567,1),3),"")</f>
        <v/>
      </c>
      <c r="O567" s="3" t="str">
        <f>IF(AND(M567="",N567=""),"Extra","")</f>
        <v/>
      </c>
      <c r="P567" s="3" t="str">
        <f>IF(Q567=0,"TERCEIRO","MRS")</f>
        <v>MRS</v>
      </c>
      <c r="Q567" s="8" t="str">
        <f>IFERROR(VLOOKUP(L567,#REF!,4,0),"0,00")</f>
        <v>0,00</v>
      </c>
      <c r="R567" s="9" t="s">
        <v>30</v>
      </c>
      <c r="S567" s="9">
        <f>COUNTIF(D567,"*_SEG_*")</f>
        <v>1</v>
      </c>
      <c r="T567" s="9">
        <f>COUNTIF(D567,"*_MAN_*")</f>
        <v>0</v>
      </c>
      <c r="U567" s="9">
        <f>(RIGHT(D567,4))*1</f>
        <v>180</v>
      </c>
      <c r="V567" s="9" t="str">
        <f>IFERROR(VLOOKUP(I567,#REF!,2,0),"Sinalização")</f>
        <v>Sinalização</v>
      </c>
    </row>
    <row r="568" spans="1:22" x14ac:dyDescent="0.25">
      <c r="A568" s="3" t="s">
        <v>22</v>
      </c>
      <c r="B568" s="4">
        <v>23115018</v>
      </c>
      <c r="C568" s="5" t="s">
        <v>23</v>
      </c>
      <c r="D568" s="6" t="s">
        <v>220</v>
      </c>
      <c r="E568" s="6" t="s">
        <v>25</v>
      </c>
      <c r="F568" s="11">
        <v>46165</v>
      </c>
      <c r="G568" s="6" t="s">
        <v>1079</v>
      </c>
      <c r="H568" s="7" t="s">
        <v>26</v>
      </c>
      <c r="I568" s="7" t="s">
        <v>423</v>
      </c>
      <c r="J568" s="7" t="s">
        <v>222</v>
      </c>
      <c r="K568" s="7" t="s">
        <v>29</v>
      </c>
      <c r="L568" s="3" t="str">
        <f>E568&amp;D568</f>
        <v>E.SP.IPAEE_INS_SEG_S_I_SINAL L UNIFO CONT_0180</v>
      </c>
      <c r="M568" s="3" t="str">
        <f>IFERROR(MID(D568,SEARCH("S_I_",D568,1),3),"")</f>
        <v>S_I</v>
      </c>
      <c r="N568" s="3" t="str">
        <f>IFERROR(MID(D568,SEARCH("C_I_",D568,1),3),"")</f>
        <v/>
      </c>
      <c r="O568" s="3" t="str">
        <f>IF(AND(M568="",N568=""),"Extra","")</f>
        <v/>
      </c>
      <c r="P568" s="3" t="str">
        <f>IF(Q568=0,"TERCEIRO","MRS")</f>
        <v>MRS</v>
      </c>
      <c r="Q568" s="8" t="str">
        <f>IFERROR(VLOOKUP(L568,#REF!,4,0),"0,00")</f>
        <v>0,00</v>
      </c>
      <c r="R568" s="9" t="s">
        <v>30</v>
      </c>
      <c r="S568" s="9">
        <f>COUNTIF(D568,"*_SEG_*")</f>
        <v>1</v>
      </c>
      <c r="T568" s="9">
        <f>COUNTIF(D568,"*_MAN_*")</f>
        <v>0</v>
      </c>
      <c r="U568" s="9">
        <f>(RIGHT(D568,4))*1</f>
        <v>180</v>
      </c>
      <c r="V568" s="9" t="str">
        <f>IFERROR(VLOOKUP(I568,#REF!,2,0),"Sinalização")</f>
        <v>Sinalização</v>
      </c>
    </row>
    <row r="569" spans="1:22" x14ac:dyDescent="0.25">
      <c r="A569" s="3" t="s">
        <v>22</v>
      </c>
      <c r="B569" s="4">
        <v>23115019</v>
      </c>
      <c r="C569" s="5" t="s">
        <v>23</v>
      </c>
      <c r="D569" s="6" t="s">
        <v>220</v>
      </c>
      <c r="E569" s="6" t="s">
        <v>25</v>
      </c>
      <c r="F569" s="11">
        <v>46165</v>
      </c>
      <c r="G569" s="6" t="s">
        <v>1079</v>
      </c>
      <c r="H569" s="7" t="s">
        <v>32</v>
      </c>
      <c r="I569" s="7" t="s">
        <v>424</v>
      </c>
      <c r="J569" s="7" t="s">
        <v>222</v>
      </c>
      <c r="K569" s="7" t="s">
        <v>29</v>
      </c>
      <c r="L569" s="3" t="str">
        <f>E569&amp;D569</f>
        <v>E.SP.IPAEE_INS_SEG_S_I_SINAL L UNIFO CONT_0180</v>
      </c>
      <c r="M569" s="3" t="str">
        <f>IFERROR(MID(D569,SEARCH("S_I_",D569,1),3),"")</f>
        <v>S_I</v>
      </c>
      <c r="N569" s="3" t="str">
        <f>IFERROR(MID(D569,SEARCH("C_I_",D569,1),3),"")</f>
        <v/>
      </c>
      <c r="O569" s="3" t="str">
        <f>IF(AND(M569="",N569=""),"Extra","")</f>
        <v/>
      </c>
      <c r="P569" s="3" t="str">
        <f>IF(Q569=0,"TERCEIRO","MRS")</f>
        <v>MRS</v>
      </c>
      <c r="Q569" s="8" t="str">
        <f>IFERROR(VLOOKUP(L569,#REF!,4,0),"0,00")</f>
        <v>0,00</v>
      </c>
      <c r="R569" s="9" t="s">
        <v>30</v>
      </c>
      <c r="S569" s="9">
        <f>COUNTIF(D569,"*_SEG_*")</f>
        <v>1</v>
      </c>
      <c r="T569" s="9">
        <f>COUNTIF(D569,"*_MAN_*")</f>
        <v>0</v>
      </c>
      <c r="U569" s="9">
        <f>(RIGHT(D569,4))*1</f>
        <v>180</v>
      </c>
      <c r="V569" s="9" t="str">
        <f>IFERROR(VLOOKUP(I569,#REF!,2,0),"Sinalização")</f>
        <v>Sinalização</v>
      </c>
    </row>
    <row r="570" spans="1:22" x14ac:dyDescent="0.25">
      <c r="A570" s="3" t="s">
        <v>22</v>
      </c>
      <c r="B570" s="4">
        <v>23115027</v>
      </c>
      <c r="C570" s="5" t="s">
        <v>23</v>
      </c>
      <c r="D570" s="6" t="s">
        <v>213</v>
      </c>
      <c r="E570" s="6" t="s">
        <v>25</v>
      </c>
      <c r="F570" s="11">
        <v>46165</v>
      </c>
      <c r="G570" s="6" t="s">
        <v>1079</v>
      </c>
      <c r="H570" s="7" t="s">
        <v>32</v>
      </c>
      <c r="I570" s="7" t="s">
        <v>425</v>
      </c>
      <c r="J570" s="7" t="s">
        <v>215</v>
      </c>
      <c r="K570" s="7" t="s">
        <v>29</v>
      </c>
      <c r="L570" s="3" t="str">
        <f>E570&amp;D570</f>
        <v>E.SP.IPAEE_MAN_CONF_S_I_CIRCUITO VIA CA_0180</v>
      </c>
      <c r="M570" s="3" t="str">
        <f>IFERROR(MID(D570,SEARCH("S_I_",D570,1),3),"")</f>
        <v>S_I</v>
      </c>
      <c r="N570" s="3" t="str">
        <f>IFERROR(MID(D570,SEARCH("C_I_",D570,1),3),"")</f>
        <v/>
      </c>
      <c r="O570" s="3" t="str">
        <f>IF(AND(M570="",N570=""),"Extra","")</f>
        <v/>
      </c>
      <c r="P570" s="3" t="str">
        <f>IF(Q570=0,"TERCEIRO","MRS")</f>
        <v>MRS</v>
      </c>
      <c r="Q570" s="8" t="str">
        <f>IFERROR(VLOOKUP(L570,#REF!,4,0),"0,00")</f>
        <v>0,00</v>
      </c>
      <c r="R570" s="9" t="s">
        <v>98</v>
      </c>
      <c r="S570" s="9">
        <f>COUNTIF(D570,"*_SEG_*")</f>
        <v>0</v>
      </c>
      <c r="T570" s="9">
        <f>COUNTIF(D570,"*_MAN_*")</f>
        <v>1</v>
      </c>
      <c r="U570" s="9">
        <f>(RIGHT(D570,4))*1</f>
        <v>180</v>
      </c>
      <c r="V570" s="9" t="str">
        <f>IFERROR(VLOOKUP(I570,#REF!,2,0),"Sinalização")</f>
        <v>Sinalização</v>
      </c>
    </row>
    <row r="571" spans="1:22" x14ac:dyDescent="0.25">
      <c r="A571" s="3" t="s">
        <v>22</v>
      </c>
      <c r="B571" s="4">
        <v>23115297</v>
      </c>
      <c r="C571" s="5" t="s">
        <v>23</v>
      </c>
      <c r="D571" s="6" t="s">
        <v>246</v>
      </c>
      <c r="E571" s="6" t="s">
        <v>25</v>
      </c>
      <c r="F571" s="11">
        <v>46165</v>
      </c>
      <c r="G571" s="6" t="s">
        <v>1079</v>
      </c>
      <c r="H571" s="7" t="s">
        <v>26</v>
      </c>
      <c r="I571" s="7" t="s">
        <v>418</v>
      </c>
      <c r="J571" s="7" t="s">
        <v>248</v>
      </c>
      <c r="K571" s="7" t="s">
        <v>29</v>
      </c>
      <c r="L571" s="3" t="str">
        <f>E571&amp;D571</f>
        <v>E.SP.IPAEE_INS_CONF_C_I_MCH 110V GRS 55BR R_0180</v>
      </c>
      <c r="M571" s="3" t="str">
        <f>IFERROR(MID(D571,SEARCH("S_I_",D571,1),3),"")</f>
        <v/>
      </c>
      <c r="N571" s="3" t="str">
        <f>IFERROR(MID(D571,SEARCH("C_I_",D571,1),3),"")</f>
        <v>C_I</v>
      </c>
      <c r="O571" s="3" t="str">
        <f>IF(AND(M571="",N571=""),"Extra","")</f>
        <v/>
      </c>
      <c r="P571" s="3" t="str">
        <f>IF(Q571=0,"TERCEIRO","MRS")</f>
        <v>MRS</v>
      </c>
      <c r="Q571" s="8" t="str">
        <f>IFERROR(VLOOKUP(L571,#REF!,4,0),"0,00")</f>
        <v>0,00</v>
      </c>
      <c r="R571" s="9" t="s">
        <v>42</v>
      </c>
      <c r="S571" s="9">
        <f>COUNTIF(D571,"*_SEG_*")</f>
        <v>0</v>
      </c>
      <c r="T571" s="9">
        <f>COUNTIF(D571,"*_MAN_*")</f>
        <v>0</v>
      </c>
      <c r="U571" s="9">
        <f>(RIGHT(D571,4))*1</f>
        <v>180</v>
      </c>
      <c r="V571" s="9" t="str">
        <f>IFERROR(VLOOKUP(I571,#REF!,2,0),"Sinalização")</f>
        <v>Sinalização</v>
      </c>
    </row>
    <row r="572" spans="1:22" x14ac:dyDescent="0.25">
      <c r="A572" s="3" t="s">
        <v>22</v>
      </c>
      <c r="B572" s="4">
        <v>23115298</v>
      </c>
      <c r="C572" s="5" t="s">
        <v>23</v>
      </c>
      <c r="D572" s="6" t="s">
        <v>246</v>
      </c>
      <c r="E572" s="6" t="s">
        <v>25</v>
      </c>
      <c r="F572" s="11">
        <v>46165</v>
      </c>
      <c r="G572" s="6" t="s">
        <v>1079</v>
      </c>
      <c r="H572" s="7" t="s">
        <v>26</v>
      </c>
      <c r="I572" s="7" t="s">
        <v>390</v>
      </c>
      <c r="J572" s="7" t="s">
        <v>248</v>
      </c>
      <c r="K572" s="7" t="s">
        <v>29</v>
      </c>
      <c r="L572" s="3" t="str">
        <f>E572&amp;D572</f>
        <v>E.SP.IPAEE_INS_CONF_C_I_MCH 110V GRS 55BR R_0180</v>
      </c>
      <c r="M572" s="3" t="str">
        <f>IFERROR(MID(D572,SEARCH("S_I_",D572,1),3),"")</f>
        <v/>
      </c>
      <c r="N572" s="3" t="str">
        <f>IFERROR(MID(D572,SEARCH("C_I_",D572,1),3),"")</f>
        <v>C_I</v>
      </c>
      <c r="O572" s="3" t="str">
        <f>IF(AND(M572="",N572=""),"Extra","")</f>
        <v/>
      </c>
      <c r="P572" s="3" t="str">
        <f>IF(Q572=0,"TERCEIRO","MRS")</f>
        <v>MRS</v>
      </c>
      <c r="Q572" s="8" t="str">
        <f>IFERROR(VLOOKUP(L572,#REF!,4,0),"0,00")</f>
        <v>0,00</v>
      </c>
      <c r="R572" s="9" t="s">
        <v>42</v>
      </c>
      <c r="S572" s="9">
        <f>COUNTIF(D572,"*_SEG_*")</f>
        <v>0</v>
      </c>
      <c r="T572" s="9">
        <f>COUNTIF(D572,"*_MAN_*")</f>
        <v>0</v>
      </c>
      <c r="U572" s="9">
        <f>(RIGHT(D572,4))*1</f>
        <v>180</v>
      </c>
      <c r="V572" s="9" t="str">
        <f>IFERROR(VLOOKUP(I572,#REF!,2,0),"Sinalização")</f>
        <v>Sinalização</v>
      </c>
    </row>
    <row r="573" spans="1:22" x14ac:dyDescent="0.25">
      <c r="A573" s="3" t="s">
        <v>22</v>
      </c>
      <c r="B573" s="4">
        <v>23115447</v>
      </c>
      <c r="C573" s="5" t="s">
        <v>23</v>
      </c>
      <c r="D573" s="6" t="s">
        <v>255</v>
      </c>
      <c r="E573" s="6" t="s">
        <v>25</v>
      </c>
      <c r="F573" s="11">
        <v>46165</v>
      </c>
      <c r="G573" s="6" t="s">
        <v>1079</v>
      </c>
      <c r="H573" s="7" t="s">
        <v>32</v>
      </c>
      <c r="I573" s="7" t="s">
        <v>390</v>
      </c>
      <c r="J573" s="7" t="s">
        <v>257</v>
      </c>
      <c r="K573" s="7" t="s">
        <v>29</v>
      </c>
      <c r="L573" s="3" t="str">
        <f>E573&amp;D573</f>
        <v>E.SP.IPAEE_INS_CONF_S_I_MCH 110V GRS 55BR R_0180</v>
      </c>
      <c r="M573" s="3" t="str">
        <f>IFERROR(MID(D573,SEARCH("S_I_",D573,1),3),"")</f>
        <v>S_I</v>
      </c>
      <c r="N573" s="3" t="str">
        <f>IFERROR(MID(D573,SEARCH("C_I_",D573,1),3),"")</f>
        <v/>
      </c>
      <c r="O573" s="3" t="str">
        <f>IF(AND(M573="",N573=""),"Extra","")</f>
        <v/>
      </c>
      <c r="P573" s="3" t="str">
        <f>IF(Q573=0,"TERCEIRO","MRS")</f>
        <v>MRS</v>
      </c>
      <c r="Q573" s="8" t="str">
        <f>IFERROR(VLOOKUP(L573,#REF!,4,0),"0,00")</f>
        <v>0,00</v>
      </c>
      <c r="R573" s="9" t="s">
        <v>42</v>
      </c>
      <c r="S573" s="9">
        <f>COUNTIF(D573,"*_SEG_*")</f>
        <v>0</v>
      </c>
      <c r="T573" s="9">
        <f>COUNTIF(D573,"*_MAN_*")</f>
        <v>0</v>
      </c>
      <c r="U573" s="9">
        <f>(RIGHT(D573,4))*1</f>
        <v>180</v>
      </c>
      <c r="V573" s="9" t="str">
        <f>IFERROR(VLOOKUP(I573,#REF!,2,0),"Sinalização")</f>
        <v>Sinalização</v>
      </c>
    </row>
    <row r="574" spans="1:22" x14ac:dyDescent="0.25">
      <c r="A574" s="3" t="s">
        <v>22</v>
      </c>
      <c r="B574" s="4">
        <v>23115450</v>
      </c>
      <c r="C574" s="5" t="s">
        <v>23</v>
      </c>
      <c r="D574" s="6" t="s">
        <v>255</v>
      </c>
      <c r="E574" s="6" t="s">
        <v>25</v>
      </c>
      <c r="F574" s="11">
        <v>46165</v>
      </c>
      <c r="G574" s="6" t="s">
        <v>1079</v>
      </c>
      <c r="H574" s="7" t="s">
        <v>32</v>
      </c>
      <c r="I574" s="7" t="s">
        <v>418</v>
      </c>
      <c r="J574" s="7" t="s">
        <v>257</v>
      </c>
      <c r="K574" s="7" t="s">
        <v>29</v>
      </c>
      <c r="L574" s="3" t="str">
        <f>E574&amp;D574</f>
        <v>E.SP.IPAEE_INS_CONF_S_I_MCH 110V GRS 55BR R_0180</v>
      </c>
      <c r="M574" s="3" t="str">
        <f>IFERROR(MID(D574,SEARCH("S_I_",D574,1),3),"")</f>
        <v>S_I</v>
      </c>
      <c r="N574" s="3" t="str">
        <f>IFERROR(MID(D574,SEARCH("C_I_",D574,1),3),"")</f>
        <v/>
      </c>
      <c r="O574" s="3" t="str">
        <f>IF(AND(M574="",N574=""),"Extra","")</f>
        <v/>
      </c>
      <c r="P574" s="3" t="str">
        <f>IF(Q574=0,"TERCEIRO","MRS")</f>
        <v>MRS</v>
      </c>
      <c r="Q574" s="8" t="str">
        <f>IFERROR(VLOOKUP(L574,#REF!,4,0),"0,00")</f>
        <v>0,00</v>
      </c>
      <c r="R574" s="9" t="s">
        <v>42</v>
      </c>
      <c r="S574" s="9">
        <f>COUNTIF(D574,"*_SEG_*")</f>
        <v>0</v>
      </c>
      <c r="T574" s="9">
        <f>COUNTIF(D574,"*_MAN_*")</f>
        <v>0</v>
      </c>
      <c r="U574" s="9">
        <f>(RIGHT(D574,4))*1</f>
        <v>180</v>
      </c>
      <c r="V574" s="9" t="str">
        <f>IFERROR(VLOOKUP(I574,#REF!,2,0),"Sinalização")</f>
        <v>Sinalização</v>
      </c>
    </row>
    <row r="575" spans="1:22" x14ac:dyDescent="0.25">
      <c r="A575" s="3" t="s">
        <v>22</v>
      </c>
      <c r="B575" s="4">
        <v>23115649</v>
      </c>
      <c r="C575" s="5" t="s">
        <v>23</v>
      </c>
      <c r="D575" s="6" t="s">
        <v>259</v>
      </c>
      <c r="E575" s="6" t="s">
        <v>25</v>
      </c>
      <c r="F575" s="11">
        <v>46165</v>
      </c>
      <c r="G575" s="6" t="s">
        <v>1079</v>
      </c>
      <c r="H575" s="7" t="s">
        <v>26</v>
      </c>
      <c r="I575" s="7" t="s">
        <v>417</v>
      </c>
      <c r="J575" s="7" t="s">
        <v>261</v>
      </c>
      <c r="K575" s="7" t="s">
        <v>29</v>
      </c>
      <c r="L575" s="3" t="str">
        <f>E575&amp;D575</f>
        <v>E.SP.IPAEE_INS_SEG_S_I_BL INT RELÉ S/ BAT_0180</v>
      </c>
      <c r="M575" s="3" t="str">
        <f>IFERROR(MID(D575,SEARCH("S_I_",D575,1),3),"")</f>
        <v>S_I</v>
      </c>
      <c r="N575" s="3" t="str">
        <f>IFERROR(MID(D575,SEARCH("C_I_",D575,1),3),"")</f>
        <v/>
      </c>
      <c r="O575" s="3" t="str">
        <f>IF(AND(M575="",N575=""),"Extra","")</f>
        <v/>
      </c>
      <c r="P575" s="3" t="str">
        <f>IF(Q575=0,"TERCEIRO","MRS")</f>
        <v>MRS</v>
      </c>
      <c r="Q575" s="8" t="str">
        <f>IFERROR(VLOOKUP(L575,#REF!,4,0),"0,00")</f>
        <v>0,00</v>
      </c>
      <c r="R575" s="9" t="s">
        <v>30</v>
      </c>
      <c r="S575" s="9">
        <f>COUNTIF(D575,"*_SEG_*")</f>
        <v>1</v>
      </c>
      <c r="T575" s="9">
        <f>COUNTIF(D575,"*_MAN_*")</f>
        <v>0</v>
      </c>
      <c r="U575" s="9">
        <f>(RIGHT(D575,4))*1</f>
        <v>180</v>
      </c>
      <c r="V575" s="9" t="str">
        <f>IFERROR(VLOOKUP(I575,#REF!,2,0),"Sinalização")</f>
        <v>Sinalização</v>
      </c>
    </row>
    <row r="576" spans="1:22" x14ac:dyDescent="0.25">
      <c r="A576" s="3" t="s">
        <v>22</v>
      </c>
      <c r="B576" s="4">
        <v>23115650</v>
      </c>
      <c r="C576" s="5" t="s">
        <v>23</v>
      </c>
      <c r="D576" s="6" t="s">
        <v>259</v>
      </c>
      <c r="E576" s="6" t="s">
        <v>25</v>
      </c>
      <c r="F576" s="11">
        <v>46165</v>
      </c>
      <c r="G576" s="6" t="s">
        <v>1079</v>
      </c>
      <c r="H576" s="7" t="s">
        <v>26</v>
      </c>
      <c r="I576" s="7" t="s">
        <v>426</v>
      </c>
      <c r="J576" s="7" t="s">
        <v>261</v>
      </c>
      <c r="K576" s="7" t="s">
        <v>29</v>
      </c>
      <c r="L576" s="3" t="str">
        <f>E576&amp;D576</f>
        <v>E.SP.IPAEE_INS_SEG_S_I_BL INT RELÉ S/ BAT_0180</v>
      </c>
      <c r="M576" s="3" t="str">
        <f>IFERROR(MID(D576,SEARCH("S_I_",D576,1),3),"")</f>
        <v>S_I</v>
      </c>
      <c r="N576" s="3" t="str">
        <f>IFERROR(MID(D576,SEARCH("C_I_",D576,1),3),"")</f>
        <v/>
      </c>
      <c r="O576" s="3" t="str">
        <f>IF(AND(M576="",N576=""),"Extra","")</f>
        <v/>
      </c>
      <c r="P576" s="3" t="str">
        <f>IF(Q576=0,"TERCEIRO","MRS")</f>
        <v>MRS</v>
      </c>
      <c r="Q576" s="8" t="str">
        <f>IFERROR(VLOOKUP(L576,#REF!,4,0),"0,00")</f>
        <v>0,00</v>
      </c>
      <c r="R576" s="9" t="s">
        <v>30</v>
      </c>
      <c r="S576" s="9">
        <f>COUNTIF(D576,"*_SEG_*")</f>
        <v>1</v>
      </c>
      <c r="T576" s="9">
        <f>COUNTIF(D576,"*_MAN_*")</f>
        <v>0</v>
      </c>
      <c r="U576" s="9">
        <f>(RIGHT(D576,4))*1</f>
        <v>180</v>
      </c>
      <c r="V576" s="9" t="str">
        <f>IFERROR(VLOOKUP(I576,#REF!,2,0),"Sinalização")</f>
        <v>Sinalização</v>
      </c>
    </row>
    <row r="577" spans="1:22" x14ac:dyDescent="0.25">
      <c r="A577" s="3" t="s">
        <v>22</v>
      </c>
      <c r="B577" s="4">
        <v>23116136</v>
      </c>
      <c r="C577" s="5" t="s">
        <v>23</v>
      </c>
      <c r="D577" s="6" t="s">
        <v>274</v>
      </c>
      <c r="E577" s="6" t="s">
        <v>25</v>
      </c>
      <c r="F577" s="11">
        <v>46165</v>
      </c>
      <c r="G577" s="6" t="s">
        <v>1079</v>
      </c>
      <c r="H577" s="7" t="s">
        <v>32</v>
      </c>
      <c r="I577" s="7" t="s">
        <v>421</v>
      </c>
      <c r="J577" s="7" t="s">
        <v>275</v>
      </c>
      <c r="K577" s="7" t="s">
        <v>29</v>
      </c>
      <c r="L577" s="3" t="str">
        <f>E577&amp;D577</f>
        <v>E.SP.IPAEE_INS_SEG_C_I_SINAL L UNIFO CONT_0180</v>
      </c>
      <c r="M577" s="3" t="str">
        <f>IFERROR(MID(D577,SEARCH("S_I_",D577,1),3),"")</f>
        <v/>
      </c>
      <c r="N577" s="3" t="str">
        <f>IFERROR(MID(D577,SEARCH("C_I_",D577,1),3),"")</f>
        <v>C_I</v>
      </c>
      <c r="O577" s="3" t="str">
        <f>IF(AND(M577="",N577=""),"Extra","")</f>
        <v/>
      </c>
      <c r="P577" s="3" t="str">
        <f>IF(Q577=0,"TERCEIRO","MRS")</f>
        <v>MRS</v>
      </c>
      <c r="Q577" s="8" t="str">
        <f>IFERROR(VLOOKUP(L577,#REF!,4,0),"0,00")</f>
        <v>0,00</v>
      </c>
      <c r="R577" s="9" t="s">
        <v>30</v>
      </c>
      <c r="S577" s="9">
        <f>COUNTIF(D577,"*_SEG_*")</f>
        <v>1</v>
      </c>
      <c r="T577" s="9">
        <f>COUNTIF(D577,"*_MAN_*")</f>
        <v>0</v>
      </c>
      <c r="U577" s="9">
        <f>(RIGHT(D577,4))*1</f>
        <v>180</v>
      </c>
      <c r="V577" s="9" t="str">
        <f>IFERROR(VLOOKUP(I577,#REF!,2,0),"Sinalização")</f>
        <v>Sinalização</v>
      </c>
    </row>
    <row r="578" spans="1:22" x14ac:dyDescent="0.25">
      <c r="A578" s="3" t="s">
        <v>22</v>
      </c>
      <c r="B578" s="4">
        <v>23116139</v>
      </c>
      <c r="C578" s="5" t="s">
        <v>23</v>
      </c>
      <c r="D578" s="6" t="s">
        <v>274</v>
      </c>
      <c r="E578" s="6" t="s">
        <v>25</v>
      </c>
      <c r="F578" s="11">
        <v>46165</v>
      </c>
      <c r="G578" s="6" t="s">
        <v>1079</v>
      </c>
      <c r="H578" s="7" t="s">
        <v>32</v>
      </c>
      <c r="I578" s="7" t="s">
        <v>420</v>
      </c>
      <c r="J578" s="7" t="s">
        <v>275</v>
      </c>
      <c r="K578" s="7" t="s">
        <v>29</v>
      </c>
      <c r="L578" s="3" t="str">
        <f>E578&amp;D578</f>
        <v>E.SP.IPAEE_INS_SEG_C_I_SINAL L UNIFO CONT_0180</v>
      </c>
      <c r="M578" s="3" t="str">
        <f>IFERROR(MID(D578,SEARCH("S_I_",D578,1),3),"")</f>
        <v/>
      </c>
      <c r="N578" s="3" t="str">
        <f>IFERROR(MID(D578,SEARCH("C_I_",D578,1),3),"")</f>
        <v>C_I</v>
      </c>
      <c r="O578" s="3" t="str">
        <f>IF(AND(M578="",N578=""),"Extra","")</f>
        <v/>
      </c>
      <c r="P578" s="3" t="str">
        <f>IF(Q578=0,"TERCEIRO","MRS")</f>
        <v>MRS</v>
      </c>
      <c r="Q578" s="8" t="str">
        <f>IFERROR(VLOOKUP(L578,#REF!,4,0),"0,00")</f>
        <v>0,00</v>
      </c>
      <c r="R578" s="9" t="s">
        <v>30</v>
      </c>
      <c r="S578" s="9">
        <f>COUNTIF(D578,"*_SEG_*")</f>
        <v>1</v>
      </c>
      <c r="T578" s="9">
        <f>COUNTIF(D578,"*_MAN_*")</f>
        <v>0</v>
      </c>
      <c r="U578" s="9">
        <f>(RIGHT(D578,4))*1</f>
        <v>180</v>
      </c>
      <c r="V578" s="9" t="str">
        <f>IFERROR(VLOOKUP(I578,#REF!,2,0),"Sinalização")</f>
        <v>Sinalização</v>
      </c>
    </row>
    <row r="579" spans="1:22" x14ac:dyDescent="0.25">
      <c r="A579" s="3" t="s">
        <v>22</v>
      </c>
      <c r="B579" s="4">
        <v>23116144</v>
      </c>
      <c r="C579" s="5" t="s">
        <v>23</v>
      </c>
      <c r="D579" s="6" t="s">
        <v>274</v>
      </c>
      <c r="E579" s="6" t="s">
        <v>25</v>
      </c>
      <c r="F579" s="11">
        <v>46165</v>
      </c>
      <c r="G579" s="6" t="s">
        <v>1079</v>
      </c>
      <c r="H579" s="7" t="s">
        <v>26</v>
      </c>
      <c r="I579" s="7" t="s">
        <v>424</v>
      </c>
      <c r="J579" s="7" t="s">
        <v>275</v>
      </c>
      <c r="K579" s="7" t="s">
        <v>29</v>
      </c>
      <c r="L579" s="3" t="str">
        <f>E579&amp;D579</f>
        <v>E.SP.IPAEE_INS_SEG_C_I_SINAL L UNIFO CONT_0180</v>
      </c>
      <c r="M579" s="3" t="str">
        <f>IFERROR(MID(D579,SEARCH("S_I_",D579,1),3),"")</f>
        <v/>
      </c>
      <c r="N579" s="3" t="str">
        <f>IFERROR(MID(D579,SEARCH("C_I_",D579,1),3),"")</f>
        <v>C_I</v>
      </c>
      <c r="O579" s="3" t="str">
        <f>IF(AND(M579="",N579=""),"Extra","")</f>
        <v/>
      </c>
      <c r="P579" s="3" t="str">
        <f>IF(Q579=0,"TERCEIRO","MRS")</f>
        <v>MRS</v>
      </c>
      <c r="Q579" s="8" t="str">
        <f>IFERROR(VLOOKUP(L579,#REF!,4,0),"0,00")</f>
        <v>0,00</v>
      </c>
      <c r="R579" s="9" t="s">
        <v>30</v>
      </c>
      <c r="S579" s="9">
        <f>COUNTIF(D579,"*_SEG_*")</f>
        <v>1</v>
      </c>
      <c r="T579" s="9">
        <f>COUNTIF(D579,"*_MAN_*")</f>
        <v>0</v>
      </c>
      <c r="U579" s="9">
        <f>(RIGHT(D579,4))*1</f>
        <v>180</v>
      </c>
      <c r="V579" s="9" t="str">
        <f>IFERROR(VLOOKUP(I579,#REF!,2,0),"Sinalização")</f>
        <v>Sinalização</v>
      </c>
    </row>
    <row r="580" spans="1:22" x14ac:dyDescent="0.25">
      <c r="A580" s="3" t="s">
        <v>22</v>
      </c>
      <c r="B580" s="4">
        <v>23116145</v>
      </c>
      <c r="C580" s="5" t="s">
        <v>23</v>
      </c>
      <c r="D580" s="6" t="s">
        <v>274</v>
      </c>
      <c r="E580" s="6" t="s">
        <v>25</v>
      </c>
      <c r="F580" s="11">
        <v>46165</v>
      </c>
      <c r="G580" s="6" t="s">
        <v>1079</v>
      </c>
      <c r="H580" s="7" t="s">
        <v>26</v>
      </c>
      <c r="I580" s="7" t="s">
        <v>422</v>
      </c>
      <c r="J580" s="7" t="s">
        <v>275</v>
      </c>
      <c r="K580" s="7" t="s">
        <v>29</v>
      </c>
      <c r="L580" s="3" t="str">
        <f>E580&amp;D580</f>
        <v>E.SP.IPAEE_INS_SEG_C_I_SINAL L UNIFO CONT_0180</v>
      </c>
      <c r="M580" s="3" t="str">
        <f>IFERROR(MID(D580,SEARCH("S_I_",D580,1),3),"")</f>
        <v/>
      </c>
      <c r="N580" s="3" t="str">
        <f>IFERROR(MID(D580,SEARCH("C_I_",D580,1),3),"")</f>
        <v>C_I</v>
      </c>
      <c r="O580" s="3" t="str">
        <f>IF(AND(M580="",N580=""),"Extra","")</f>
        <v/>
      </c>
      <c r="P580" s="3" t="str">
        <f>IF(Q580=0,"TERCEIRO","MRS")</f>
        <v>MRS</v>
      </c>
      <c r="Q580" s="8" t="str">
        <f>IFERROR(VLOOKUP(L580,#REF!,4,0),"0,00")</f>
        <v>0,00</v>
      </c>
      <c r="R580" s="9" t="s">
        <v>30</v>
      </c>
      <c r="S580" s="9">
        <f>COUNTIF(D580,"*_SEG_*")</f>
        <v>1</v>
      </c>
      <c r="T580" s="9">
        <f>COUNTIF(D580,"*_MAN_*")</f>
        <v>0</v>
      </c>
      <c r="U580" s="9">
        <f>(RIGHT(D580,4))*1</f>
        <v>180</v>
      </c>
      <c r="V580" s="9" t="str">
        <f>IFERROR(VLOOKUP(I580,#REF!,2,0),"Sinalização")</f>
        <v>Sinalização</v>
      </c>
    </row>
    <row r="581" spans="1:22" x14ac:dyDescent="0.25">
      <c r="A581" s="3" t="s">
        <v>22</v>
      </c>
      <c r="B581" s="4">
        <v>23116147</v>
      </c>
      <c r="C581" s="5" t="s">
        <v>23</v>
      </c>
      <c r="D581" s="6" t="s">
        <v>274</v>
      </c>
      <c r="E581" s="6" t="s">
        <v>25</v>
      </c>
      <c r="F581" s="11">
        <v>46165</v>
      </c>
      <c r="G581" s="6" t="s">
        <v>1079</v>
      </c>
      <c r="H581" s="7" t="s">
        <v>32</v>
      </c>
      <c r="I581" s="7" t="s">
        <v>423</v>
      </c>
      <c r="J581" s="7" t="s">
        <v>275</v>
      </c>
      <c r="K581" s="7" t="s">
        <v>29</v>
      </c>
      <c r="L581" s="3" t="str">
        <f>E581&amp;D581</f>
        <v>E.SP.IPAEE_INS_SEG_C_I_SINAL L UNIFO CONT_0180</v>
      </c>
      <c r="M581" s="3" t="str">
        <f>IFERROR(MID(D581,SEARCH("S_I_",D581,1),3),"")</f>
        <v/>
      </c>
      <c r="N581" s="3" t="str">
        <f>IFERROR(MID(D581,SEARCH("C_I_",D581,1),3),"")</f>
        <v>C_I</v>
      </c>
      <c r="O581" s="3" t="str">
        <f>IF(AND(M581="",N581=""),"Extra","")</f>
        <v/>
      </c>
      <c r="P581" s="3" t="str">
        <f>IF(Q581=0,"TERCEIRO","MRS")</f>
        <v>MRS</v>
      </c>
      <c r="Q581" s="8" t="str">
        <f>IFERROR(VLOOKUP(L581,#REF!,4,0),"0,00")</f>
        <v>0,00</v>
      </c>
      <c r="R581" s="9" t="s">
        <v>30</v>
      </c>
      <c r="S581" s="9">
        <f>COUNTIF(D581,"*_SEG_*")</f>
        <v>1</v>
      </c>
      <c r="T581" s="9">
        <f>COUNTIF(D581,"*_MAN_*")</f>
        <v>0</v>
      </c>
      <c r="U581" s="9">
        <f>(RIGHT(D581,4))*1</f>
        <v>180</v>
      </c>
      <c r="V581" s="9" t="str">
        <f>IFERROR(VLOOKUP(I581,#REF!,2,0),"Sinalização")</f>
        <v>Sinalização</v>
      </c>
    </row>
    <row r="582" spans="1:22" x14ac:dyDescent="0.25">
      <c r="A582" s="3" t="s">
        <v>22</v>
      </c>
      <c r="B582" s="4">
        <v>23116245</v>
      </c>
      <c r="C582" s="5" t="s">
        <v>23</v>
      </c>
      <c r="D582" s="6" t="s">
        <v>380</v>
      </c>
      <c r="E582" s="6" t="s">
        <v>25</v>
      </c>
      <c r="F582" s="11">
        <v>46165</v>
      </c>
      <c r="G582" s="6" t="s">
        <v>1079</v>
      </c>
      <c r="H582" s="7" t="s">
        <v>32</v>
      </c>
      <c r="I582" s="7" t="s">
        <v>401</v>
      </c>
      <c r="J582" s="7" t="s">
        <v>237</v>
      </c>
      <c r="K582" s="7" t="s">
        <v>29</v>
      </c>
      <c r="L582" s="3" t="str">
        <f>E582&amp;D582</f>
        <v>E.SP.IPAEE_INS_CONF_S_I_SINAL L UNIFO AUT_0180</v>
      </c>
      <c r="M582" s="3" t="str">
        <f>IFERROR(MID(D582,SEARCH("S_I_",D582,1),3),"")</f>
        <v>S_I</v>
      </c>
      <c r="N582" s="3" t="str">
        <f>IFERROR(MID(D582,SEARCH("C_I_",D582,1),3),"")</f>
        <v/>
      </c>
      <c r="O582" s="3" t="str">
        <f>IF(AND(M582="",N582=""),"Extra","")</f>
        <v/>
      </c>
      <c r="P582" s="3" t="str">
        <f>IF(Q582=0,"TERCEIRO","MRS")</f>
        <v>MRS</v>
      </c>
      <c r="Q582" s="8" t="str">
        <f>IFERROR(VLOOKUP(L582,#REF!,4,0),"0,00")</f>
        <v>0,00</v>
      </c>
      <c r="R582" s="9" t="s">
        <v>98</v>
      </c>
      <c r="S582" s="9">
        <f>COUNTIF(D582,"*_SEG_*")</f>
        <v>0</v>
      </c>
      <c r="T582" s="9">
        <f>COUNTIF(D582,"*_MAN_*")</f>
        <v>0</v>
      </c>
      <c r="U582" s="9">
        <f>(RIGHT(D582,4))*1</f>
        <v>180</v>
      </c>
      <c r="V582" s="9" t="str">
        <f>IFERROR(VLOOKUP(I582,#REF!,2,0),"Sinalização")</f>
        <v>Sinalização</v>
      </c>
    </row>
    <row r="583" spans="1:22" x14ac:dyDescent="0.25">
      <c r="A583" s="3" t="s">
        <v>22</v>
      </c>
      <c r="B583" s="4">
        <v>23116252</v>
      </c>
      <c r="C583" s="5" t="s">
        <v>23</v>
      </c>
      <c r="D583" s="6" t="s">
        <v>380</v>
      </c>
      <c r="E583" s="6" t="s">
        <v>25</v>
      </c>
      <c r="F583" s="11">
        <v>46165</v>
      </c>
      <c r="G583" s="6" t="s">
        <v>1079</v>
      </c>
      <c r="H583" s="7" t="s">
        <v>26</v>
      </c>
      <c r="I583" s="7" t="s">
        <v>402</v>
      </c>
      <c r="J583" s="7" t="s">
        <v>237</v>
      </c>
      <c r="K583" s="7" t="s">
        <v>29</v>
      </c>
      <c r="L583" s="3" t="str">
        <f>E583&amp;D583</f>
        <v>E.SP.IPAEE_INS_CONF_S_I_SINAL L UNIFO AUT_0180</v>
      </c>
      <c r="M583" s="3" t="str">
        <f>IFERROR(MID(D583,SEARCH("S_I_",D583,1),3),"")</f>
        <v>S_I</v>
      </c>
      <c r="N583" s="3" t="str">
        <f>IFERROR(MID(D583,SEARCH("C_I_",D583,1),3),"")</f>
        <v/>
      </c>
      <c r="O583" s="3" t="str">
        <f>IF(AND(M583="",N583=""),"Extra","")</f>
        <v/>
      </c>
      <c r="P583" s="3" t="str">
        <f>IF(Q583=0,"TERCEIRO","MRS")</f>
        <v>MRS</v>
      </c>
      <c r="Q583" s="8" t="str">
        <f>IFERROR(VLOOKUP(L583,#REF!,4,0),"0,00")</f>
        <v>0,00</v>
      </c>
      <c r="R583" s="9" t="s">
        <v>98</v>
      </c>
      <c r="S583" s="9">
        <f>COUNTIF(D583,"*_SEG_*")</f>
        <v>0</v>
      </c>
      <c r="T583" s="9">
        <f>COUNTIF(D583,"*_MAN_*")</f>
        <v>0</v>
      </c>
      <c r="U583" s="9">
        <f>(RIGHT(D583,4))*1</f>
        <v>180</v>
      </c>
      <c r="V583" s="9" t="str">
        <f>IFERROR(VLOOKUP(I583,#REF!,2,0),"Sinalização")</f>
        <v>Sinalização</v>
      </c>
    </row>
    <row r="584" spans="1:22" x14ac:dyDescent="0.25">
      <c r="A584" s="3" t="s">
        <v>22</v>
      </c>
      <c r="B584" s="4">
        <v>23116254</v>
      </c>
      <c r="C584" s="5" t="s">
        <v>23</v>
      </c>
      <c r="D584" s="6" t="s">
        <v>380</v>
      </c>
      <c r="E584" s="6" t="s">
        <v>25</v>
      </c>
      <c r="F584" s="11">
        <v>46165</v>
      </c>
      <c r="G584" s="6" t="s">
        <v>1079</v>
      </c>
      <c r="H584" s="7" t="s">
        <v>26</v>
      </c>
      <c r="I584" s="7" t="s">
        <v>403</v>
      </c>
      <c r="J584" s="7" t="s">
        <v>237</v>
      </c>
      <c r="K584" s="7" t="s">
        <v>29</v>
      </c>
      <c r="L584" s="3" t="str">
        <f>E584&amp;D584</f>
        <v>E.SP.IPAEE_INS_CONF_S_I_SINAL L UNIFO AUT_0180</v>
      </c>
      <c r="M584" s="3" t="str">
        <f>IFERROR(MID(D584,SEARCH("S_I_",D584,1),3),"")</f>
        <v>S_I</v>
      </c>
      <c r="N584" s="3" t="str">
        <f>IFERROR(MID(D584,SEARCH("C_I_",D584,1),3),"")</f>
        <v/>
      </c>
      <c r="O584" s="3" t="str">
        <f>IF(AND(M584="",N584=""),"Extra","")</f>
        <v/>
      </c>
      <c r="P584" s="3" t="str">
        <f>IF(Q584=0,"TERCEIRO","MRS")</f>
        <v>MRS</v>
      </c>
      <c r="Q584" s="8" t="str">
        <f>IFERROR(VLOOKUP(L584,#REF!,4,0),"0,00")</f>
        <v>0,00</v>
      </c>
      <c r="R584" s="9" t="s">
        <v>98</v>
      </c>
      <c r="S584" s="9">
        <f>COUNTIF(D584,"*_SEG_*")</f>
        <v>0</v>
      </c>
      <c r="T584" s="9">
        <f>COUNTIF(D584,"*_MAN_*")</f>
        <v>0</v>
      </c>
      <c r="U584" s="9">
        <f>(RIGHT(D584,4))*1</f>
        <v>180</v>
      </c>
      <c r="V584" s="9" t="str">
        <f>IFERROR(VLOOKUP(I584,#REF!,2,0),"Sinalização")</f>
        <v>Sinalização</v>
      </c>
    </row>
    <row r="585" spans="1:22" x14ac:dyDescent="0.25">
      <c r="A585" s="3" t="s">
        <v>22</v>
      </c>
      <c r="B585" s="4">
        <v>23116255</v>
      </c>
      <c r="C585" s="5" t="s">
        <v>23</v>
      </c>
      <c r="D585" s="6" t="s">
        <v>380</v>
      </c>
      <c r="E585" s="6" t="s">
        <v>25</v>
      </c>
      <c r="F585" s="11">
        <v>46165</v>
      </c>
      <c r="G585" s="6" t="s">
        <v>1079</v>
      </c>
      <c r="H585" s="7" t="s">
        <v>32</v>
      </c>
      <c r="I585" s="7" t="s">
        <v>404</v>
      </c>
      <c r="J585" s="7" t="s">
        <v>237</v>
      </c>
      <c r="K585" s="7" t="s">
        <v>29</v>
      </c>
      <c r="L585" s="3" t="str">
        <f>E585&amp;D585</f>
        <v>E.SP.IPAEE_INS_CONF_S_I_SINAL L UNIFO AUT_0180</v>
      </c>
      <c r="M585" s="3" t="str">
        <f>IFERROR(MID(D585,SEARCH("S_I_",D585,1),3),"")</f>
        <v>S_I</v>
      </c>
      <c r="N585" s="3" t="str">
        <f>IFERROR(MID(D585,SEARCH("C_I_",D585,1),3),"")</f>
        <v/>
      </c>
      <c r="O585" s="3" t="str">
        <f>IF(AND(M585="",N585=""),"Extra","")</f>
        <v/>
      </c>
      <c r="P585" s="3" t="str">
        <f>IF(Q585=0,"TERCEIRO","MRS")</f>
        <v>MRS</v>
      </c>
      <c r="Q585" s="8" t="str">
        <f>IFERROR(VLOOKUP(L585,#REF!,4,0),"0,00")</f>
        <v>0,00</v>
      </c>
      <c r="R585" s="9" t="s">
        <v>98</v>
      </c>
      <c r="S585" s="9">
        <f>COUNTIF(D585,"*_SEG_*")</f>
        <v>0</v>
      </c>
      <c r="T585" s="9">
        <f>COUNTIF(D585,"*_MAN_*")</f>
        <v>0</v>
      </c>
      <c r="U585" s="9">
        <f>(RIGHT(D585,4))*1</f>
        <v>180</v>
      </c>
      <c r="V585" s="9" t="str">
        <f>IFERROR(VLOOKUP(I585,#REF!,2,0),"Sinalização")</f>
        <v>Sinalização</v>
      </c>
    </row>
    <row r="586" spans="1:22" x14ac:dyDescent="0.25">
      <c r="A586" s="3" t="s">
        <v>22</v>
      </c>
      <c r="B586" s="4">
        <v>23116771</v>
      </c>
      <c r="C586" s="5" t="s">
        <v>23</v>
      </c>
      <c r="D586" s="6" t="s">
        <v>270</v>
      </c>
      <c r="E586" s="6" t="s">
        <v>25</v>
      </c>
      <c r="F586" s="11">
        <v>46165</v>
      </c>
      <c r="G586" s="6" t="s">
        <v>1079</v>
      </c>
      <c r="H586" s="7" t="s">
        <v>32</v>
      </c>
      <c r="I586" s="7" t="s">
        <v>427</v>
      </c>
      <c r="J586" s="7" t="s">
        <v>257</v>
      </c>
      <c r="K586" s="7" t="s">
        <v>29</v>
      </c>
      <c r="L586" s="3" t="str">
        <f>E586&amp;D586</f>
        <v>E.SP.IPAEE_INS_CONF_S_I_MAQ CHAVE MOLA_0180</v>
      </c>
      <c r="M586" s="3" t="str">
        <f>IFERROR(MID(D586,SEARCH("S_I_",D586,1),3),"")</f>
        <v>S_I</v>
      </c>
      <c r="N586" s="3" t="str">
        <f>IFERROR(MID(D586,SEARCH("C_I_",D586,1),3),"")</f>
        <v/>
      </c>
      <c r="O586" s="3" t="str">
        <f>IF(AND(M586="",N586=""),"Extra","")</f>
        <v/>
      </c>
      <c r="P586" s="3" t="str">
        <f>IF(Q586=0,"TERCEIRO","MRS")</f>
        <v>MRS</v>
      </c>
      <c r="Q586" s="8" t="str">
        <f>IFERROR(VLOOKUP(L586,#REF!,4,0),"0,00")</f>
        <v>0,00</v>
      </c>
      <c r="R586" s="9" t="s">
        <v>42</v>
      </c>
      <c r="S586" s="9">
        <f>COUNTIF(D586,"*_SEG_*")</f>
        <v>0</v>
      </c>
      <c r="T586" s="9">
        <f>COUNTIF(D586,"*_MAN_*")</f>
        <v>0</v>
      </c>
      <c r="U586" s="9">
        <f>(RIGHT(D586,4))*1</f>
        <v>180</v>
      </c>
      <c r="V586" s="9" t="str">
        <f>IFERROR(VLOOKUP(I586,#REF!,2,0),"Sinalização")</f>
        <v>Sinalização</v>
      </c>
    </row>
    <row r="587" spans="1:22" x14ac:dyDescent="0.25">
      <c r="A587" s="3" t="s">
        <v>22</v>
      </c>
      <c r="B587" s="4">
        <v>23116774</v>
      </c>
      <c r="C587" s="5" t="s">
        <v>23</v>
      </c>
      <c r="D587" s="6" t="s">
        <v>428</v>
      </c>
      <c r="E587" s="6" t="s">
        <v>25</v>
      </c>
      <c r="F587" s="11">
        <v>46165</v>
      </c>
      <c r="G587" s="6" t="s">
        <v>1079</v>
      </c>
      <c r="H587" s="7" t="s">
        <v>26</v>
      </c>
      <c r="I587" s="7" t="s">
        <v>427</v>
      </c>
      <c r="J587" s="7" t="s">
        <v>429</v>
      </c>
      <c r="K587" s="7" t="s">
        <v>29</v>
      </c>
      <c r="L587" s="3" t="str">
        <f>E587&amp;D587</f>
        <v>E.SP.IPAEE_INS_SEG_S_I_MAQ CHAVE MOLA_0180</v>
      </c>
      <c r="M587" s="3" t="str">
        <f>IFERROR(MID(D587,SEARCH("S_I_",D587,1),3),"")</f>
        <v>S_I</v>
      </c>
      <c r="N587" s="3" t="str">
        <f>IFERROR(MID(D587,SEARCH("C_I_",D587,1),3),"")</f>
        <v/>
      </c>
      <c r="O587" s="3" t="str">
        <f>IF(AND(M587="",N587=""),"Extra","")</f>
        <v/>
      </c>
      <c r="P587" s="3" t="str">
        <f>IF(Q587=0,"TERCEIRO","MRS")</f>
        <v>MRS</v>
      </c>
      <c r="Q587" s="8" t="str">
        <f>IFERROR(VLOOKUP(L587,#REF!,4,0),"0,00")</f>
        <v>0,00</v>
      </c>
      <c r="R587" s="9" t="s">
        <v>30</v>
      </c>
      <c r="S587" s="9">
        <f>COUNTIF(D587,"*_SEG_*")</f>
        <v>1</v>
      </c>
      <c r="T587" s="9">
        <f>COUNTIF(D587,"*_MAN_*")</f>
        <v>0</v>
      </c>
      <c r="U587" s="9">
        <f>(RIGHT(D587,4))*1</f>
        <v>180</v>
      </c>
      <c r="V587" s="9" t="str">
        <f>IFERROR(VLOOKUP(I587,#REF!,2,0),"Sinalização")</f>
        <v>Sinalização</v>
      </c>
    </row>
    <row r="588" spans="1:22" x14ac:dyDescent="0.25">
      <c r="A588" s="3" t="s">
        <v>22</v>
      </c>
      <c r="B588" s="4">
        <v>23509476</v>
      </c>
      <c r="C588" s="5" t="s">
        <v>23</v>
      </c>
      <c r="D588" s="6" t="s">
        <v>912</v>
      </c>
      <c r="E588" s="6" t="s">
        <v>25</v>
      </c>
      <c r="F588" s="11">
        <v>46165</v>
      </c>
      <c r="G588" s="6" t="s">
        <v>1079</v>
      </c>
      <c r="H588" s="7" t="s">
        <v>26</v>
      </c>
      <c r="I588" s="7" t="s">
        <v>601</v>
      </c>
      <c r="J588" s="7" t="s">
        <v>836</v>
      </c>
      <c r="K588" s="7" t="s">
        <v>29</v>
      </c>
      <c r="L588" s="3" t="str">
        <f>E588&amp;D588</f>
        <v>E.SP.IPAEE_INS_CONF_S_I_CIRCUITO VIA CC_0030</v>
      </c>
      <c r="M588" s="3" t="str">
        <f>IFERROR(MID(D588,SEARCH("S_I_",D588,1),3),"")</f>
        <v>S_I</v>
      </c>
      <c r="N588" s="3" t="str">
        <f>IFERROR(MID(D588,SEARCH("C_I_",D588,1),3),"")</f>
        <v/>
      </c>
      <c r="O588" s="3" t="str">
        <f>IF(AND(M588="",N588=""),"Extra","")</f>
        <v/>
      </c>
      <c r="P588" s="3" t="str">
        <f>IF(Q588=0,"TERCEIRO","MRS")</f>
        <v>MRS</v>
      </c>
      <c r="Q588" s="8" t="str">
        <f>IFERROR(VLOOKUP(L588,#REF!,4,0),"0,00")</f>
        <v>0,00</v>
      </c>
      <c r="R588" s="9" t="s">
        <v>42</v>
      </c>
      <c r="S588" s="9">
        <f>COUNTIF(D588,"*_SEG_*")</f>
        <v>0</v>
      </c>
      <c r="T588" s="9">
        <f>COUNTIF(D588,"*_MAN_*")</f>
        <v>0</v>
      </c>
      <c r="U588" s="9">
        <f>(RIGHT(D588,4))*1</f>
        <v>30</v>
      </c>
      <c r="V588" s="9" t="str">
        <f>IFERROR(VLOOKUP(I588,#REF!,2,0),"Sinalização")</f>
        <v>Sinalização</v>
      </c>
    </row>
    <row r="589" spans="1:22" x14ac:dyDescent="0.25">
      <c r="A589" s="3" t="s">
        <v>22</v>
      </c>
      <c r="B589" s="4">
        <v>23509477</v>
      </c>
      <c r="C589" s="5" t="s">
        <v>23</v>
      </c>
      <c r="D589" s="6" t="s">
        <v>912</v>
      </c>
      <c r="E589" s="6" t="s">
        <v>25</v>
      </c>
      <c r="F589" s="11">
        <v>46165</v>
      </c>
      <c r="G589" s="6" t="s">
        <v>1079</v>
      </c>
      <c r="H589" s="7" t="s">
        <v>32</v>
      </c>
      <c r="I589" s="7" t="s">
        <v>913</v>
      </c>
      <c r="J589" s="7" t="s">
        <v>836</v>
      </c>
      <c r="K589" s="7" t="s">
        <v>29</v>
      </c>
      <c r="L589" s="3" t="str">
        <f>E589&amp;D589</f>
        <v>E.SP.IPAEE_INS_CONF_S_I_CIRCUITO VIA CC_0030</v>
      </c>
      <c r="M589" s="3" t="str">
        <f>IFERROR(MID(D589,SEARCH("S_I_",D589,1),3),"")</f>
        <v>S_I</v>
      </c>
      <c r="N589" s="3" t="str">
        <f>IFERROR(MID(D589,SEARCH("C_I_",D589,1),3),"")</f>
        <v/>
      </c>
      <c r="O589" s="3" t="str">
        <f>IF(AND(M589="",N589=""),"Extra","")</f>
        <v/>
      </c>
      <c r="P589" s="3" t="str">
        <f>IF(Q589=0,"TERCEIRO","MRS")</f>
        <v>MRS</v>
      </c>
      <c r="Q589" s="8" t="str">
        <f>IFERROR(VLOOKUP(L589,#REF!,4,0),"0,00")</f>
        <v>0,00</v>
      </c>
      <c r="R589" s="9" t="s">
        <v>42</v>
      </c>
      <c r="S589" s="9">
        <f>COUNTIF(D589,"*_SEG_*")</f>
        <v>0</v>
      </c>
      <c r="T589" s="9">
        <f>COUNTIF(D589,"*_MAN_*")</f>
        <v>0</v>
      </c>
      <c r="U589" s="9">
        <f>(RIGHT(D589,4))*1</f>
        <v>30</v>
      </c>
      <c r="V589" s="9" t="str">
        <f>IFERROR(VLOOKUP(I589,#REF!,2,0),"Sinalização")</f>
        <v>Sinalização</v>
      </c>
    </row>
    <row r="590" spans="1:22" x14ac:dyDescent="0.25">
      <c r="A590" s="3" t="s">
        <v>22</v>
      </c>
      <c r="B590" s="4">
        <v>23509478</v>
      </c>
      <c r="C590" s="5" t="s">
        <v>23</v>
      </c>
      <c r="D590" s="6" t="s">
        <v>912</v>
      </c>
      <c r="E590" s="6" t="s">
        <v>25</v>
      </c>
      <c r="F590" s="11">
        <v>46165</v>
      </c>
      <c r="G590" s="6" t="s">
        <v>1079</v>
      </c>
      <c r="H590" s="7" t="s">
        <v>32</v>
      </c>
      <c r="I590" s="7" t="s">
        <v>914</v>
      </c>
      <c r="J590" s="7" t="s">
        <v>836</v>
      </c>
      <c r="K590" s="7" t="s">
        <v>29</v>
      </c>
      <c r="L590" s="3" t="str">
        <f>E590&amp;D590</f>
        <v>E.SP.IPAEE_INS_CONF_S_I_CIRCUITO VIA CC_0030</v>
      </c>
      <c r="M590" s="3" t="str">
        <f>IFERROR(MID(D590,SEARCH("S_I_",D590,1),3),"")</f>
        <v>S_I</v>
      </c>
      <c r="N590" s="3" t="str">
        <f>IFERROR(MID(D590,SEARCH("C_I_",D590,1),3),"")</f>
        <v/>
      </c>
      <c r="O590" s="3" t="str">
        <f>IF(AND(M590="",N590=""),"Extra","")</f>
        <v/>
      </c>
      <c r="P590" s="3" t="str">
        <f>IF(Q590=0,"TERCEIRO","MRS")</f>
        <v>MRS</v>
      </c>
      <c r="Q590" s="8" t="str">
        <f>IFERROR(VLOOKUP(L590,#REF!,4,0),"0,00")</f>
        <v>0,00</v>
      </c>
      <c r="R590" s="9" t="s">
        <v>42</v>
      </c>
      <c r="S590" s="9">
        <f>COUNTIF(D590,"*_SEG_*")</f>
        <v>0</v>
      </c>
      <c r="T590" s="9">
        <f>COUNTIF(D590,"*_MAN_*")</f>
        <v>0</v>
      </c>
      <c r="U590" s="9">
        <f>(RIGHT(D590,4))*1</f>
        <v>30</v>
      </c>
      <c r="V590" s="9" t="str">
        <f>IFERROR(VLOOKUP(I590,#REF!,2,0),"Sinalização")</f>
        <v>Sinalização</v>
      </c>
    </row>
    <row r="591" spans="1:22" x14ac:dyDescent="0.25">
      <c r="A591" s="3" t="s">
        <v>22</v>
      </c>
      <c r="B591" s="4">
        <v>23509479</v>
      </c>
      <c r="C591" s="5" t="s">
        <v>23</v>
      </c>
      <c r="D591" s="6" t="s">
        <v>912</v>
      </c>
      <c r="E591" s="6" t="s">
        <v>25</v>
      </c>
      <c r="F591" s="11">
        <v>46165</v>
      </c>
      <c r="G591" s="6" t="s">
        <v>1079</v>
      </c>
      <c r="H591" s="7" t="s">
        <v>26</v>
      </c>
      <c r="I591" s="7" t="s">
        <v>280</v>
      </c>
      <c r="J591" s="7" t="s">
        <v>836</v>
      </c>
      <c r="K591" s="7" t="s">
        <v>29</v>
      </c>
      <c r="L591" s="3" t="str">
        <f>E591&amp;D591</f>
        <v>E.SP.IPAEE_INS_CONF_S_I_CIRCUITO VIA CC_0030</v>
      </c>
      <c r="M591" s="3" t="str">
        <f>IFERROR(MID(D591,SEARCH("S_I_",D591,1),3),"")</f>
        <v>S_I</v>
      </c>
      <c r="N591" s="3" t="str">
        <f>IFERROR(MID(D591,SEARCH("C_I_",D591,1),3),"")</f>
        <v/>
      </c>
      <c r="O591" s="3" t="str">
        <f>IF(AND(M591="",N591=""),"Extra","")</f>
        <v/>
      </c>
      <c r="P591" s="3" t="str">
        <f>IF(Q591=0,"TERCEIRO","MRS")</f>
        <v>MRS</v>
      </c>
      <c r="Q591" s="8" t="str">
        <f>IFERROR(VLOOKUP(L591,#REF!,4,0),"0,00")</f>
        <v>0,00</v>
      </c>
      <c r="R591" s="9" t="s">
        <v>42</v>
      </c>
      <c r="S591" s="9">
        <f>COUNTIF(D591,"*_SEG_*")</f>
        <v>0</v>
      </c>
      <c r="T591" s="9">
        <f>COUNTIF(D591,"*_MAN_*")</f>
        <v>0</v>
      </c>
      <c r="U591" s="9">
        <f>(RIGHT(D591,4))*1</f>
        <v>30</v>
      </c>
      <c r="V591" s="9" t="str">
        <f>IFERROR(VLOOKUP(I591,#REF!,2,0),"Sinalização")</f>
        <v>Sinalização</v>
      </c>
    </row>
    <row r="592" spans="1:22" x14ac:dyDescent="0.25">
      <c r="A592" s="3" t="s">
        <v>22</v>
      </c>
      <c r="B592" s="4">
        <v>23509518</v>
      </c>
      <c r="C592" s="5" t="s">
        <v>23</v>
      </c>
      <c r="D592" s="6" t="s">
        <v>848</v>
      </c>
      <c r="E592" s="6" t="s">
        <v>25</v>
      </c>
      <c r="F592" s="11">
        <v>46165</v>
      </c>
      <c r="G592" s="6" t="s">
        <v>1079</v>
      </c>
      <c r="H592" s="7" t="s">
        <v>26</v>
      </c>
      <c r="I592" s="7" t="s">
        <v>897</v>
      </c>
      <c r="J592" s="7" t="s">
        <v>850</v>
      </c>
      <c r="K592" s="7" t="s">
        <v>29</v>
      </c>
      <c r="L592" s="3" t="str">
        <f>E592&amp;D592</f>
        <v>E.SP.IPAEE_INS_CONF_S_I_GRUPO MOTOR GERADOR_0030</v>
      </c>
      <c r="M592" s="3" t="str">
        <f>IFERROR(MID(D592,SEARCH("S_I_",D592,1),3),"")</f>
        <v>S_I</v>
      </c>
      <c r="N592" s="3" t="str">
        <f>IFERROR(MID(D592,SEARCH("C_I_",D592,1),3),"")</f>
        <v/>
      </c>
      <c r="O592" s="3" t="str">
        <f>IF(AND(M592="",N592=""),"Extra","")</f>
        <v/>
      </c>
      <c r="P592" s="3" t="str">
        <f>IF(Q592=0,"TERCEIRO","MRS")</f>
        <v>MRS</v>
      </c>
      <c r="Q592" s="8" t="str">
        <f>IFERROR(VLOOKUP(L592,#REF!,4,0),"0,00")</f>
        <v>0,00</v>
      </c>
      <c r="R592" s="9" t="s">
        <v>42</v>
      </c>
      <c r="S592" s="9">
        <f>COUNTIF(D592,"*_SEG_*")</f>
        <v>0</v>
      </c>
      <c r="T592" s="9">
        <f>COUNTIF(D592,"*_MAN_*")</f>
        <v>0</v>
      </c>
      <c r="U592" s="9">
        <f>(RIGHT(D592,4))*1</f>
        <v>30</v>
      </c>
      <c r="V592" s="9" t="str">
        <f>IFERROR(VLOOKUP(I592,#REF!,2,0),"Sinalização")</f>
        <v>Sinalização</v>
      </c>
    </row>
    <row r="593" spans="1:22" x14ac:dyDescent="0.25">
      <c r="A593" s="3" t="s">
        <v>22</v>
      </c>
      <c r="B593" s="4">
        <v>23509519</v>
      </c>
      <c r="C593" s="5" t="s">
        <v>23</v>
      </c>
      <c r="D593" s="6" t="s">
        <v>915</v>
      </c>
      <c r="E593" s="6" t="s">
        <v>25</v>
      </c>
      <c r="F593" s="11">
        <v>46165</v>
      </c>
      <c r="G593" s="6" t="s">
        <v>1079</v>
      </c>
      <c r="H593" s="7" t="s">
        <v>32</v>
      </c>
      <c r="I593" s="7" t="s">
        <v>601</v>
      </c>
      <c r="J593" s="7" t="s">
        <v>830</v>
      </c>
      <c r="K593" s="7" t="s">
        <v>29</v>
      </c>
      <c r="L593" s="3" t="str">
        <f>E593&amp;D593</f>
        <v>E.SP.IPAT_EE_INS_CONF_S_I_CIRCUITO VIA CC_0030</v>
      </c>
      <c r="M593" s="3" t="str">
        <f>IFERROR(MID(D593,SEARCH("S_I_",D593,1),3),"")</f>
        <v>S_I</v>
      </c>
      <c r="N593" s="3" t="str">
        <f>IFERROR(MID(D593,SEARCH("C_I_",D593,1),3),"")</f>
        <v/>
      </c>
      <c r="O593" s="3" t="str">
        <f>IF(AND(M593="",N593=""),"Extra","")</f>
        <v/>
      </c>
      <c r="P593" s="3" t="str">
        <f>IF(Q593=0,"TERCEIRO","MRS")</f>
        <v>MRS</v>
      </c>
      <c r="Q593" s="8" t="str">
        <f>IFERROR(VLOOKUP(L593,#REF!,4,0),"0,00")</f>
        <v>0,00</v>
      </c>
      <c r="R593" s="9" t="s">
        <v>42</v>
      </c>
      <c r="S593" s="9">
        <f>COUNTIF(D593,"*_SEG_*")</f>
        <v>0</v>
      </c>
      <c r="T593" s="9">
        <f>COUNTIF(D593,"*_MAN_*")</f>
        <v>0</v>
      </c>
      <c r="U593" s="9">
        <f>(RIGHT(D593,4))*1</f>
        <v>30</v>
      </c>
      <c r="V593" s="9" t="str">
        <f>IFERROR(VLOOKUP(I593,#REF!,2,0),"Sinalização")</f>
        <v>Sinalização</v>
      </c>
    </row>
    <row r="594" spans="1:22" x14ac:dyDescent="0.25">
      <c r="A594" s="3" t="s">
        <v>22</v>
      </c>
      <c r="B594" s="4">
        <v>23509520</v>
      </c>
      <c r="C594" s="5" t="s">
        <v>23</v>
      </c>
      <c r="D594" s="6" t="s">
        <v>915</v>
      </c>
      <c r="E594" s="6" t="s">
        <v>25</v>
      </c>
      <c r="F594" s="11">
        <v>46165</v>
      </c>
      <c r="G594" s="6" t="s">
        <v>1079</v>
      </c>
      <c r="H594" s="7" t="s">
        <v>32</v>
      </c>
      <c r="I594" s="7" t="s">
        <v>913</v>
      </c>
      <c r="J594" s="7" t="s">
        <v>830</v>
      </c>
      <c r="K594" s="7" t="s">
        <v>29</v>
      </c>
      <c r="L594" s="3" t="str">
        <f>E594&amp;D594</f>
        <v>E.SP.IPAT_EE_INS_CONF_S_I_CIRCUITO VIA CC_0030</v>
      </c>
      <c r="M594" s="3" t="str">
        <f>IFERROR(MID(D594,SEARCH("S_I_",D594,1),3),"")</f>
        <v>S_I</v>
      </c>
      <c r="N594" s="3" t="str">
        <f>IFERROR(MID(D594,SEARCH("C_I_",D594,1),3),"")</f>
        <v/>
      </c>
      <c r="O594" s="3" t="str">
        <f>IF(AND(M594="",N594=""),"Extra","")</f>
        <v/>
      </c>
      <c r="P594" s="3" t="str">
        <f>IF(Q594=0,"TERCEIRO","MRS")</f>
        <v>MRS</v>
      </c>
      <c r="Q594" s="8" t="str">
        <f>IFERROR(VLOOKUP(L594,#REF!,4,0),"0,00")</f>
        <v>0,00</v>
      </c>
      <c r="R594" s="9" t="s">
        <v>42</v>
      </c>
      <c r="S594" s="9">
        <f>COUNTIF(D594,"*_SEG_*")</f>
        <v>0</v>
      </c>
      <c r="T594" s="9">
        <f>COUNTIF(D594,"*_MAN_*")</f>
        <v>0</v>
      </c>
      <c r="U594" s="9">
        <f>(RIGHT(D594,4))*1</f>
        <v>30</v>
      </c>
      <c r="V594" s="9" t="str">
        <f>IFERROR(VLOOKUP(I594,#REF!,2,0),"Sinalização")</f>
        <v>Sinalização</v>
      </c>
    </row>
    <row r="595" spans="1:22" x14ac:dyDescent="0.25">
      <c r="A595" s="3" t="s">
        <v>22</v>
      </c>
      <c r="B595" s="4">
        <v>23509521</v>
      </c>
      <c r="C595" s="5" t="s">
        <v>23</v>
      </c>
      <c r="D595" s="6" t="s">
        <v>915</v>
      </c>
      <c r="E595" s="6" t="s">
        <v>25</v>
      </c>
      <c r="F595" s="11">
        <v>46165</v>
      </c>
      <c r="G595" s="6" t="s">
        <v>1079</v>
      </c>
      <c r="H595" s="7" t="s">
        <v>26</v>
      </c>
      <c r="I595" s="7" t="s">
        <v>914</v>
      </c>
      <c r="J595" s="7" t="s">
        <v>830</v>
      </c>
      <c r="K595" s="7" t="s">
        <v>29</v>
      </c>
      <c r="L595" s="3" t="str">
        <f>E595&amp;D595</f>
        <v>E.SP.IPAT_EE_INS_CONF_S_I_CIRCUITO VIA CC_0030</v>
      </c>
      <c r="M595" s="3" t="str">
        <f>IFERROR(MID(D595,SEARCH("S_I_",D595,1),3),"")</f>
        <v>S_I</v>
      </c>
      <c r="N595" s="3" t="str">
        <f>IFERROR(MID(D595,SEARCH("C_I_",D595,1),3),"")</f>
        <v/>
      </c>
      <c r="O595" s="3" t="str">
        <f>IF(AND(M595="",N595=""),"Extra","")</f>
        <v/>
      </c>
      <c r="P595" s="3" t="str">
        <f>IF(Q595=0,"TERCEIRO","MRS")</f>
        <v>MRS</v>
      </c>
      <c r="Q595" s="8" t="str">
        <f>IFERROR(VLOOKUP(L595,#REF!,4,0),"0,00")</f>
        <v>0,00</v>
      </c>
      <c r="R595" s="9" t="s">
        <v>42</v>
      </c>
      <c r="S595" s="9">
        <f>COUNTIF(D595,"*_SEG_*")</f>
        <v>0</v>
      </c>
      <c r="T595" s="9">
        <f>COUNTIF(D595,"*_MAN_*")</f>
        <v>0</v>
      </c>
      <c r="U595" s="9">
        <f>(RIGHT(D595,4))*1</f>
        <v>30</v>
      </c>
      <c r="V595" s="9" t="str">
        <f>IFERROR(VLOOKUP(I595,#REF!,2,0),"Sinalização")</f>
        <v>Sinalização</v>
      </c>
    </row>
    <row r="596" spans="1:22" x14ac:dyDescent="0.25">
      <c r="A596" s="3" t="s">
        <v>22</v>
      </c>
      <c r="B596" s="4">
        <v>23509522</v>
      </c>
      <c r="C596" s="5" t="s">
        <v>23</v>
      </c>
      <c r="D596" s="6" t="s">
        <v>915</v>
      </c>
      <c r="E596" s="6" t="s">
        <v>25</v>
      </c>
      <c r="F596" s="11">
        <v>46165</v>
      </c>
      <c r="G596" s="6" t="s">
        <v>1079</v>
      </c>
      <c r="H596" s="7" t="s">
        <v>26</v>
      </c>
      <c r="I596" s="7" t="s">
        <v>280</v>
      </c>
      <c r="J596" s="7" t="s">
        <v>830</v>
      </c>
      <c r="K596" s="7" t="s">
        <v>29</v>
      </c>
      <c r="L596" s="3" t="str">
        <f>E596&amp;D596</f>
        <v>E.SP.IPAT_EE_INS_CONF_S_I_CIRCUITO VIA CC_0030</v>
      </c>
      <c r="M596" s="3" t="str">
        <f>IFERROR(MID(D596,SEARCH("S_I_",D596,1),3),"")</f>
        <v>S_I</v>
      </c>
      <c r="N596" s="3" t="str">
        <f>IFERROR(MID(D596,SEARCH("C_I_",D596,1),3),"")</f>
        <v/>
      </c>
      <c r="O596" s="3" t="str">
        <f>IF(AND(M596="",N596=""),"Extra","")</f>
        <v/>
      </c>
      <c r="P596" s="3" t="str">
        <f>IF(Q596=0,"TERCEIRO","MRS")</f>
        <v>MRS</v>
      </c>
      <c r="Q596" s="8" t="str">
        <f>IFERROR(VLOOKUP(L596,#REF!,4,0),"0,00")</f>
        <v>0,00</v>
      </c>
      <c r="R596" s="9" t="s">
        <v>42</v>
      </c>
      <c r="S596" s="9">
        <f>COUNTIF(D596,"*_SEG_*")</f>
        <v>0</v>
      </c>
      <c r="T596" s="9">
        <f>COUNTIF(D596,"*_MAN_*")</f>
        <v>0</v>
      </c>
      <c r="U596" s="9">
        <f>(RIGHT(D596,4))*1</f>
        <v>30</v>
      </c>
      <c r="V596" s="9" t="str">
        <f>IFERROR(VLOOKUP(I596,#REF!,2,0),"Sinalização")</f>
        <v>Sinalização</v>
      </c>
    </row>
    <row r="597" spans="1:22" x14ac:dyDescent="0.25">
      <c r="A597" s="3" t="s">
        <v>22</v>
      </c>
      <c r="B597" s="4">
        <v>23509529</v>
      </c>
      <c r="C597" s="5" t="s">
        <v>23</v>
      </c>
      <c r="D597" s="6" t="s">
        <v>804</v>
      </c>
      <c r="E597" s="6" t="s">
        <v>25</v>
      </c>
      <c r="F597" s="11">
        <v>46165</v>
      </c>
      <c r="G597" s="6" t="s">
        <v>1079</v>
      </c>
      <c r="H597" s="7" t="s">
        <v>32</v>
      </c>
      <c r="I597" s="7" t="s">
        <v>916</v>
      </c>
      <c r="J597" s="7" t="s">
        <v>805</v>
      </c>
      <c r="K597" s="7" t="s">
        <v>29</v>
      </c>
      <c r="L597" s="3" t="str">
        <f>E597&amp;D597</f>
        <v>E.SP.IPAEE_INS_CONF_S_I_MAQ CHAVE MOLA_0030</v>
      </c>
      <c r="M597" s="3" t="str">
        <f>IFERROR(MID(D597,SEARCH("S_I_",D597,1),3),"")</f>
        <v>S_I</v>
      </c>
      <c r="N597" s="3" t="str">
        <f>IFERROR(MID(D597,SEARCH("C_I_",D597,1),3),"")</f>
        <v/>
      </c>
      <c r="O597" s="3" t="str">
        <f>IF(AND(M597="",N597=""),"Extra","")</f>
        <v/>
      </c>
      <c r="P597" s="3" t="str">
        <f>IF(Q597=0,"TERCEIRO","MRS")</f>
        <v>MRS</v>
      </c>
      <c r="Q597" s="8" t="str">
        <f>IFERROR(VLOOKUP(L597,#REF!,4,0),"0,00")</f>
        <v>0,00</v>
      </c>
      <c r="R597" s="9" t="s">
        <v>42</v>
      </c>
      <c r="S597" s="9">
        <f>COUNTIF(D597,"*_SEG_*")</f>
        <v>0</v>
      </c>
      <c r="T597" s="9">
        <f>COUNTIF(D597,"*_MAN_*")</f>
        <v>0</v>
      </c>
      <c r="U597" s="9">
        <f>(RIGHT(D597,4))*1</f>
        <v>30</v>
      </c>
      <c r="V597" s="9" t="str">
        <f>IFERROR(VLOOKUP(I597,#REF!,2,0),"Sinalização")</f>
        <v>Sinalização</v>
      </c>
    </row>
    <row r="598" spans="1:22" x14ac:dyDescent="0.25">
      <c r="A598" s="3" t="s">
        <v>22</v>
      </c>
      <c r="B598" s="4">
        <v>23509530</v>
      </c>
      <c r="C598" s="5" t="s">
        <v>23</v>
      </c>
      <c r="D598" s="6" t="s">
        <v>804</v>
      </c>
      <c r="E598" s="6" t="s">
        <v>25</v>
      </c>
      <c r="F598" s="11">
        <v>46165</v>
      </c>
      <c r="G598" s="6" t="s">
        <v>1079</v>
      </c>
      <c r="H598" s="7" t="s">
        <v>32</v>
      </c>
      <c r="I598" s="7" t="s">
        <v>27</v>
      </c>
      <c r="J598" s="7" t="s">
        <v>805</v>
      </c>
      <c r="K598" s="7" t="s">
        <v>29</v>
      </c>
      <c r="L598" s="3" t="str">
        <f>E598&amp;D598</f>
        <v>E.SP.IPAEE_INS_CONF_S_I_MAQ CHAVE MOLA_0030</v>
      </c>
      <c r="M598" s="3" t="str">
        <f>IFERROR(MID(D598,SEARCH("S_I_",D598,1),3),"")</f>
        <v>S_I</v>
      </c>
      <c r="N598" s="3" t="str">
        <f>IFERROR(MID(D598,SEARCH("C_I_",D598,1),3),"")</f>
        <v/>
      </c>
      <c r="O598" s="3" t="str">
        <f>IF(AND(M598="",N598=""),"Extra","")</f>
        <v/>
      </c>
      <c r="P598" s="3" t="str">
        <f>IF(Q598=0,"TERCEIRO","MRS")</f>
        <v>MRS</v>
      </c>
      <c r="Q598" s="8" t="str">
        <f>IFERROR(VLOOKUP(L598,#REF!,4,0),"0,00")</f>
        <v>0,00</v>
      </c>
      <c r="R598" s="9" t="s">
        <v>42</v>
      </c>
      <c r="S598" s="9">
        <f>COUNTIF(D598,"*_SEG_*")</f>
        <v>0</v>
      </c>
      <c r="T598" s="9">
        <f>COUNTIF(D598,"*_MAN_*")</f>
        <v>0</v>
      </c>
      <c r="U598" s="9">
        <f>(RIGHT(D598,4))*1</f>
        <v>30</v>
      </c>
      <c r="V598" s="9" t="str">
        <f>IFERROR(VLOOKUP(I598,#REF!,2,0),"Sinalização")</f>
        <v>Sinalização</v>
      </c>
    </row>
    <row r="599" spans="1:22" x14ac:dyDescent="0.25">
      <c r="A599" s="3" t="s">
        <v>22</v>
      </c>
      <c r="B599" s="4">
        <v>23509541</v>
      </c>
      <c r="C599" s="5" t="s">
        <v>23</v>
      </c>
      <c r="D599" s="6" t="s">
        <v>917</v>
      </c>
      <c r="E599" s="6" t="s">
        <v>25</v>
      </c>
      <c r="F599" s="11">
        <v>46165</v>
      </c>
      <c r="G599" s="6" t="s">
        <v>1079</v>
      </c>
      <c r="H599" s="7" t="s">
        <v>26</v>
      </c>
      <c r="I599" s="7" t="s">
        <v>720</v>
      </c>
      <c r="J599" s="7" t="s">
        <v>910</v>
      </c>
      <c r="K599" s="7" t="s">
        <v>29</v>
      </c>
      <c r="L599" s="3" t="str">
        <f>E599&amp;D599</f>
        <v>E.SP.IPAEE_MAN_CONF_S_I_SINAL L UNIFO CONT_0030</v>
      </c>
      <c r="M599" s="3" t="str">
        <f>IFERROR(MID(D599,SEARCH("S_I_",D599,1),3),"")</f>
        <v>S_I</v>
      </c>
      <c r="N599" s="3" t="str">
        <f>IFERROR(MID(D599,SEARCH("C_I_",D599,1),3),"")</f>
        <v/>
      </c>
      <c r="O599" s="3" t="str">
        <f>IF(AND(M599="",N599=""),"Extra","")</f>
        <v/>
      </c>
      <c r="P599" s="3" t="str">
        <f>IF(Q599=0,"TERCEIRO","MRS")</f>
        <v>MRS</v>
      </c>
      <c r="Q599" s="8" t="str">
        <f>IFERROR(VLOOKUP(L599,#REF!,4,0),"0,00")</f>
        <v>0,00</v>
      </c>
      <c r="R599" s="9" t="s">
        <v>42</v>
      </c>
      <c r="S599" s="9">
        <f>COUNTIF(D599,"*_SEG_*")</f>
        <v>0</v>
      </c>
      <c r="T599" s="9">
        <f>COUNTIF(D599,"*_MAN_*")</f>
        <v>1</v>
      </c>
      <c r="U599" s="9">
        <f>(RIGHT(D599,4))*1</f>
        <v>30</v>
      </c>
      <c r="V599" s="9" t="str">
        <f>IFERROR(VLOOKUP(I599,#REF!,2,0),"Sinalização")</f>
        <v>Sinalização</v>
      </c>
    </row>
    <row r="600" spans="1:22" x14ac:dyDescent="0.25">
      <c r="A600" s="3" t="s">
        <v>22</v>
      </c>
      <c r="B600" s="4">
        <v>23509542</v>
      </c>
      <c r="C600" s="5" t="s">
        <v>23</v>
      </c>
      <c r="D600" s="6" t="s">
        <v>917</v>
      </c>
      <c r="E600" s="6" t="s">
        <v>25</v>
      </c>
      <c r="F600" s="11">
        <v>46165</v>
      </c>
      <c r="G600" s="6" t="s">
        <v>1079</v>
      </c>
      <c r="H600" s="7" t="s">
        <v>26</v>
      </c>
      <c r="I600" s="7" t="s">
        <v>178</v>
      </c>
      <c r="J600" s="7" t="s">
        <v>910</v>
      </c>
      <c r="K600" s="7" t="s">
        <v>29</v>
      </c>
      <c r="L600" s="3" t="str">
        <f>E600&amp;D600</f>
        <v>E.SP.IPAEE_MAN_CONF_S_I_SINAL L UNIFO CONT_0030</v>
      </c>
      <c r="M600" s="3" t="str">
        <f>IFERROR(MID(D600,SEARCH("S_I_",D600,1),3),"")</f>
        <v>S_I</v>
      </c>
      <c r="N600" s="3" t="str">
        <f>IFERROR(MID(D600,SEARCH("C_I_",D600,1),3),"")</f>
        <v/>
      </c>
      <c r="O600" s="3" t="str">
        <f>IF(AND(M600="",N600=""),"Extra","")</f>
        <v/>
      </c>
      <c r="P600" s="3" t="str">
        <f>IF(Q600=0,"TERCEIRO","MRS")</f>
        <v>MRS</v>
      </c>
      <c r="Q600" s="8" t="str">
        <f>IFERROR(VLOOKUP(L600,#REF!,4,0),"0,00")</f>
        <v>0,00</v>
      </c>
      <c r="R600" s="9" t="s">
        <v>42</v>
      </c>
      <c r="S600" s="9">
        <f>COUNTIF(D600,"*_SEG_*")</f>
        <v>0</v>
      </c>
      <c r="T600" s="9">
        <f>COUNTIF(D600,"*_MAN_*")</f>
        <v>1</v>
      </c>
      <c r="U600" s="9">
        <f>(RIGHT(D600,4))*1</f>
        <v>30</v>
      </c>
      <c r="V600" s="9" t="str">
        <f>IFERROR(VLOOKUP(I600,#REF!,2,0),"Sinalização")</f>
        <v>Sinalização</v>
      </c>
    </row>
    <row r="601" spans="1:22" x14ac:dyDescent="0.25">
      <c r="A601" s="3" t="s">
        <v>22</v>
      </c>
      <c r="B601" s="4">
        <v>23509543</v>
      </c>
      <c r="C601" s="5" t="s">
        <v>23</v>
      </c>
      <c r="D601" s="6" t="s">
        <v>917</v>
      </c>
      <c r="E601" s="6" t="s">
        <v>25</v>
      </c>
      <c r="F601" s="11">
        <v>46165</v>
      </c>
      <c r="G601" s="6" t="s">
        <v>1079</v>
      </c>
      <c r="H601" s="7" t="s">
        <v>32</v>
      </c>
      <c r="I601" s="7" t="s">
        <v>177</v>
      </c>
      <c r="J601" s="7" t="s">
        <v>910</v>
      </c>
      <c r="K601" s="7" t="s">
        <v>29</v>
      </c>
      <c r="L601" s="3" t="str">
        <f>E601&amp;D601</f>
        <v>E.SP.IPAEE_MAN_CONF_S_I_SINAL L UNIFO CONT_0030</v>
      </c>
      <c r="M601" s="3" t="str">
        <f>IFERROR(MID(D601,SEARCH("S_I_",D601,1),3),"")</f>
        <v>S_I</v>
      </c>
      <c r="N601" s="3" t="str">
        <f>IFERROR(MID(D601,SEARCH("C_I_",D601,1),3),"")</f>
        <v/>
      </c>
      <c r="O601" s="3" t="str">
        <f>IF(AND(M601="",N601=""),"Extra","")</f>
        <v/>
      </c>
      <c r="P601" s="3" t="str">
        <f>IF(Q601=0,"TERCEIRO","MRS")</f>
        <v>MRS</v>
      </c>
      <c r="Q601" s="8" t="str">
        <f>IFERROR(VLOOKUP(L601,#REF!,4,0),"0,00")</f>
        <v>0,00</v>
      </c>
      <c r="R601" s="9" t="s">
        <v>42</v>
      </c>
      <c r="S601" s="9">
        <f>COUNTIF(D601,"*_SEG_*")</f>
        <v>0</v>
      </c>
      <c r="T601" s="9">
        <f>COUNTIF(D601,"*_MAN_*")</f>
        <v>1</v>
      </c>
      <c r="U601" s="9">
        <f>(RIGHT(D601,4))*1</f>
        <v>30</v>
      </c>
      <c r="V601" s="9" t="str">
        <f>IFERROR(VLOOKUP(I601,#REF!,2,0),"Sinalização")</f>
        <v>Sinalização</v>
      </c>
    </row>
    <row r="602" spans="1:22" x14ac:dyDescent="0.25">
      <c r="A602" s="3" t="s">
        <v>22</v>
      </c>
      <c r="B602" s="4">
        <v>23509544</v>
      </c>
      <c r="C602" s="5" t="s">
        <v>23</v>
      </c>
      <c r="D602" s="6" t="s">
        <v>917</v>
      </c>
      <c r="E602" s="6" t="s">
        <v>25</v>
      </c>
      <c r="F602" s="11">
        <v>46165</v>
      </c>
      <c r="G602" s="6" t="s">
        <v>1079</v>
      </c>
      <c r="H602" s="7" t="s">
        <v>32</v>
      </c>
      <c r="I602" s="7" t="s">
        <v>230</v>
      </c>
      <c r="J602" s="7" t="s">
        <v>910</v>
      </c>
      <c r="K602" s="7" t="s">
        <v>29</v>
      </c>
      <c r="L602" s="3" t="str">
        <f>E602&amp;D602</f>
        <v>E.SP.IPAEE_MAN_CONF_S_I_SINAL L UNIFO CONT_0030</v>
      </c>
      <c r="M602" s="3" t="str">
        <f>IFERROR(MID(D602,SEARCH("S_I_",D602,1),3),"")</f>
        <v>S_I</v>
      </c>
      <c r="N602" s="3" t="str">
        <f>IFERROR(MID(D602,SEARCH("C_I_",D602,1),3),"")</f>
        <v/>
      </c>
      <c r="O602" s="3" t="str">
        <f>IF(AND(M602="",N602=""),"Extra","")</f>
        <v/>
      </c>
      <c r="P602" s="3" t="str">
        <f>IF(Q602=0,"TERCEIRO","MRS")</f>
        <v>MRS</v>
      </c>
      <c r="Q602" s="8" t="str">
        <f>IFERROR(VLOOKUP(L602,#REF!,4,0),"0,00")</f>
        <v>0,00</v>
      </c>
      <c r="R602" s="9" t="s">
        <v>42</v>
      </c>
      <c r="S602" s="9">
        <f>COUNTIF(D602,"*_SEG_*")</f>
        <v>0</v>
      </c>
      <c r="T602" s="9">
        <f>COUNTIF(D602,"*_MAN_*")</f>
        <v>1</v>
      </c>
      <c r="U602" s="9">
        <f>(RIGHT(D602,4))*1</f>
        <v>30</v>
      </c>
      <c r="V602" s="9" t="str">
        <f>IFERROR(VLOOKUP(I602,#REF!,2,0),"Sinalização")</f>
        <v>Sinalização</v>
      </c>
    </row>
    <row r="603" spans="1:22" x14ac:dyDescent="0.25">
      <c r="A603" s="3" t="s">
        <v>22</v>
      </c>
      <c r="B603" s="4">
        <v>23509545</v>
      </c>
      <c r="C603" s="5" t="s">
        <v>23</v>
      </c>
      <c r="D603" s="6" t="s">
        <v>917</v>
      </c>
      <c r="E603" s="6" t="s">
        <v>25</v>
      </c>
      <c r="F603" s="11">
        <v>46165</v>
      </c>
      <c r="G603" s="6" t="s">
        <v>1079</v>
      </c>
      <c r="H603" s="7" t="s">
        <v>26</v>
      </c>
      <c r="I603" s="7" t="s">
        <v>228</v>
      </c>
      <c r="J603" s="7" t="s">
        <v>910</v>
      </c>
      <c r="K603" s="7" t="s">
        <v>29</v>
      </c>
      <c r="L603" s="3" t="str">
        <f>E603&amp;D603</f>
        <v>E.SP.IPAEE_MAN_CONF_S_I_SINAL L UNIFO CONT_0030</v>
      </c>
      <c r="M603" s="3" t="str">
        <f>IFERROR(MID(D603,SEARCH("S_I_",D603,1),3),"")</f>
        <v>S_I</v>
      </c>
      <c r="N603" s="3" t="str">
        <f>IFERROR(MID(D603,SEARCH("C_I_",D603,1),3),"")</f>
        <v/>
      </c>
      <c r="O603" s="3" t="str">
        <f>IF(AND(M603="",N603=""),"Extra","")</f>
        <v/>
      </c>
      <c r="P603" s="3" t="str">
        <f>IF(Q603=0,"TERCEIRO","MRS")</f>
        <v>MRS</v>
      </c>
      <c r="Q603" s="8" t="str">
        <f>IFERROR(VLOOKUP(L603,#REF!,4,0),"0,00")</f>
        <v>0,00</v>
      </c>
      <c r="R603" s="9" t="s">
        <v>42</v>
      </c>
      <c r="S603" s="9">
        <f>COUNTIF(D603,"*_SEG_*")</f>
        <v>0</v>
      </c>
      <c r="T603" s="9">
        <f>COUNTIF(D603,"*_MAN_*")</f>
        <v>1</v>
      </c>
      <c r="U603" s="9">
        <f>(RIGHT(D603,4))*1</f>
        <v>30</v>
      </c>
      <c r="V603" s="9" t="str">
        <f>IFERROR(VLOOKUP(I603,#REF!,2,0),"Sinalização")</f>
        <v>Sinalização</v>
      </c>
    </row>
    <row r="604" spans="1:22" x14ac:dyDescent="0.25">
      <c r="A604" s="3" t="s">
        <v>22</v>
      </c>
      <c r="B604" s="4">
        <v>23509546</v>
      </c>
      <c r="C604" s="5" t="s">
        <v>23</v>
      </c>
      <c r="D604" s="6" t="s">
        <v>917</v>
      </c>
      <c r="E604" s="6" t="s">
        <v>25</v>
      </c>
      <c r="F604" s="11">
        <v>46165</v>
      </c>
      <c r="G604" s="6" t="s">
        <v>1079</v>
      </c>
      <c r="H604" s="7" t="s">
        <v>26</v>
      </c>
      <c r="I604" s="7" t="s">
        <v>719</v>
      </c>
      <c r="J604" s="7" t="s">
        <v>910</v>
      </c>
      <c r="K604" s="7" t="s">
        <v>29</v>
      </c>
      <c r="L604" s="3" t="str">
        <f>E604&amp;D604</f>
        <v>E.SP.IPAEE_MAN_CONF_S_I_SINAL L UNIFO CONT_0030</v>
      </c>
      <c r="M604" s="3" t="str">
        <f>IFERROR(MID(D604,SEARCH("S_I_",D604,1),3),"")</f>
        <v>S_I</v>
      </c>
      <c r="N604" s="3" t="str">
        <f>IFERROR(MID(D604,SEARCH("C_I_",D604,1),3),"")</f>
        <v/>
      </c>
      <c r="O604" s="3" t="str">
        <f>IF(AND(M604="",N604=""),"Extra","")</f>
        <v/>
      </c>
      <c r="P604" s="3" t="str">
        <f>IF(Q604=0,"TERCEIRO","MRS")</f>
        <v>MRS</v>
      </c>
      <c r="Q604" s="8" t="str">
        <f>IFERROR(VLOOKUP(L604,#REF!,4,0),"0,00")</f>
        <v>0,00</v>
      </c>
      <c r="R604" s="9" t="s">
        <v>42</v>
      </c>
      <c r="S604" s="9">
        <f>COUNTIF(D604,"*_SEG_*")</f>
        <v>0</v>
      </c>
      <c r="T604" s="9">
        <f>COUNTIF(D604,"*_MAN_*")</f>
        <v>1</v>
      </c>
      <c r="U604" s="9">
        <f>(RIGHT(D604,4))*1</f>
        <v>30</v>
      </c>
      <c r="V604" s="9" t="str">
        <f>IFERROR(VLOOKUP(I604,#REF!,2,0),"Sinalização")</f>
        <v>Sinalização</v>
      </c>
    </row>
    <row r="605" spans="1:22" x14ac:dyDescent="0.25">
      <c r="A605" s="3" t="s">
        <v>22</v>
      </c>
      <c r="B605" s="4">
        <v>23509547</v>
      </c>
      <c r="C605" s="5" t="s">
        <v>23</v>
      </c>
      <c r="D605" s="6" t="s">
        <v>917</v>
      </c>
      <c r="E605" s="6" t="s">
        <v>25</v>
      </c>
      <c r="F605" s="11">
        <v>46165</v>
      </c>
      <c r="G605" s="6" t="s">
        <v>1079</v>
      </c>
      <c r="H605" s="7" t="s">
        <v>32</v>
      </c>
      <c r="I605" s="7" t="s">
        <v>70</v>
      </c>
      <c r="J605" s="7" t="s">
        <v>910</v>
      </c>
      <c r="K605" s="7" t="s">
        <v>29</v>
      </c>
      <c r="L605" s="3" t="str">
        <f>E605&amp;D605</f>
        <v>E.SP.IPAEE_MAN_CONF_S_I_SINAL L UNIFO CONT_0030</v>
      </c>
      <c r="M605" s="3" t="str">
        <f>IFERROR(MID(D605,SEARCH("S_I_",D605,1),3),"")</f>
        <v>S_I</v>
      </c>
      <c r="N605" s="3" t="str">
        <f>IFERROR(MID(D605,SEARCH("C_I_",D605,1),3),"")</f>
        <v/>
      </c>
      <c r="O605" s="3" t="str">
        <f>IF(AND(M605="",N605=""),"Extra","")</f>
        <v/>
      </c>
      <c r="P605" s="3" t="str">
        <f>IF(Q605=0,"TERCEIRO","MRS")</f>
        <v>MRS</v>
      </c>
      <c r="Q605" s="8" t="str">
        <f>IFERROR(VLOOKUP(L605,#REF!,4,0),"0,00")</f>
        <v>0,00</v>
      </c>
      <c r="R605" s="9" t="s">
        <v>42</v>
      </c>
      <c r="S605" s="9">
        <f>COUNTIF(D605,"*_SEG_*")</f>
        <v>0</v>
      </c>
      <c r="T605" s="9">
        <f>COUNTIF(D605,"*_MAN_*")</f>
        <v>1</v>
      </c>
      <c r="U605" s="9">
        <f>(RIGHT(D605,4))*1</f>
        <v>30</v>
      </c>
      <c r="V605" s="9" t="str">
        <f>IFERROR(VLOOKUP(I605,#REF!,2,0),"Sinalização")</f>
        <v>Sinalização</v>
      </c>
    </row>
    <row r="606" spans="1:22" x14ac:dyDescent="0.25">
      <c r="A606" s="3" t="s">
        <v>22</v>
      </c>
      <c r="B606" s="4">
        <v>23509548</v>
      </c>
      <c r="C606" s="5" t="s">
        <v>23</v>
      </c>
      <c r="D606" s="6" t="s">
        <v>917</v>
      </c>
      <c r="E606" s="6" t="s">
        <v>25</v>
      </c>
      <c r="F606" s="11">
        <v>46165</v>
      </c>
      <c r="G606" s="6" t="s">
        <v>1079</v>
      </c>
      <c r="H606" s="7" t="s">
        <v>32</v>
      </c>
      <c r="I606" s="7" t="s">
        <v>229</v>
      </c>
      <c r="J606" s="7" t="s">
        <v>910</v>
      </c>
      <c r="K606" s="7" t="s">
        <v>29</v>
      </c>
      <c r="L606" s="3" t="str">
        <f>E606&amp;D606</f>
        <v>E.SP.IPAEE_MAN_CONF_S_I_SINAL L UNIFO CONT_0030</v>
      </c>
      <c r="M606" s="3" t="str">
        <f>IFERROR(MID(D606,SEARCH("S_I_",D606,1),3),"")</f>
        <v>S_I</v>
      </c>
      <c r="N606" s="3" t="str">
        <f>IFERROR(MID(D606,SEARCH("C_I_",D606,1),3),"")</f>
        <v/>
      </c>
      <c r="O606" s="3" t="str">
        <f>IF(AND(M606="",N606=""),"Extra","")</f>
        <v/>
      </c>
      <c r="P606" s="3" t="str">
        <f>IF(Q606=0,"TERCEIRO","MRS")</f>
        <v>MRS</v>
      </c>
      <c r="Q606" s="8" t="str">
        <f>IFERROR(VLOOKUP(L606,#REF!,4,0),"0,00")</f>
        <v>0,00</v>
      </c>
      <c r="R606" s="9" t="s">
        <v>42</v>
      </c>
      <c r="S606" s="9">
        <f>COUNTIF(D606,"*_SEG_*")</f>
        <v>0</v>
      </c>
      <c r="T606" s="9">
        <f>COUNTIF(D606,"*_MAN_*")</f>
        <v>1</v>
      </c>
      <c r="U606" s="9">
        <f>(RIGHT(D606,4))*1</f>
        <v>30</v>
      </c>
      <c r="V606" s="9" t="str">
        <f>IFERROR(VLOOKUP(I606,#REF!,2,0),"Sinalização")</f>
        <v>Sinalização</v>
      </c>
    </row>
    <row r="607" spans="1:22" x14ac:dyDescent="0.25">
      <c r="A607" s="3" t="s">
        <v>22</v>
      </c>
      <c r="B607" s="4">
        <v>23509549</v>
      </c>
      <c r="C607" s="5" t="s">
        <v>23</v>
      </c>
      <c r="D607" s="6" t="s">
        <v>917</v>
      </c>
      <c r="E607" s="6" t="s">
        <v>25</v>
      </c>
      <c r="F607" s="11">
        <v>46165</v>
      </c>
      <c r="G607" s="6" t="s">
        <v>1079</v>
      </c>
      <c r="H607" s="7" t="s">
        <v>26</v>
      </c>
      <c r="I607" s="7" t="s">
        <v>71</v>
      </c>
      <c r="J607" s="7" t="s">
        <v>910</v>
      </c>
      <c r="K607" s="7" t="s">
        <v>29</v>
      </c>
      <c r="L607" s="3" t="str">
        <f>E607&amp;D607</f>
        <v>E.SP.IPAEE_MAN_CONF_S_I_SINAL L UNIFO CONT_0030</v>
      </c>
      <c r="M607" s="3" t="str">
        <f>IFERROR(MID(D607,SEARCH("S_I_",D607,1),3),"")</f>
        <v>S_I</v>
      </c>
      <c r="N607" s="3" t="str">
        <f>IFERROR(MID(D607,SEARCH("C_I_",D607,1),3),"")</f>
        <v/>
      </c>
      <c r="O607" s="3" t="str">
        <f>IF(AND(M607="",N607=""),"Extra","")</f>
        <v/>
      </c>
      <c r="P607" s="3" t="str">
        <f>IF(Q607=0,"TERCEIRO","MRS")</f>
        <v>MRS</v>
      </c>
      <c r="Q607" s="8" t="str">
        <f>IFERROR(VLOOKUP(L607,#REF!,4,0),"0,00")</f>
        <v>0,00</v>
      </c>
      <c r="R607" s="9" t="s">
        <v>42</v>
      </c>
      <c r="S607" s="9">
        <f>COUNTIF(D607,"*_SEG_*")</f>
        <v>0</v>
      </c>
      <c r="T607" s="9">
        <f>COUNTIF(D607,"*_MAN_*")</f>
        <v>1</v>
      </c>
      <c r="U607" s="9">
        <f>(RIGHT(D607,4))*1</f>
        <v>30</v>
      </c>
      <c r="V607" s="9" t="str">
        <f>IFERROR(VLOOKUP(I607,#REF!,2,0),"Sinalização")</f>
        <v>Sinalização</v>
      </c>
    </row>
    <row r="608" spans="1:22" x14ac:dyDescent="0.25">
      <c r="A608" s="3" t="s">
        <v>22</v>
      </c>
      <c r="B608" s="4">
        <v>23509550</v>
      </c>
      <c r="C608" s="5" t="s">
        <v>23</v>
      </c>
      <c r="D608" s="6" t="s">
        <v>917</v>
      </c>
      <c r="E608" s="6" t="s">
        <v>25</v>
      </c>
      <c r="F608" s="11">
        <v>46165</v>
      </c>
      <c r="G608" s="6" t="s">
        <v>1079</v>
      </c>
      <c r="H608" s="7" t="s">
        <v>26</v>
      </c>
      <c r="I608" s="7" t="s">
        <v>309</v>
      </c>
      <c r="J608" s="7" t="s">
        <v>910</v>
      </c>
      <c r="K608" s="7" t="s">
        <v>29</v>
      </c>
      <c r="L608" s="3" t="str">
        <f>E608&amp;D608</f>
        <v>E.SP.IPAEE_MAN_CONF_S_I_SINAL L UNIFO CONT_0030</v>
      </c>
      <c r="M608" s="3" t="str">
        <f>IFERROR(MID(D608,SEARCH("S_I_",D608,1),3),"")</f>
        <v>S_I</v>
      </c>
      <c r="N608" s="3" t="str">
        <f>IFERROR(MID(D608,SEARCH("C_I_",D608,1),3),"")</f>
        <v/>
      </c>
      <c r="O608" s="3" t="str">
        <f>IF(AND(M608="",N608=""),"Extra","")</f>
        <v/>
      </c>
      <c r="P608" s="3" t="str">
        <f>IF(Q608=0,"TERCEIRO","MRS")</f>
        <v>MRS</v>
      </c>
      <c r="Q608" s="8" t="str">
        <f>IFERROR(VLOOKUP(L608,#REF!,4,0),"0,00")</f>
        <v>0,00</v>
      </c>
      <c r="R608" s="9" t="s">
        <v>42</v>
      </c>
      <c r="S608" s="9">
        <f>COUNTIF(D608,"*_SEG_*")</f>
        <v>0</v>
      </c>
      <c r="T608" s="9">
        <f>COUNTIF(D608,"*_MAN_*")</f>
        <v>1</v>
      </c>
      <c r="U608" s="9">
        <f>(RIGHT(D608,4))*1</f>
        <v>30</v>
      </c>
      <c r="V608" s="9" t="str">
        <f>IFERROR(VLOOKUP(I608,#REF!,2,0),"Sinalização")</f>
        <v>Sinalização</v>
      </c>
    </row>
    <row r="609" spans="1:22" x14ac:dyDescent="0.25">
      <c r="A609" s="3" t="s">
        <v>22</v>
      </c>
      <c r="B609" s="4">
        <v>23509551</v>
      </c>
      <c r="C609" s="5" t="s">
        <v>23</v>
      </c>
      <c r="D609" s="6" t="s">
        <v>917</v>
      </c>
      <c r="E609" s="6" t="s">
        <v>25</v>
      </c>
      <c r="F609" s="11">
        <v>46165</v>
      </c>
      <c r="G609" s="6" t="s">
        <v>1079</v>
      </c>
      <c r="H609" s="7" t="s">
        <v>32</v>
      </c>
      <c r="I609" s="7" t="s">
        <v>724</v>
      </c>
      <c r="J609" s="7" t="s">
        <v>910</v>
      </c>
      <c r="K609" s="7" t="s">
        <v>29</v>
      </c>
      <c r="L609" s="3" t="str">
        <f>E609&amp;D609</f>
        <v>E.SP.IPAEE_MAN_CONF_S_I_SINAL L UNIFO CONT_0030</v>
      </c>
      <c r="M609" s="3" t="str">
        <f>IFERROR(MID(D609,SEARCH("S_I_",D609,1),3),"")</f>
        <v>S_I</v>
      </c>
      <c r="N609" s="3" t="str">
        <f>IFERROR(MID(D609,SEARCH("C_I_",D609,1),3),"")</f>
        <v/>
      </c>
      <c r="O609" s="3" t="str">
        <f>IF(AND(M609="",N609=""),"Extra","")</f>
        <v/>
      </c>
      <c r="P609" s="3" t="str">
        <f>IF(Q609=0,"TERCEIRO","MRS")</f>
        <v>MRS</v>
      </c>
      <c r="Q609" s="8" t="str">
        <f>IFERROR(VLOOKUP(L609,#REF!,4,0),"0,00")</f>
        <v>0,00</v>
      </c>
      <c r="R609" s="9" t="s">
        <v>42</v>
      </c>
      <c r="S609" s="9">
        <f>COUNTIF(D609,"*_SEG_*")</f>
        <v>0</v>
      </c>
      <c r="T609" s="9">
        <f>COUNTIF(D609,"*_MAN_*")</f>
        <v>1</v>
      </c>
      <c r="U609" s="9">
        <f>(RIGHT(D609,4))*1</f>
        <v>30</v>
      </c>
      <c r="V609" s="9" t="str">
        <f>IFERROR(VLOOKUP(I609,#REF!,2,0),"Sinalização")</f>
        <v>Sinalização</v>
      </c>
    </row>
    <row r="610" spans="1:22" x14ac:dyDescent="0.25">
      <c r="A610" s="3" t="s">
        <v>22</v>
      </c>
      <c r="B610" s="4">
        <v>23509552</v>
      </c>
      <c r="C610" s="5" t="s">
        <v>23</v>
      </c>
      <c r="D610" s="6" t="s">
        <v>917</v>
      </c>
      <c r="E610" s="6" t="s">
        <v>25</v>
      </c>
      <c r="F610" s="11">
        <v>46165</v>
      </c>
      <c r="G610" s="6" t="s">
        <v>1079</v>
      </c>
      <c r="H610" s="7" t="s">
        <v>32</v>
      </c>
      <c r="I610" s="7" t="s">
        <v>725</v>
      </c>
      <c r="J610" s="7" t="s">
        <v>910</v>
      </c>
      <c r="K610" s="7" t="s">
        <v>29</v>
      </c>
      <c r="L610" s="3" t="str">
        <f>E610&amp;D610</f>
        <v>E.SP.IPAEE_MAN_CONF_S_I_SINAL L UNIFO CONT_0030</v>
      </c>
      <c r="M610" s="3" t="str">
        <f>IFERROR(MID(D610,SEARCH("S_I_",D610,1),3),"")</f>
        <v>S_I</v>
      </c>
      <c r="N610" s="3" t="str">
        <f>IFERROR(MID(D610,SEARCH("C_I_",D610,1),3),"")</f>
        <v/>
      </c>
      <c r="O610" s="3" t="str">
        <f>IF(AND(M610="",N610=""),"Extra","")</f>
        <v/>
      </c>
      <c r="P610" s="3" t="str">
        <f>IF(Q610=0,"TERCEIRO","MRS")</f>
        <v>MRS</v>
      </c>
      <c r="Q610" s="8" t="str">
        <f>IFERROR(VLOOKUP(L610,#REF!,4,0),"0,00")</f>
        <v>0,00</v>
      </c>
      <c r="R610" s="9" t="s">
        <v>42</v>
      </c>
      <c r="S610" s="9">
        <f>COUNTIF(D610,"*_SEG_*")</f>
        <v>0</v>
      </c>
      <c r="T610" s="9">
        <f>COUNTIF(D610,"*_MAN_*")</f>
        <v>1</v>
      </c>
      <c r="U610" s="9">
        <f>(RIGHT(D610,4))*1</f>
        <v>30</v>
      </c>
      <c r="V610" s="9" t="str">
        <f>IFERROR(VLOOKUP(I610,#REF!,2,0),"Sinalização")</f>
        <v>Sinalização</v>
      </c>
    </row>
    <row r="611" spans="1:22" x14ac:dyDescent="0.25">
      <c r="A611" s="3" t="s">
        <v>22</v>
      </c>
      <c r="B611" s="4">
        <v>23509553</v>
      </c>
      <c r="C611" s="5" t="s">
        <v>23</v>
      </c>
      <c r="D611" s="6" t="s">
        <v>917</v>
      </c>
      <c r="E611" s="6" t="s">
        <v>25</v>
      </c>
      <c r="F611" s="11">
        <v>46165</v>
      </c>
      <c r="G611" s="6" t="s">
        <v>1079</v>
      </c>
      <c r="H611" s="7" t="s">
        <v>26</v>
      </c>
      <c r="I611" s="7" t="s">
        <v>726</v>
      </c>
      <c r="J611" s="7" t="s">
        <v>910</v>
      </c>
      <c r="K611" s="7" t="s">
        <v>29</v>
      </c>
      <c r="L611" s="3" t="str">
        <f>E611&amp;D611</f>
        <v>E.SP.IPAEE_MAN_CONF_S_I_SINAL L UNIFO CONT_0030</v>
      </c>
      <c r="M611" s="3" t="str">
        <f>IFERROR(MID(D611,SEARCH("S_I_",D611,1),3),"")</f>
        <v>S_I</v>
      </c>
      <c r="N611" s="3" t="str">
        <f>IFERROR(MID(D611,SEARCH("C_I_",D611,1),3),"")</f>
        <v/>
      </c>
      <c r="O611" s="3" t="str">
        <f>IF(AND(M611="",N611=""),"Extra","")</f>
        <v/>
      </c>
      <c r="P611" s="3" t="str">
        <f>IF(Q611=0,"TERCEIRO","MRS")</f>
        <v>MRS</v>
      </c>
      <c r="Q611" s="8" t="str">
        <f>IFERROR(VLOOKUP(L611,#REF!,4,0),"0,00")</f>
        <v>0,00</v>
      </c>
      <c r="R611" s="9" t="s">
        <v>42</v>
      </c>
      <c r="S611" s="9">
        <f>COUNTIF(D611,"*_SEG_*")</f>
        <v>0</v>
      </c>
      <c r="T611" s="9">
        <f>COUNTIF(D611,"*_MAN_*")</f>
        <v>1</v>
      </c>
      <c r="U611" s="9">
        <f>(RIGHT(D611,4))*1</f>
        <v>30</v>
      </c>
      <c r="V611" s="9" t="str">
        <f>IFERROR(VLOOKUP(I611,#REF!,2,0),"Sinalização")</f>
        <v>Sinalização</v>
      </c>
    </row>
    <row r="612" spans="1:22" x14ac:dyDescent="0.25">
      <c r="A612" s="3" t="s">
        <v>22</v>
      </c>
      <c r="B612" s="4">
        <v>23509554</v>
      </c>
      <c r="C612" s="5" t="s">
        <v>23</v>
      </c>
      <c r="D612" s="6" t="s">
        <v>917</v>
      </c>
      <c r="E612" s="6" t="s">
        <v>25</v>
      </c>
      <c r="F612" s="11">
        <v>46165</v>
      </c>
      <c r="G612" s="6" t="s">
        <v>1079</v>
      </c>
      <c r="H612" s="7" t="s">
        <v>26</v>
      </c>
      <c r="I612" s="7" t="s">
        <v>723</v>
      </c>
      <c r="J612" s="7" t="s">
        <v>910</v>
      </c>
      <c r="K612" s="7" t="s">
        <v>29</v>
      </c>
      <c r="L612" s="3" t="str">
        <f>E612&amp;D612</f>
        <v>E.SP.IPAEE_MAN_CONF_S_I_SINAL L UNIFO CONT_0030</v>
      </c>
      <c r="M612" s="3" t="str">
        <f>IFERROR(MID(D612,SEARCH("S_I_",D612,1),3),"")</f>
        <v>S_I</v>
      </c>
      <c r="N612" s="3" t="str">
        <f>IFERROR(MID(D612,SEARCH("C_I_",D612,1),3),"")</f>
        <v/>
      </c>
      <c r="O612" s="3" t="str">
        <f>IF(AND(M612="",N612=""),"Extra","")</f>
        <v/>
      </c>
      <c r="P612" s="3" t="str">
        <f>IF(Q612=0,"TERCEIRO","MRS")</f>
        <v>MRS</v>
      </c>
      <c r="Q612" s="8" t="str">
        <f>IFERROR(VLOOKUP(L612,#REF!,4,0),"0,00")</f>
        <v>0,00</v>
      </c>
      <c r="R612" s="9" t="s">
        <v>42</v>
      </c>
      <c r="S612" s="9">
        <f>COUNTIF(D612,"*_SEG_*")</f>
        <v>0</v>
      </c>
      <c r="T612" s="9">
        <f>COUNTIF(D612,"*_MAN_*")</f>
        <v>1</v>
      </c>
      <c r="U612" s="9">
        <f>(RIGHT(D612,4))*1</f>
        <v>30</v>
      </c>
      <c r="V612" s="9" t="str">
        <f>IFERROR(VLOOKUP(I612,#REF!,2,0),"Sinalização")</f>
        <v>Sinalização</v>
      </c>
    </row>
    <row r="613" spans="1:22" x14ac:dyDescent="0.25">
      <c r="A613" s="3" t="s">
        <v>22</v>
      </c>
      <c r="B613" s="4">
        <v>23509555</v>
      </c>
      <c r="C613" s="5" t="s">
        <v>23</v>
      </c>
      <c r="D613" s="6" t="s">
        <v>917</v>
      </c>
      <c r="E613" s="6" t="s">
        <v>25</v>
      </c>
      <c r="F613" s="11">
        <v>46165</v>
      </c>
      <c r="G613" s="6" t="s">
        <v>1079</v>
      </c>
      <c r="H613" s="7" t="s">
        <v>32</v>
      </c>
      <c r="I613" s="7" t="s">
        <v>722</v>
      </c>
      <c r="J613" s="7" t="s">
        <v>910</v>
      </c>
      <c r="K613" s="7" t="s">
        <v>29</v>
      </c>
      <c r="L613" s="3" t="str">
        <f>E613&amp;D613</f>
        <v>E.SP.IPAEE_MAN_CONF_S_I_SINAL L UNIFO CONT_0030</v>
      </c>
      <c r="M613" s="3" t="str">
        <f>IFERROR(MID(D613,SEARCH("S_I_",D613,1),3),"")</f>
        <v>S_I</v>
      </c>
      <c r="N613" s="3" t="str">
        <f>IFERROR(MID(D613,SEARCH("C_I_",D613,1),3),"")</f>
        <v/>
      </c>
      <c r="O613" s="3" t="str">
        <f>IF(AND(M613="",N613=""),"Extra","")</f>
        <v/>
      </c>
      <c r="P613" s="3" t="str">
        <f>IF(Q613=0,"TERCEIRO","MRS")</f>
        <v>MRS</v>
      </c>
      <c r="Q613" s="8" t="str">
        <f>IFERROR(VLOOKUP(L613,#REF!,4,0),"0,00")</f>
        <v>0,00</v>
      </c>
      <c r="R613" s="9" t="s">
        <v>42</v>
      </c>
      <c r="S613" s="9">
        <f>COUNTIF(D613,"*_SEG_*")</f>
        <v>0</v>
      </c>
      <c r="T613" s="9">
        <f>COUNTIF(D613,"*_MAN_*")</f>
        <v>1</v>
      </c>
      <c r="U613" s="9">
        <f>(RIGHT(D613,4))*1</f>
        <v>30</v>
      </c>
      <c r="V613" s="9" t="str">
        <f>IFERROR(VLOOKUP(I613,#REF!,2,0),"Sinalização")</f>
        <v>Sinalização</v>
      </c>
    </row>
    <row r="614" spans="1:22" x14ac:dyDescent="0.25">
      <c r="A614" s="3" t="s">
        <v>22</v>
      </c>
      <c r="B614" s="4">
        <v>23509556</v>
      </c>
      <c r="C614" s="5" t="s">
        <v>23</v>
      </c>
      <c r="D614" s="6" t="s">
        <v>917</v>
      </c>
      <c r="E614" s="6" t="s">
        <v>25</v>
      </c>
      <c r="F614" s="11">
        <v>46165</v>
      </c>
      <c r="G614" s="6" t="s">
        <v>1079</v>
      </c>
      <c r="H614" s="7" t="s">
        <v>32</v>
      </c>
      <c r="I614" s="7" t="s">
        <v>721</v>
      </c>
      <c r="J614" s="7" t="s">
        <v>910</v>
      </c>
      <c r="K614" s="7" t="s">
        <v>29</v>
      </c>
      <c r="L614" s="3" t="str">
        <f>E614&amp;D614</f>
        <v>E.SP.IPAEE_MAN_CONF_S_I_SINAL L UNIFO CONT_0030</v>
      </c>
      <c r="M614" s="3" t="str">
        <f>IFERROR(MID(D614,SEARCH("S_I_",D614,1),3),"")</f>
        <v>S_I</v>
      </c>
      <c r="N614" s="3" t="str">
        <f>IFERROR(MID(D614,SEARCH("C_I_",D614,1),3),"")</f>
        <v/>
      </c>
      <c r="O614" s="3" t="str">
        <f>IF(AND(M614="",N614=""),"Extra","")</f>
        <v/>
      </c>
      <c r="P614" s="3" t="str">
        <f>IF(Q614=0,"TERCEIRO","MRS")</f>
        <v>MRS</v>
      </c>
      <c r="Q614" s="8" t="str">
        <f>IFERROR(VLOOKUP(L614,#REF!,4,0),"0,00")</f>
        <v>0,00</v>
      </c>
      <c r="R614" s="9" t="s">
        <v>42</v>
      </c>
      <c r="S614" s="9">
        <f>COUNTIF(D614,"*_SEG_*")</f>
        <v>0</v>
      </c>
      <c r="T614" s="9">
        <f>COUNTIF(D614,"*_MAN_*")</f>
        <v>1</v>
      </c>
      <c r="U614" s="9">
        <f>(RIGHT(D614,4))*1</f>
        <v>30</v>
      </c>
      <c r="V614" s="9" t="str">
        <f>IFERROR(VLOOKUP(I614,#REF!,2,0),"Sinalização")</f>
        <v>Sinalização</v>
      </c>
    </row>
    <row r="615" spans="1:22" x14ac:dyDescent="0.25">
      <c r="A615" s="3" t="s">
        <v>22</v>
      </c>
      <c r="B615" s="4">
        <v>23509557</v>
      </c>
      <c r="C615" s="5" t="s">
        <v>23</v>
      </c>
      <c r="D615" s="6" t="s">
        <v>917</v>
      </c>
      <c r="E615" s="6" t="s">
        <v>25</v>
      </c>
      <c r="F615" s="11">
        <v>46165</v>
      </c>
      <c r="G615" s="6" t="s">
        <v>1079</v>
      </c>
      <c r="H615" s="7" t="s">
        <v>26</v>
      </c>
      <c r="I615" s="7" t="s">
        <v>221</v>
      </c>
      <c r="J615" s="7" t="s">
        <v>910</v>
      </c>
      <c r="K615" s="7" t="s">
        <v>29</v>
      </c>
      <c r="L615" s="3" t="str">
        <f>E615&amp;D615</f>
        <v>E.SP.IPAEE_MAN_CONF_S_I_SINAL L UNIFO CONT_0030</v>
      </c>
      <c r="M615" s="3" t="str">
        <f>IFERROR(MID(D615,SEARCH("S_I_",D615,1),3),"")</f>
        <v>S_I</v>
      </c>
      <c r="N615" s="3" t="str">
        <f>IFERROR(MID(D615,SEARCH("C_I_",D615,1),3),"")</f>
        <v/>
      </c>
      <c r="O615" s="3" t="str">
        <f>IF(AND(M615="",N615=""),"Extra","")</f>
        <v/>
      </c>
      <c r="P615" s="3" t="str">
        <f>IF(Q615=0,"TERCEIRO","MRS")</f>
        <v>MRS</v>
      </c>
      <c r="Q615" s="8" t="str">
        <f>IFERROR(VLOOKUP(L615,#REF!,4,0),"0,00")</f>
        <v>0,00</v>
      </c>
      <c r="R615" s="9" t="s">
        <v>42</v>
      </c>
      <c r="S615" s="9">
        <f>COUNTIF(D615,"*_SEG_*")</f>
        <v>0</v>
      </c>
      <c r="T615" s="9">
        <f>COUNTIF(D615,"*_MAN_*")</f>
        <v>1</v>
      </c>
      <c r="U615" s="9">
        <f>(RIGHT(D615,4))*1</f>
        <v>30</v>
      </c>
      <c r="V615" s="9" t="str">
        <f>IFERROR(VLOOKUP(I615,#REF!,2,0),"Sinalização")</f>
        <v>Sinalização</v>
      </c>
    </row>
    <row r="616" spans="1:22" x14ac:dyDescent="0.25">
      <c r="A616" s="3" t="s">
        <v>22</v>
      </c>
      <c r="B616" s="4">
        <v>23509558</v>
      </c>
      <c r="C616" s="5" t="s">
        <v>23</v>
      </c>
      <c r="D616" s="6" t="s">
        <v>917</v>
      </c>
      <c r="E616" s="6" t="s">
        <v>25</v>
      </c>
      <c r="F616" s="11">
        <v>46165</v>
      </c>
      <c r="G616" s="6" t="s">
        <v>1079</v>
      </c>
      <c r="H616" s="7" t="s">
        <v>26</v>
      </c>
      <c r="I616" s="7" t="s">
        <v>223</v>
      </c>
      <c r="J616" s="7" t="s">
        <v>910</v>
      </c>
      <c r="K616" s="7" t="s">
        <v>29</v>
      </c>
      <c r="L616" s="3" t="str">
        <f>E616&amp;D616</f>
        <v>E.SP.IPAEE_MAN_CONF_S_I_SINAL L UNIFO CONT_0030</v>
      </c>
      <c r="M616" s="3" t="str">
        <f>IFERROR(MID(D616,SEARCH("S_I_",D616,1),3),"")</f>
        <v>S_I</v>
      </c>
      <c r="N616" s="3" t="str">
        <f>IFERROR(MID(D616,SEARCH("C_I_",D616,1),3),"")</f>
        <v/>
      </c>
      <c r="O616" s="3" t="str">
        <f>IF(AND(M616="",N616=""),"Extra","")</f>
        <v/>
      </c>
      <c r="P616" s="3" t="str">
        <f>IF(Q616=0,"TERCEIRO","MRS")</f>
        <v>MRS</v>
      </c>
      <c r="Q616" s="8" t="str">
        <f>IFERROR(VLOOKUP(L616,#REF!,4,0),"0,00")</f>
        <v>0,00</v>
      </c>
      <c r="R616" s="9" t="s">
        <v>42</v>
      </c>
      <c r="S616" s="9">
        <f>COUNTIF(D616,"*_SEG_*")</f>
        <v>0</v>
      </c>
      <c r="T616" s="9">
        <f>COUNTIF(D616,"*_MAN_*")</f>
        <v>1</v>
      </c>
      <c r="U616" s="9">
        <f>(RIGHT(D616,4))*1</f>
        <v>30</v>
      </c>
      <c r="V616" s="9" t="str">
        <f>IFERROR(VLOOKUP(I616,#REF!,2,0),"Sinalização")</f>
        <v>Sinalização</v>
      </c>
    </row>
    <row r="617" spans="1:22" x14ac:dyDescent="0.25">
      <c r="A617" s="3" t="s">
        <v>22</v>
      </c>
      <c r="B617" s="4">
        <v>23509559</v>
      </c>
      <c r="C617" s="5" t="s">
        <v>23</v>
      </c>
      <c r="D617" s="6" t="s">
        <v>917</v>
      </c>
      <c r="E617" s="6" t="s">
        <v>25</v>
      </c>
      <c r="F617" s="11">
        <v>46165</v>
      </c>
      <c r="G617" s="6" t="s">
        <v>1079</v>
      </c>
      <c r="H617" s="7" t="s">
        <v>32</v>
      </c>
      <c r="I617" s="7" t="s">
        <v>231</v>
      </c>
      <c r="J617" s="7" t="s">
        <v>910</v>
      </c>
      <c r="K617" s="7" t="s">
        <v>29</v>
      </c>
      <c r="L617" s="3" t="str">
        <f>E617&amp;D617</f>
        <v>E.SP.IPAEE_MAN_CONF_S_I_SINAL L UNIFO CONT_0030</v>
      </c>
      <c r="M617" s="3" t="str">
        <f>IFERROR(MID(D617,SEARCH("S_I_",D617,1),3),"")</f>
        <v>S_I</v>
      </c>
      <c r="N617" s="3" t="str">
        <f>IFERROR(MID(D617,SEARCH("C_I_",D617,1),3),"")</f>
        <v/>
      </c>
      <c r="O617" s="3" t="str">
        <f>IF(AND(M617="",N617=""),"Extra","")</f>
        <v/>
      </c>
      <c r="P617" s="3" t="str">
        <f>IF(Q617=0,"TERCEIRO","MRS")</f>
        <v>MRS</v>
      </c>
      <c r="Q617" s="8" t="str">
        <f>IFERROR(VLOOKUP(L617,#REF!,4,0),"0,00")</f>
        <v>0,00</v>
      </c>
      <c r="R617" s="9" t="s">
        <v>42</v>
      </c>
      <c r="S617" s="9">
        <f>COUNTIF(D617,"*_SEG_*")</f>
        <v>0</v>
      </c>
      <c r="T617" s="9">
        <f>COUNTIF(D617,"*_MAN_*")</f>
        <v>1</v>
      </c>
      <c r="U617" s="9">
        <f>(RIGHT(D617,4))*1</f>
        <v>30</v>
      </c>
      <c r="V617" s="9" t="str">
        <f>IFERROR(VLOOKUP(I617,#REF!,2,0),"Sinalização")</f>
        <v>Sinalização</v>
      </c>
    </row>
    <row r="618" spans="1:22" x14ac:dyDescent="0.25">
      <c r="A618" s="3" t="s">
        <v>22</v>
      </c>
      <c r="B618" s="4">
        <v>23509560</v>
      </c>
      <c r="C618" s="5" t="s">
        <v>23</v>
      </c>
      <c r="D618" s="6" t="s">
        <v>917</v>
      </c>
      <c r="E618" s="6" t="s">
        <v>25</v>
      </c>
      <c r="F618" s="11">
        <v>46165</v>
      </c>
      <c r="G618" s="6" t="s">
        <v>1079</v>
      </c>
      <c r="H618" s="7" t="s">
        <v>32</v>
      </c>
      <c r="I618" s="7" t="s">
        <v>232</v>
      </c>
      <c r="J618" s="7" t="s">
        <v>910</v>
      </c>
      <c r="K618" s="7" t="s">
        <v>29</v>
      </c>
      <c r="L618" s="3" t="str">
        <f>E618&amp;D618</f>
        <v>E.SP.IPAEE_MAN_CONF_S_I_SINAL L UNIFO CONT_0030</v>
      </c>
      <c r="M618" s="3" t="str">
        <f>IFERROR(MID(D618,SEARCH("S_I_",D618,1),3),"")</f>
        <v>S_I</v>
      </c>
      <c r="N618" s="3" t="str">
        <f>IFERROR(MID(D618,SEARCH("C_I_",D618,1),3),"")</f>
        <v/>
      </c>
      <c r="O618" s="3" t="str">
        <f>IF(AND(M618="",N618=""),"Extra","")</f>
        <v/>
      </c>
      <c r="P618" s="3" t="str">
        <f>IF(Q618=0,"TERCEIRO","MRS")</f>
        <v>MRS</v>
      </c>
      <c r="Q618" s="8" t="str">
        <f>IFERROR(VLOOKUP(L618,#REF!,4,0),"0,00")</f>
        <v>0,00</v>
      </c>
      <c r="R618" s="9" t="s">
        <v>42</v>
      </c>
      <c r="S618" s="9">
        <f>COUNTIF(D618,"*_SEG_*")</f>
        <v>0</v>
      </c>
      <c r="T618" s="9">
        <f>COUNTIF(D618,"*_MAN_*")</f>
        <v>1</v>
      </c>
      <c r="U618" s="9">
        <f>(RIGHT(D618,4))*1</f>
        <v>30</v>
      </c>
      <c r="V618" s="9" t="str">
        <f>IFERROR(VLOOKUP(I618,#REF!,2,0),"Sinalização")</f>
        <v>Sinalização</v>
      </c>
    </row>
    <row r="619" spans="1:22" x14ac:dyDescent="0.25">
      <c r="A619" s="3" t="s">
        <v>22</v>
      </c>
      <c r="B619" s="4">
        <v>23509561</v>
      </c>
      <c r="C619" s="5" t="s">
        <v>23</v>
      </c>
      <c r="D619" s="6" t="s">
        <v>917</v>
      </c>
      <c r="E619" s="6" t="s">
        <v>25</v>
      </c>
      <c r="F619" s="11">
        <v>46165</v>
      </c>
      <c r="G619" s="6" t="s">
        <v>1079</v>
      </c>
      <c r="H619" s="7" t="s">
        <v>26</v>
      </c>
      <c r="I619" s="7" t="s">
        <v>918</v>
      </c>
      <c r="J619" s="7" t="s">
        <v>910</v>
      </c>
      <c r="K619" s="7" t="s">
        <v>29</v>
      </c>
      <c r="L619" s="3" t="str">
        <f>E619&amp;D619</f>
        <v>E.SP.IPAEE_MAN_CONF_S_I_SINAL L UNIFO CONT_0030</v>
      </c>
      <c r="M619" s="3" t="str">
        <f>IFERROR(MID(D619,SEARCH("S_I_",D619,1),3),"")</f>
        <v>S_I</v>
      </c>
      <c r="N619" s="3" t="str">
        <f>IFERROR(MID(D619,SEARCH("C_I_",D619,1),3),"")</f>
        <v/>
      </c>
      <c r="O619" s="3" t="str">
        <f>IF(AND(M619="",N619=""),"Extra","")</f>
        <v/>
      </c>
      <c r="P619" s="3" t="str">
        <f>IF(Q619=0,"TERCEIRO","MRS")</f>
        <v>MRS</v>
      </c>
      <c r="Q619" s="8" t="str">
        <f>IFERROR(VLOOKUP(L619,#REF!,4,0),"0,00")</f>
        <v>0,00</v>
      </c>
      <c r="R619" s="9" t="s">
        <v>42</v>
      </c>
      <c r="S619" s="9">
        <f>COUNTIF(D619,"*_SEG_*")</f>
        <v>0</v>
      </c>
      <c r="T619" s="9">
        <f>COUNTIF(D619,"*_MAN_*")</f>
        <v>1</v>
      </c>
      <c r="U619" s="9">
        <f>(RIGHT(D619,4))*1</f>
        <v>30</v>
      </c>
      <c r="V619" s="9" t="str">
        <f>IFERROR(VLOOKUP(I619,#REF!,2,0),"Sinalização")</f>
        <v>Sinalização</v>
      </c>
    </row>
    <row r="620" spans="1:22" x14ac:dyDescent="0.25">
      <c r="A620" s="3" t="s">
        <v>22</v>
      </c>
      <c r="B620" s="4">
        <v>23509562</v>
      </c>
      <c r="C620" s="5" t="s">
        <v>23</v>
      </c>
      <c r="D620" s="6" t="s">
        <v>917</v>
      </c>
      <c r="E620" s="6" t="s">
        <v>25</v>
      </c>
      <c r="F620" s="11">
        <v>46165</v>
      </c>
      <c r="G620" s="6" t="s">
        <v>1079</v>
      </c>
      <c r="H620" s="7" t="s">
        <v>26</v>
      </c>
      <c r="I620" s="7" t="s">
        <v>226</v>
      </c>
      <c r="J620" s="7" t="s">
        <v>910</v>
      </c>
      <c r="K620" s="7" t="s">
        <v>29</v>
      </c>
      <c r="L620" s="3" t="str">
        <f>E620&amp;D620</f>
        <v>E.SP.IPAEE_MAN_CONF_S_I_SINAL L UNIFO CONT_0030</v>
      </c>
      <c r="M620" s="3" t="str">
        <f>IFERROR(MID(D620,SEARCH("S_I_",D620,1),3),"")</f>
        <v>S_I</v>
      </c>
      <c r="N620" s="3" t="str">
        <f>IFERROR(MID(D620,SEARCH("C_I_",D620,1),3),"")</f>
        <v/>
      </c>
      <c r="O620" s="3" t="str">
        <f>IF(AND(M620="",N620=""),"Extra","")</f>
        <v/>
      </c>
      <c r="P620" s="3" t="str">
        <f>IF(Q620=0,"TERCEIRO","MRS")</f>
        <v>MRS</v>
      </c>
      <c r="Q620" s="8" t="str">
        <f>IFERROR(VLOOKUP(L620,#REF!,4,0),"0,00")</f>
        <v>0,00</v>
      </c>
      <c r="R620" s="9" t="s">
        <v>42</v>
      </c>
      <c r="S620" s="9">
        <f>COUNTIF(D620,"*_SEG_*")</f>
        <v>0</v>
      </c>
      <c r="T620" s="9">
        <f>COUNTIF(D620,"*_MAN_*")</f>
        <v>1</v>
      </c>
      <c r="U620" s="9">
        <f>(RIGHT(D620,4))*1</f>
        <v>30</v>
      </c>
      <c r="V620" s="9" t="str">
        <f>IFERROR(VLOOKUP(I620,#REF!,2,0),"Sinalização")</f>
        <v>Sinalização</v>
      </c>
    </row>
    <row r="621" spans="1:22" x14ac:dyDescent="0.25">
      <c r="A621" s="3" t="s">
        <v>22</v>
      </c>
      <c r="B621" s="4">
        <v>23509563</v>
      </c>
      <c r="C621" s="5" t="s">
        <v>23</v>
      </c>
      <c r="D621" s="6" t="s">
        <v>917</v>
      </c>
      <c r="E621" s="6" t="s">
        <v>25</v>
      </c>
      <c r="F621" s="11">
        <v>46165</v>
      </c>
      <c r="G621" s="6" t="s">
        <v>1079</v>
      </c>
      <c r="H621" s="7" t="s">
        <v>32</v>
      </c>
      <c r="I621" s="7" t="s">
        <v>225</v>
      </c>
      <c r="J621" s="7" t="s">
        <v>910</v>
      </c>
      <c r="K621" s="7" t="s">
        <v>29</v>
      </c>
      <c r="L621" s="3" t="str">
        <f>E621&amp;D621</f>
        <v>E.SP.IPAEE_MAN_CONF_S_I_SINAL L UNIFO CONT_0030</v>
      </c>
      <c r="M621" s="3" t="str">
        <f>IFERROR(MID(D621,SEARCH("S_I_",D621,1),3),"")</f>
        <v>S_I</v>
      </c>
      <c r="N621" s="3" t="str">
        <f>IFERROR(MID(D621,SEARCH("C_I_",D621,1),3),"")</f>
        <v/>
      </c>
      <c r="O621" s="3" t="str">
        <f>IF(AND(M621="",N621=""),"Extra","")</f>
        <v/>
      </c>
      <c r="P621" s="3" t="str">
        <f>IF(Q621=0,"TERCEIRO","MRS")</f>
        <v>MRS</v>
      </c>
      <c r="Q621" s="8" t="str">
        <f>IFERROR(VLOOKUP(L621,#REF!,4,0),"0,00")</f>
        <v>0,00</v>
      </c>
      <c r="R621" s="9" t="s">
        <v>42</v>
      </c>
      <c r="S621" s="9">
        <f>COUNTIF(D621,"*_SEG_*")</f>
        <v>0</v>
      </c>
      <c r="T621" s="9">
        <f>COUNTIF(D621,"*_MAN_*")</f>
        <v>1</v>
      </c>
      <c r="U621" s="9">
        <f>(RIGHT(D621,4))*1</f>
        <v>30</v>
      </c>
      <c r="V621" s="9" t="str">
        <f>IFERROR(VLOOKUP(I621,#REF!,2,0),"Sinalização")</f>
        <v>Sinalização</v>
      </c>
    </row>
    <row r="622" spans="1:22" x14ac:dyDescent="0.25">
      <c r="A622" s="3" t="s">
        <v>22</v>
      </c>
      <c r="B622" s="4">
        <v>23509564</v>
      </c>
      <c r="C622" s="5" t="s">
        <v>23</v>
      </c>
      <c r="D622" s="6" t="s">
        <v>917</v>
      </c>
      <c r="E622" s="6" t="s">
        <v>25</v>
      </c>
      <c r="F622" s="11">
        <v>46165</v>
      </c>
      <c r="G622" s="6" t="s">
        <v>1079</v>
      </c>
      <c r="H622" s="7" t="s">
        <v>32</v>
      </c>
      <c r="I622" s="7" t="s">
        <v>268</v>
      </c>
      <c r="J622" s="7" t="s">
        <v>910</v>
      </c>
      <c r="K622" s="7" t="s">
        <v>29</v>
      </c>
      <c r="L622" s="3" t="str">
        <f>E622&amp;D622</f>
        <v>E.SP.IPAEE_MAN_CONF_S_I_SINAL L UNIFO CONT_0030</v>
      </c>
      <c r="M622" s="3" t="str">
        <f>IFERROR(MID(D622,SEARCH("S_I_",D622,1),3),"")</f>
        <v>S_I</v>
      </c>
      <c r="N622" s="3" t="str">
        <f>IFERROR(MID(D622,SEARCH("C_I_",D622,1),3),"")</f>
        <v/>
      </c>
      <c r="O622" s="3" t="str">
        <f>IF(AND(M622="",N622=""),"Extra","")</f>
        <v/>
      </c>
      <c r="P622" s="3" t="str">
        <f>IF(Q622=0,"TERCEIRO","MRS")</f>
        <v>MRS</v>
      </c>
      <c r="Q622" s="8" t="str">
        <f>IFERROR(VLOOKUP(L622,#REF!,4,0),"0,00")</f>
        <v>0,00</v>
      </c>
      <c r="R622" s="9" t="s">
        <v>42</v>
      </c>
      <c r="S622" s="9">
        <f>COUNTIF(D622,"*_SEG_*")</f>
        <v>0</v>
      </c>
      <c r="T622" s="9">
        <f>COUNTIF(D622,"*_MAN_*")</f>
        <v>1</v>
      </c>
      <c r="U622" s="9">
        <f>(RIGHT(D622,4))*1</f>
        <v>30</v>
      </c>
      <c r="V622" s="9" t="str">
        <f>IFERROR(VLOOKUP(I622,#REF!,2,0),"Sinalização")</f>
        <v>Sinalização</v>
      </c>
    </row>
    <row r="623" spans="1:22" x14ac:dyDescent="0.25">
      <c r="A623" s="3" t="s">
        <v>22</v>
      </c>
      <c r="B623" s="4">
        <v>23509565</v>
      </c>
      <c r="C623" s="5" t="s">
        <v>23</v>
      </c>
      <c r="D623" s="6" t="s">
        <v>917</v>
      </c>
      <c r="E623" s="6" t="s">
        <v>25</v>
      </c>
      <c r="F623" s="11">
        <v>46165</v>
      </c>
      <c r="G623" s="6" t="s">
        <v>1079</v>
      </c>
      <c r="H623" s="7" t="s">
        <v>26</v>
      </c>
      <c r="I623" s="7" t="s">
        <v>224</v>
      </c>
      <c r="J623" s="7" t="s">
        <v>910</v>
      </c>
      <c r="K623" s="7" t="s">
        <v>29</v>
      </c>
      <c r="L623" s="3" t="str">
        <f>E623&amp;D623</f>
        <v>E.SP.IPAEE_MAN_CONF_S_I_SINAL L UNIFO CONT_0030</v>
      </c>
      <c r="M623" s="3" t="str">
        <f>IFERROR(MID(D623,SEARCH("S_I_",D623,1),3),"")</f>
        <v>S_I</v>
      </c>
      <c r="N623" s="3" t="str">
        <f>IFERROR(MID(D623,SEARCH("C_I_",D623,1),3),"")</f>
        <v/>
      </c>
      <c r="O623" s="3" t="str">
        <f>IF(AND(M623="",N623=""),"Extra","")</f>
        <v/>
      </c>
      <c r="P623" s="3" t="str">
        <f>IF(Q623=0,"TERCEIRO","MRS")</f>
        <v>MRS</v>
      </c>
      <c r="Q623" s="8" t="str">
        <f>IFERROR(VLOOKUP(L623,#REF!,4,0),"0,00")</f>
        <v>0,00</v>
      </c>
      <c r="R623" s="9" t="s">
        <v>42</v>
      </c>
      <c r="S623" s="9">
        <f>COUNTIF(D623,"*_SEG_*")</f>
        <v>0</v>
      </c>
      <c r="T623" s="9">
        <f>COUNTIF(D623,"*_MAN_*")</f>
        <v>1</v>
      </c>
      <c r="U623" s="9">
        <f>(RIGHT(D623,4))*1</f>
        <v>30</v>
      </c>
      <c r="V623" s="9" t="str">
        <f>IFERROR(VLOOKUP(I623,#REF!,2,0),"Sinalização")</f>
        <v>Sinalização</v>
      </c>
    </row>
    <row r="624" spans="1:22" x14ac:dyDescent="0.25">
      <c r="A624" s="3" t="s">
        <v>22</v>
      </c>
      <c r="B624" s="4">
        <v>23509566</v>
      </c>
      <c r="C624" s="5" t="s">
        <v>23</v>
      </c>
      <c r="D624" s="6" t="s">
        <v>917</v>
      </c>
      <c r="E624" s="6" t="s">
        <v>25</v>
      </c>
      <c r="F624" s="11">
        <v>46165</v>
      </c>
      <c r="G624" s="6" t="s">
        <v>1079</v>
      </c>
      <c r="H624" s="7" t="s">
        <v>26</v>
      </c>
      <c r="I624" s="7" t="s">
        <v>919</v>
      </c>
      <c r="J624" s="7" t="s">
        <v>910</v>
      </c>
      <c r="K624" s="7" t="s">
        <v>29</v>
      </c>
      <c r="L624" s="3" t="str">
        <f>E624&amp;D624</f>
        <v>E.SP.IPAEE_MAN_CONF_S_I_SINAL L UNIFO CONT_0030</v>
      </c>
      <c r="M624" s="3" t="str">
        <f>IFERROR(MID(D624,SEARCH("S_I_",D624,1),3),"")</f>
        <v>S_I</v>
      </c>
      <c r="N624" s="3" t="str">
        <f>IFERROR(MID(D624,SEARCH("C_I_",D624,1),3),"")</f>
        <v/>
      </c>
      <c r="O624" s="3" t="str">
        <f>IF(AND(M624="",N624=""),"Extra","")</f>
        <v/>
      </c>
      <c r="P624" s="3" t="str">
        <f>IF(Q624=0,"TERCEIRO","MRS")</f>
        <v>MRS</v>
      </c>
      <c r="Q624" s="8" t="str">
        <f>IFERROR(VLOOKUP(L624,#REF!,4,0),"0,00")</f>
        <v>0,00</v>
      </c>
      <c r="R624" s="9" t="s">
        <v>42</v>
      </c>
      <c r="S624" s="9">
        <f>COUNTIF(D624,"*_SEG_*")</f>
        <v>0</v>
      </c>
      <c r="T624" s="9">
        <f>COUNTIF(D624,"*_MAN_*")</f>
        <v>1</v>
      </c>
      <c r="U624" s="9">
        <f>(RIGHT(D624,4))*1</f>
        <v>30</v>
      </c>
      <c r="V624" s="9" t="str">
        <f>IFERROR(VLOOKUP(I624,#REF!,2,0),"Sinalização")</f>
        <v>Sinalização</v>
      </c>
    </row>
    <row r="625" spans="1:22" x14ac:dyDescent="0.25">
      <c r="A625" s="3" t="s">
        <v>22</v>
      </c>
      <c r="B625" s="4">
        <v>23509567</v>
      </c>
      <c r="C625" s="5" t="s">
        <v>23</v>
      </c>
      <c r="D625" s="6" t="s">
        <v>917</v>
      </c>
      <c r="E625" s="6" t="s">
        <v>25</v>
      </c>
      <c r="F625" s="11">
        <v>46165</v>
      </c>
      <c r="G625" s="6" t="s">
        <v>1079</v>
      </c>
      <c r="H625" s="7" t="s">
        <v>32</v>
      </c>
      <c r="I625" s="7" t="s">
        <v>227</v>
      </c>
      <c r="J625" s="7" t="s">
        <v>910</v>
      </c>
      <c r="K625" s="7" t="s">
        <v>29</v>
      </c>
      <c r="L625" s="3" t="str">
        <f>E625&amp;D625</f>
        <v>E.SP.IPAEE_MAN_CONF_S_I_SINAL L UNIFO CONT_0030</v>
      </c>
      <c r="M625" s="3" t="str">
        <f>IFERROR(MID(D625,SEARCH("S_I_",D625,1),3),"")</f>
        <v>S_I</v>
      </c>
      <c r="N625" s="3" t="str">
        <f>IFERROR(MID(D625,SEARCH("C_I_",D625,1),3),"")</f>
        <v/>
      </c>
      <c r="O625" s="3" t="str">
        <f>IF(AND(M625="",N625=""),"Extra","")</f>
        <v/>
      </c>
      <c r="P625" s="3" t="str">
        <f>IF(Q625=0,"TERCEIRO","MRS")</f>
        <v>MRS</v>
      </c>
      <c r="Q625" s="8" t="str">
        <f>IFERROR(VLOOKUP(L625,#REF!,4,0),"0,00")</f>
        <v>0,00</v>
      </c>
      <c r="R625" s="9" t="s">
        <v>42</v>
      </c>
      <c r="S625" s="9">
        <f>COUNTIF(D625,"*_SEG_*")</f>
        <v>0</v>
      </c>
      <c r="T625" s="9">
        <f>COUNTIF(D625,"*_MAN_*")</f>
        <v>1</v>
      </c>
      <c r="U625" s="9">
        <f>(RIGHT(D625,4))*1</f>
        <v>30</v>
      </c>
      <c r="V625" s="9" t="str">
        <f>IFERROR(VLOOKUP(I625,#REF!,2,0),"Sinalização")</f>
        <v>Sinalização</v>
      </c>
    </row>
    <row r="626" spans="1:22" x14ac:dyDescent="0.25">
      <c r="A626" s="3" t="s">
        <v>22</v>
      </c>
      <c r="B626" s="4">
        <v>23509568</v>
      </c>
      <c r="C626" s="5" t="s">
        <v>23</v>
      </c>
      <c r="D626" s="6" t="s">
        <v>917</v>
      </c>
      <c r="E626" s="6" t="s">
        <v>25</v>
      </c>
      <c r="F626" s="11">
        <v>46165</v>
      </c>
      <c r="G626" s="6" t="s">
        <v>1079</v>
      </c>
      <c r="H626" s="7" t="s">
        <v>32</v>
      </c>
      <c r="I626" s="7" t="s">
        <v>746</v>
      </c>
      <c r="J626" s="7" t="s">
        <v>910</v>
      </c>
      <c r="K626" s="7" t="s">
        <v>29</v>
      </c>
      <c r="L626" s="3" t="str">
        <f>E626&amp;D626</f>
        <v>E.SP.IPAEE_MAN_CONF_S_I_SINAL L UNIFO CONT_0030</v>
      </c>
      <c r="M626" s="3" t="str">
        <f>IFERROR(MID(D626,SEARCH("S_I_",D626,1),3),"")</f>
        <v>S_I</v>
      </c>
      <c r="N626" s="3" t="str">
        <f>IFERROR(MID(D626,SEARCH("C_I_",D626,1),3),"")</f>
        <v/>
      </c>
      <c r="O626" s="3" t="str">
        <f>IF(AND(M626="",N626=""),"Extra","")</f>
        <v/>
      </c>
      <c r="P626" s="3" t="str">
        <f>IF(Q626=0,"TERCEIRO","MRS")</f>
        <v>MRS</v>
      </c>
      <c r="Q626" s="8" t="str">
        <f>IFERROR(VLOOKUP(L626,#REF!,4,0),"0,00")</f>
        <v>0,00</v>
      </c>
      <c r="R626" s="9" t="s">
        <v>42</v>
      </c>
      <c r="S626" s="9">
        <f>COUNTIF(D626,"*_SEG_*")</f>
        <v>0</v>
      </c>
      <c r="T626" s="9">
        <f>COUNTIF(D626,"*_MAN_*")</f>
        <v>1</v>
      </c>
      <c r="U626" s="9">
        <f>(RIGHT(D626,4))*1</f>
        <v>30</v>
      </c>
      <c r="V626" s="9" t="str">
        <f>IFERROR(VLOOKUP(I626,#REF!,2,0),"Sinalização")</f>
        <v>Sinalização</v>
      </c>
    </row>
    <row r="627" spans="1:22" x14ac:dyDescent="0.25">
      <c r="A627" s="3" t="s">
        <v>22</v>
      </c>
      <c r="B627" s="4">
        <v>23509569</v>
      </c>
      <c r="C627" s="5" t="s">
        <v>23</v>
      </c>
      <c r="D627" s="6" t="s">
        <v>917</v>
      </c>
      <c r="E627" s="6" t="s">
        <v>25</v>
      </c>
      <c r="F627" s="11">
        <v>46165</v>
      </c>
      <c r="G627" s="6" t="s">
        <v>1079</v>
      </c>
      <c r="H627" s="7" t="s">
        <v>26</v>
      </c>
      <c r="I627" s="7" t="s">
        <v>744</v>
      </c>
      <c r="J627" s="7" t="s">
        <v>910</v>
      </c>
      <c r="K627" s="7" t="s">
        <v>29</v>
      </c>
      <c r="L627" s="3" t="str">
        <f>E627&amp;D627</f>
        <v>E.SP.IPAEE_MAN_CONF_S_I_SINAL L UNIFO CONT_0030</v>
      </c>
      <c r="M627" s="3" t="str">
        <f>IFERROR(MID(D627,SEARCH("S_I_",D627,1),3),"")</f>
        <v>S_I</v>
      </c>
      <c r="N627" s="3" t="str">
        <f>IFERROR(MID(D627,SEARCH("C_I_",D627,1),3),"")</f>
        <v/>
      </c>
      <c r="O627" s="3" t="str">
        <f>IF(AND(M627="",N627=""),"Extra","")</f>
        <v/>
      </c>
      <c r="P627" s="3" t="str">
        <f>IF(Q627=0,"TERCEIRO","MRS")</f>
        <v>MRS</v>
      </c>
      <c r="Q627" s="8" t="str">
        <f>IFERROR(VLOOKUP(L627,#REF!,4,0),"0,00")</f>
        <v>0,00</v>
      </c>
      <c r="R627" s="9" t="s">
        <v>42</v>
      </c>
      <c r="S627" s="9">
        <f>COUNTIF(D627,"*_SEG_*")</f>
        <v>0</v>
      </c>
      <c r="T627" s="9">
        <f>COUNTIF(D627,"*_MAN_*")</f>
        <v>1</v>
      </c>
      <c r="U627" s="9">
        <f>(RIGHT(D627,4))*1</f>
        <v>30</v>
      </c>
      <c r="V627" s="9" t="str">
        <f>IFERROR(VLOOKUP(I627,#REF!,2,0),"Sinalização")</f>
        <v>Sinalização</v>
      </c>
    </row>
    <row r="628" spans="1:22" x14ac:dyDescent="0.25">
      <c r="A628" s="3" t="s">
        <v>22</v>
      </c>
      <c r="B628" s="4">
        <v>23509570</v>
      </c>
      <c r="C628" s="5" t="s">
        <v>23</v>
      </c>
      <c r="D628" s="6" t="s">
        <v>917</v>
      </c>
      <c r="E628" s="6" t="s">
        <v>25</v>
      </c>
      <c r="F628" s="11">
        <v>46165</v>
      </c>
      <c r="G628" s="6" t="s">
        <v>1079</v>
      </c>
      <c r="H628" s="7" t="s">
        <v>26</v>
      </c>
      <c r="I628" s="7" t="s">
        <v>745</v>
      </c>
      <c r="J628" s="7" t="s">
        <v>910</v>
      </c>
      <c r="K628" s="7" t="s">
        <v>29</v>
      </c>
      <c r="L628" s="3" t="str">
        <f>E628&amp;D628</f>
        <v>E.SP.IPAEE_MAN_CONF_S_I_SINAL L UNIFO CONT_0030</v>
      </c>
      <c r="M628" s="3" t="str">
        <f>IFERROR(MID(D628,SEARCH("S_I_",D628,1),3),"")</f>
        <v>S_I</v>
      </c>
      <c r="N628" s="3" t="str">
        <f>IFERROR(MID(D628,SEARCH("C_I_",D628,1),3),"")</f>
        <v/>
      </c>
      <c r="O628" s="3" t="str">
        <f>IF(AND(M628="",N628=""),"Extra","")</f>
        <v/>
      </c>
      <c r="P628" s="3" t="str">
        <f>IF(Q628=0,"TERCEIRO","MRS")</f>
        <v>MRS</v>
      </c>
      <c r="Q628" s="8" t="str">
        <f>IFERROR(VLOOKUP(L628,#REF!,4,0),"0,00")</f>
        <v>0,00</v>
      </c>
      <c r="R628" s="9" t="s">
        <v>42</v>
      </c>
      <c r="S628" s="9">
        <f>COUNTIF(D628,"*_SEG_*")</f>
        <v>0</v>
      </c>
      <c r="T628" s="9">
        <f>COUNTIF(D628,"*_MAN_*")</f>
        <v>1</v>
      </c>
      <c r="U628" s="9">
        <f>(RIGHT(D628,4))*1</f>
        <v>30</v>
      </c>
      <c r="V628" s="9" t="str">
        <f>IFERROR(VLOOKUP(I628,#REF!,2,0),"Sinalização")</f>
        <v>Sinalização</v>
      </c>
    </row>
    <row r="629" spans="1:22" x14ac:dyDescent="0.25">
      <c r="A629" s="3" t="s">
        <v>22</v>
      </c>
      <c r="B629" s="4">
        <v>23509571</v>
      </c>
      <c r="C629" s="5" t="s">
        <v>23</v>
      </c>
      <c r="D629" s="6" t="s">
        <v>917</v>
      </c>
      <c r="E629" s="6" t="s">
        <v>25</v>
      </c>
      <c r="F629" s="11">
        <v>46165</v>
      </c>
      <c r="G629" s="6" t="s">
        <v>1079</v>
      </c>
      <c r="H629" s="7" t="s">
        <v>32</v>
      </c>
      <c r="I629" s="7" t="s">
        <v>420</v>
      </c>
      <c r="J629" s="7" t="s">
        <v>910</v>
      </c>
      <c r="K629" s="7" t="s">
        <v>29</v>
      </c>
      <c r="L629" s="3" t="str">
        <f>E629&amp;D629</f>
        <v>E.SP.IPAEE_MAN_CONF_S_I_SINAL L UNIFO CONT_0030</v>
      </c>
      <c r="M629" s="3" t="str">
        <f>IFERROR(MID(D629,SEARCH("S_I_",D629,1),3),"")</f>
        <v>S_I</v>
      </c>
      <c r="N629" s="3" t="str">
        <f>IFERROR(MID(D629,SEARCH("C_I_",D629,1),3),"")</f>
        <v/>
      </c>
      <c r="O629" s="3" t="str">
        <f>IF(AND(M629="",N629=""),"Extra","")</f>
        <v/>
      </c>
      <c r="P629" s="3" t="str">
        <f>IF(Q629=0,"TERCEIRO","MRS")</f>
        <v>MRS</v>
      </c>
      <c r="Q629" s="8" t="str">
        <f>IFERROR(VLOOKUP(L629,#REF!,4,0),"0,00")</f>
        <v>0,00</v>
      </c>
      <c r="R629" s="9" t="s">
        <v>42</v>
      </c>
      <c r="S629" s="9">
        <f>COUNTIF(D629,"*_SEG_*")</f>
        <v>0</v>
      </c>
      <c r="T629" s="9">
        <f>COUNTIF(D629,"*_MAN_*")</f>
        <v>1</v>
      </c>
      <c r="U629" s="9">
        <f>(RIGHT(D629,4))*1</f>
        <v>30</v>
      </c>
      <c r="V629" s="9" t="str">
        <f>IFERROR(VLOOKUP(I629,#REF!,2,0),"Sinalização")</f>
        <v>Sinalização</v>
      </c>
    </row>
    <row r="630" spans="1:22" x14ac:dyDescent="0.25">
      <c r="A630" s="3" t="s">
        <v>22</v>
      </c>
      <c r="B630" s="4">
        <v>23509572</v>
      </c>
      <c r="C630" s="5" t="s">
        <v>23</v>
      </c>
      <c r="D630" s="6" t="s">
        <v>917</v>
      </c>
      <c r="E630" s="6" t="s">
        <v>25</v>
      </c>
      <c r="F630" s="11">
        <v>46165</v>
      </c>
      <c r="G630" s="6" t="s">
        <v>1079</v>
      </c>
      <c r="H630" s="7" t="s">
        <v>32</v>
      </c>
      <c r="I630" s="7" t="s">
        <v>422</v>
      </c>
      <c r="J630" s="7" t="s">
        <v>910</v>
      </c>
      <c r="K630" s="7" t="s">
        <v>29</v>
      </c>
      <c r="L630" s="3" t="str">
        <f>E630&amp;D630</f>
        <v>E.SP.IPAEE_MAN_CONF_S_I_SINAL L UNIFO CONT_0030</v>
      </c>
      <c r="M630" s="3" t="str">
        <f>IFERROR(MID(D630,SEARCH("S_I_",D630,1),3),"")</f>
        <v>S_I</v>
      </c>
      <c r="N630" s="3" t="str">
        <f>IFERROR(MID(D630,SEARCH("C_I_",D630,1),3),"")</f>
        <v/>
      </c>
      <c r="O630" s="3" t="str">
        <f>IF(AND(M630="",N630=""),"Extra","")</f>
        <v/>
      </c>
      <c r="P630" s="3" t="str">
        <f>IF(Q630=0,"TERCEIRO","MRS")</f>
        <v>MRS</v>
      </c>
      <c r="Q630" s="8" t="str">
        <f>IFERROR(VLOOKUP(L630,#REF!,4,0),"0,00")</f>
        <v>0,00</v>
      </c>
      <c r="R630" s="9" t="s">
        <v>42</v>
      </c>
      <c r="S630" s="9">
        <f>COUNTIF(D630,"*_SEG_*")</f>
        <v>0</v>
      </c>
      <c r="T630" s="9">
        <f>COUNTIF(D630,"*_MAN_*")</f>
        <v>1</v>
      </c>
      <c r="U630" s="9">
        <f>(RIGHT(D630,4))*1</f>
        <v>30</v>
      </c>
      <c r="V630" s="9" t="str">
        <f>IFERROR(VLOOKUP(I630,#REF!,2,0),"Sinalização")</f>
        <v>Sinalização</v>
      </c>
    </row>
    <row r="631" spans="1:22" x14ac:dyDescent="0.25">
      <c r="A631" s="3" t="s">
        <v>22</v>
      </c>
      <c r="B631" s="4">
        <v>23509573</v>
      </c>
      <c r="C631" s="5" t="s">
        <v>23</v>
      </c>
      <c r="D631" s="6" t="s">
        <v>917</v>
      </c>
      <c r="E631" s="6" t="s">
        <v>25</v>
      </c>
      <c r="F631" s="11">
        <v>46165</v>
      </c>
      <c r="G631" s="6" t="s">
        <v>1079</v>
      </c>
      <c r="H631" s="7" t="s">
        <v>26</v>
      </c>
      <c r="I631" s="7" t="s">
        <v>424</v>
      </c>
      <c r="J631" s="7" t="s">
        <v>910</v>
      </c>
      <c r="K631" s="7" t="s">
        <v>29</v>
      </c>
      <c r="L631" s="3" t="str">
        <f>E631&amp;D631</f>
        <v>E.SP.IPAEE_MAN_CONF_S_I_SINAL L UNIFO CONT_0030</v>
      </c>
      <c r="M631" s="3" t="str">
        <f>IFERROR(MID(D631,SEARCH("S_I_",D631,1),3),"")</f>
        <v>S_I</v>
      </c>
      <c r="N631" s="3" t="str">
        <f>IFERROR(MID(D631,SEARCH("C_I_",D631,1),3),"")</f>
        <v/>
      </c>
      <c r="O631" s="3" t="str">
        <f>IF(AND(M631="",N631=""),"Extra","")</f>
        <v/>
      </c>
      <c r="P631" s="3" t="str">
        <f>IF(Q631=0,"TERCEIRO","MRS")</f>
        <v>MRS</v>
      </c>
      <c r="Q631" s="8" t="str">
        <f>IFERROR(VLOOKUP(L631,#REF!,4,0),"0,00")</f>
        <v>0,00</v>
      </c>
      <c r="R631" s="9" t="s">
        <v>42</v>
      </c>
      <c r="S631" s="9">
        <f>COUNTIF(D631,"*_SEG_*")</f>
        <v>0</v>
      </c>
      <c r="T631" s="9">
        <f>COUNTIF(D631,"*_MAN_*")</f>
        <v>1</v>
      </c>
      <c r="U631" s="9">
        <f>(RIGHT(D631,4))*1</f>
        <v>30</v>
      </c>
      <c r="V631" s="9" t="str">
        <f>IFERROR(VLOOKUP(I631,#REF!,2,0),"Sinalização")</f>
        <v>Sinalização</v>
      </c>
    </row>
    <row r="632" spans="1:22" x14ac:dyDescent="0.25">
      <c r="A632" s="3" t="s">
        <v>22</v>
      </c>
      <c r="B632" s="4">
        <v>23509574</v>
      </c>
      <c r="C632" s="5" t="s">
        <v>23</v>
      </c>
      <c r="D632" s="6" t="s">
        <v>917</v>
      </c>
      <c r="E632" s="6" t="s">
        <v>25</v>
      </c>
      <c r="F632" s="11">
        <v>46165</v>
      </c>
      <c r="G632" s="6" t="s">
        <v>1079</v>
      </c>
      <c r="H632" s="7" t="s">
        <v>26</v>
      </c>
      <c r="I632" s="7" t="s">
        <v>798</v>
      </c>
      <c r="J632" s="7" t="s">
        <v>910</v>
      </c>
      <c r="K632" s="7" t="s">
        <v>29</v>
      </c>
      <c r="L632" s="3" t="str">
        <f>E632&amp;D632</f>
        <v>E.SP.IPAEE_MAN_CONF_S_I_SINAL L UNIFO CONT_0030</v>
      </c>
      <c r="M632" s="3" t="str">
        <f>IFERROR(MID(D632,SEARCH("S_I_",D632,1),3),"")</f>
        <v>S_I</v>
      </c>
      <c r="N632" s="3" t="str">
        <f>IFERROR(MID(D632,SEARCH("C_I_",D632,1),3),"")</f>
        <v/>
      </c>
      <c r="O632" s="3" t="str">
        <f>IF(AND(M632="",N632=""),"Extra","")</f>
        <v/>
      </c>
      <c r="P632" s="3" t="str">
        <f>IF(Q632=0,"TERCEIRO","MRS")</f>
        <v>MRS</v>
      </c>
      <c r="Q632" s="8" t="str">
        <f>IFERROR(VLOOKUP(L632,#REF!,4,0),"0,00")</f>
        <v>0,00</v>
      </c>
      <c r="R632" s="9" t="s">
        <v>42</v>
      </c>
      <c r="S632" s="9">
        <f>COUNTIF(D632,"*_SEG_*")</f>
        <v>0</v>
      </c>
      <c r="T632" s="9">
        <f>COUNTIF(D632,"*_MAN_*")</f>
        <v>1</v>
      </c>
      <c r="U632" s="9">
        <f>(RIGHT(D632,4))*1</f>
        <v>30</v>
      </c>
      <c r="V632" s="9" t="str">
        <f>IFERROR(VLOOKUP(I632,#REF!,2,0),"Sinalização")</f>
        <v>Sinalização</v>
      </c>
    </row>
    <row r="633" spans="1:22" x14ac:dyDescent="0.25">
      <c r="A633" s="3" t="s">
        <v>22</v>
      </c>
      <c r="B633" s="4">
        <v>23509575</v>
      </c>
      <c r="C633" s="5" t="s">
        <v>23</v>
      </c>
      <c r="D633" s="6" t="s">
        <v>917</v>
      </c>
      <c r="E633" s="6" t="s">
        <v>25</v>
      </c>
      <c r="F633" s="11">
        <v>46165</v>
      </c>
      <c r="G633" s="6" t="s">
        <v>1079</v>
      </c>
      <c r="H633" s="7" t="s">
        <v>32</v>
      </c>
      <c r="I633" s="7" t="s">
        <v>423</v>
      </c>
      <c r="J633" s="7" t="s">
        <v>910</v>
      </c>
      <c r="K633" s="7" t="s">
        <v>29</v>
      </c>
      <c r="L633" s="3" t="str">
        <f>E633&amp;D633</f>
        <v>E.SP.IPAEE_MAN_CONF_S_I_SINAL L UNIFO CONT_0030</v>
      </c>
      <c r="M633" s="3" t="str">
        <f>IFERROR(MID(D633,SEARCH("S_I_",D633,1),3),"")</f>
        <v>S_I</v>
      </c>
      <c r="N633" s="3" t="str">
        <f>IFERROR(MID(D633,SEARCH("C_I_",D633,1),3),"")</f>
        <v/>
      </c>
      <c r="O633" s="3" t="str">
        <f>IF(AND(M633="",N633=""),"Extra","")</f>
        <v/>
      </c>
      <c r="P633" s="3" t="str">
        <f>IF(Q633=0,"TERCEIRO","MRS")</f>
        <v>MRS</v>
      </c>
      <c r="Q633" s="8" t="str">
        <f>IFERROR(VLOOKUP(L633,#REF!,4,0),"0,00")</f>
        <v>0,00</v>
      </c>
      <c r="R633" s="9" t="s">
        <v>42</v>
      </c>
      <c r="S633" s="9">
        <f>COUNTIF(D633,"*_SEG_*")</f>
        <v>0</v>
      </c>
      <c r="T633" s="9">
        <f>COUNTIF(D633,"*_MAN_*")</f>
        <v>1</v>
      </c>
      <c r="U633" s="9">
        <f>(RIGHT(D633,4))*1</f>
        <v>30</v>
      </c>
      <c r="V633" s="9" t="str">
        <f>IFERROR(VLOOKUP(I633,#REF!,2,0),"Sinalização")</f>
        <v>Sinalização</v>
      </c>
    </row>
    <row r="634" spans="1:22" x14ac:dyDescent="0.25">
      <c r="A634" s="3" t="s">
        <v>22</v>
      </c>
      <c r="B634" s="4">
        <v>23509576</v>
      </c>
      <c r="C634" s="5" t="s">
        <v>23</v>
      </c>
      <c r="D634" s="6" t="s">
        <v>917</v>
      </c>
      <c r="E634" s="6" t="s">
        <v>25</v>
      </c>
      <c r="F634" s="11">
        <v>46165</v>
      </c>
      <c r="G634" s="6" t="s">
        <v>1079</v>
      </c>
      <c r="H634" s="7" t="s">
        <v>32</v>
      </c>
      <c r="I634" s="7" t="s">
        <v>421</v>
      </c>
      <c r="J634" s="7" t="s">
        <v>910</v>
      </c>
      <c r="K634" s="7" t="s">
        <v>29</v>
      </c>
      <c r="L634" s="3" t="str">
        <f>E634&amp;D634</f>
        <v>E.SP.IPAEE_MAN_CONF_S_I_SINAL L UNIFO CONT_0030</v>
      </c>
      <c r="M634" s="3" t="str">
        <f>IFERROR(MID(D634,SEARCH("S_I_",D634,1),3),"")</f>
        <v>S_I</v>
      </c>
      <c r="N634" s="3" t="str">
        <f>IFERROR(MID(D634,SEARCH("C_I_",D634,1),3),"")</f>
        <v/>
      </c>
      <c r="O634" s="3" t="str">
        <f>IF(AND(M634="",N634=""),"Extra","")</f>
        <v/>
      </c>
      <c r="P634" s="3" t="str">
        <f>IF(Q634=0,"TERCEIRO","MRS")</f>
        <v>MRS</v>
      </c>
      <c r="Q634" s="8" t="str">
        <f>IFERROR(VLOOKUP(L634,#REF!,4,0),"0,00")</f>
        <v>0,00</v>
      </c>
      <c r="R634" s="9" t="s">
        <v>42</v>
      </c>
      <c r="S634" s="9">
        <f>COUNTIF(D634,"*_SEG_*")</f>
        <v>0</v>
      </c>
      <c r="T634" s="9">
        <f>COUNTIF(D634,"*_MAN_*")</f>
        <v>1</v>
      </c>
      <c r="U634" s="9">
        <f>(RIGHT(D634,4))*1</f>
        <v>30</v>
      </c>
      <c r="V634" s="9" t="str">
        <f>IFERROR(VLOOKUP(I634,#REF!,2,0),"Sinalização")</f>
        <v>Sinalização</v>
      </c>
    </row>
    <row r="635" spans="1:22" x14ac:dyDescent="0.25">
      <c r="A635" s="3" t="s">
        <v>22</v>
      </c>
      <c r="B635" s="4">
        <v>23509577</v>
      </c>
      <c r="C635" s="5" t="s">
        <v>23</v>
      </c>
      <c r="D635" s="6" t="s">
        <v>917</v>
      </c>
      <c r="E635" s="6" t="s">
        <v>25</v>
      </c>
      <c r="F635" s="11">
        <v>46165</v>
      </c>
      <c r="G635" s="6" t="s">
        <v>1079</v>
      </c>
      <c r="H635" s="7" t="s">
        <v>26</v>
      </c>
      <c r="I635" s="7" t="s">
        <v>78</v>
      </c>
      <c r="J635" s="7" t="s">
        <v>910</v>
      </c>
      <c r="K635" s="7" t="s">
        <v>29</v>
      </c>
      <c r="L635" s="3" t="str">
        <f>E635&amp;D635</f>
        <v>E.SP.IPAEE_MAN_CONF_S_I_SINAL L UNIFO CONT_0030</v>
      </c>
      <c r="M635" s="3" t="str">
        <f>IFERROR(MID(D635,SEARCH("S_I_",D635,1),3),"")</f>
        <v>S_I</v>
      </c>
      <c r="N635" s="3" t="str">
        <f>IFERROR(MID(D635,SEARCH("C_I_",D635,1),3),"")</f>
        <v/>
      </c>
      <c r="O635" s="3" t="str">
        <f>IF(AND(M635="",N635=""),"Extra","")</f>
        <v/>
      </c>
      <c r="P635" s="3" t="str">
        <f>IF(Q635=0,"TERCEIRO","MRS")</f>
        <v>MRS</v>
      </c>
      <c r="Q635" s="8" t="str">
        <f>IFERROR(VLOOKUP(L635,#REF!,4,0),"0,00")</f>
        <v>0,00</v>
      </c>
      <c r="R635" s="9" t="s">
        <v>42</v>
      </c>
      <c r="S635" s="9">
        <f>COUNTIF(D635,"*_SEG_*")</f>
        <v>0</v>
      </c>
      <c r="T635" s="9">
        <f>COUNTIF(D635,"*_MAN_*")</f>
        <v>1</v>
      </c>
      <c r="U635" s="9">
        <f>(RIGHT(D635,4))*1</f>
        <v>30</v>
      </c>
      <c r="V635" s="9" t="str">
        <f>IFERROR(VLOOKUP(I635,#REF!,2,0),"Sinalização")</f>
        <v>Sinalização</v>
      </c>
    </row>
    <row r="636" spans="1:22" x14ac:dyDescent="0.25">
      <c r="A636" s="3" t="s">
        <v>22</v>
      </c>
      <c r="B636" s="4">
        <v>23509578</v>
      </c>
      <c r="C636" s="5" t="s">
        <v>23</v>
      </c>
      <c r="D636" s="6" t="s">
        <v>917</v>
      </c>
      <c r="E636" s="6" t="s">
        <v>25</v>
      </c>
      <c r="F636" s="11">
        <v>46165</v>
      </c>
      <c r="G636" s="6" t="s">
        <v>1079</v>
      </c>
      <c r="H636" s="7" t="s">
        <v>26</v>
      </c>
      <c r="I636" s="7" t="s">
        <v>391</v>
      </c>
      <c r="J636" s="7" t="s">
        <v>910</v>
      </c>
      <c r="K636" s="7" t="s">
        <v>29</v>
      </c>
      <c r="L636" s="3" t="str">
        <f>E636&amp;D636</f>
        <v>E.SP.IPAEE_MAN_CONF_S_I_SINAL L UNIFO CONT_0030</v>
      </c>
      <c r="M636" s="3" t="str">
        <f>IFERROR(MID(D636,SEARCH("S_I_",D636,1),3),"")</f>
        <v>S_I</v>
      </c>
      <c r="N636" s="3" t="str">
        <f>IFERROR(MID(D636,SEARCH("C_I_",D636,1),3),"")</f>
        <v/>
      </c>
      <c r="O636" s="3" t="str">
        <f>IF(AND(M636="",N636=""),"Extra","")</f>
        <v/>
      </c>
      <c r="P636" s="3" t="str">
        <f>IF(Q636=0,"TERCEIRO","MRS")</f>
        <v>MRS</v>
      </c>
      <c r="Q636" s="8" t="str">
        <f>IFERROR(VLOOKUP(L636,#REF!,4,0),"0,00")</f>
        <v>0,00</v>
      </c>
      <c r="R636" s="9" t="s">
        <v>42</v>
      </c>
      <c r="S636" s="9">
        <f>COUNTIF(D636,"*_SEG_*")</f>
        <v>0</v>
      </c>
      <c r="T636" s="9">
        <f>COUNTIF(D636,"*_MAN_*")</f>
        <v>1</v>
      </c>
      <c r="U636" s="9">
        <f>(RIGHT(D636,4))*1</f>
        <v>30</v>
      </c>
      <c r="V636" s="9" t="str">
        <f>IFERROR(VLOOKUP(I636,#REF!,2,0),"Sinalização")</f>
        <v>Sinalização</v>
      </c>
    </row>
    <row r="637" spans="1:22" x14ac:dyDescent="0.25">
      <c r="A637" s="3" t="s">
        <v>22</v>
      </c>
      <c r="B637" s="4">
        <v>23509579</v>
      </c>
      <c r="C637" s="5" t="s">
        <v>23</v>
      </c>
      <c r="D637" s="6" t="s">
        <v>917</v>
      </c>
      <c r="E637" s="6" t="s">
        <v>25</v>
      </c>
      <c r="F637" s="11">
        <v>46165</v>
      </c>
      <c r="G637" s="6" t="s">
        <v>1079</v>
      </c>
      <c r="H637" s="7" t="s">
        <v>32</v>
      </c>
      <c r="I637" s="7" t="s">
        <v>392</v>
      </c>
      <c r="J637" s="7" t="s">
        <v>910</v>
      </c>
      <c r="K637" s="7" t="s">
        <v>29</v>
      </c>
      <c r="L637" s="3" t="str">
        <f>E637&amp;D637</f>
        <v>E.SP.IPAEE_MAN_CONF_S_I_SINAL L UNIFO CONT_0030</v>
      </c>
      <c r="M637" s="3" t="str">
        <f>IFERROR(MID(D637,SEARCH("S_I_",D637,1),3),"")</f>
        <v>S_I</v>
      </c>
      <c r="N637" s="3" t="str">
        <f>IFERROR(MID(D637,SEARCH("C_I_",D637,1),3),"")</f>
        <v/>
      </c>
      <c r="O637" s="3" t="str">
        <f>IF(AND(M637="",N637=""),"Extra","")</f>
        <v/>
      </c>
      <c r="P637" s="3" t="str">
        <f>IF(Q637=0,"TERCEIRO","MRS")</f>
        <v>MRS</v>
      </c>
      <c r="Q637" s="8" t="str">
        <f>IFERROR(VLOOKUP(L637,#REF!,4,0),"0,00")</f>
        <v>0,00</v>
      </c>
      <c r="R637" s="9" t="s">
        <v>42</v>
      </c>
      <c r="S637" s="9">
        <f>COUNTIF(D637,"*_SEG_*")</f>
        <v>0</v>
      </c>
      <c r="T637" s="9">
        <f>COUNTIF(D637,"*_MAN_*")</f>
        <v>1</v>
      </c>
      <c r="U637" s="9">
        <f>(RIGHT(D637,4))*1</f>
        <v>30</v>
      </c>
      <c r="V637" s="9" t="str">
        <f>IFERROR(VLOOKUP(I637,#REF!,2,0),"Sinalização")</f>
        <v>Sinalização</v>
      </c>
    </row>
    <row r="638" spans="1:22" x14ac:dyDescent="0.25">
      <c r="A638" s="3" t="s">
        <v>22</v>
      </c>
      <c r="B638" s="4">
        <v>23509580</v>
      </c>
      <c r="C638" s="5" t="s">
        <v>23</v>
      </c>
      <c r="D638" s="6" t="s">
        <v>917</v>
      </c>
      <c r="E638" s="6" t="s">
        <v>25</v>
      </c>
      <c r="F638" s="11">
        <v>46165</v>
      </c>
      <c r="G638" s="6" t="s">
        <v>1079</v>
      </c>
      <c r="H638" s="7" t="s">
        <v>32</v>
      </c>
      <c r="I638" s="7" t="s">
        <v>393</v>
      </c>
      <c r="J638" s="7" t="s">
        <v>910</v>
      </c>
      <c r="K638" s="7" t="s">
        <v>29</v>
      </c>
      <c r="L638" s="3" t="str">
        <f>E638&amp;D638</f>
        <v>E.SP.IPAEE_MAN_CONF_S_I_SINAL L UNIFO CONT_0030</v>
      </c>
      <c r="M638" s="3" t="str">
        <f>IFERROR(MID(D638,SEARCH("S_I_",D638,1),3),"")</f>
        <v>S_I</v>
      </c>
      <c r="N638" s="3" t="str">
        <f>IFERROR(MID(D638,SEARCH("C_I_",D638,1),3),"")</f>
        <v/>
      </c>
      <c r="O638" s="3" t="str">
        <f>IF(AND(M638="",N638=""),"Extra","")</f>
        <v/>
      </c>
      <c r="P638" s="3" t="str">
        <f>IF(Q638=0,"TERCEIRO","MRS")</f>
        <v>MRS</v>
      </c>
      <c r="Q638" s="8" t="str">
        <f>IFERROR(VLOOKUP(L638,#REF!,4,0),"0,00")</f>
        <v>0,00</v>
      </c>
      <c r="R638" s="9" t="s">
        <v>42</v>
      </c>
      <c r="S638" s="9">
        <f>COUNTIF(D638,"*_SEG_*")</f>
        <v>0</v>
      </c>
      <c r="T638" s="9">
        <f>COUNTIF(D638,"*_MAN_*")</f>
        <v>1</v>
      </c>
      <c r="U638" s="9">
        <f>(RIGHT(D638,4))*1</f>
        <v>30</v>
      </c>
      <c r="V638" s="9" t="str">
        <f>IFERROR(VLOOKUP(I638,#REF!,2,0),"Sinalização")</f>
        <v>Sinalização</v>
      </c>
    </row>
    <row r="639" spans="1:22" x14ac:dyDescent="0.25">
      <c r="A639" s="3" t="s">
        <v>22</v>
      </c>
      <c r="B639" s="4">
        <v>23509581</v>
      </c>
      <c r="C639" s="5" t="s">
        <v>23</v>
      </c>
      <c r="D639" s="6" t="s">
        <v>917</v>
      </c>
      <c r="E639" s="6" t="s">
        <v>25</v>
      </c>
      <c r="F639" s="11">
        <v>46165</v>
      </c>
      <c r="G639" s="6" t="s">
        <v>1079</v>
      </c>
      <c r="H639" s="7" t="s">
        <v>26</v>
      </c>
      <c r="I639" s="7" t="s">
        <v>394</v>
      </c>
      <c r="J639" s="7" t="s">
        <v>910</v>
      </c>
      <c r="K639" s="7" t="s">
        <v>29</v>
      </c>
      <c r="L639" s="3" t="str">
        <f>E639&amp;D639</f>
        <v>E.SP.IPAEE_MAN_CONF_S_I_SINAL L UNIFO CONT_0030</v>
      </c>
      <c r="M639" s="3" t="str">
        <f>IFERROR(MID(D639,SEARCH("S_I_",D639,1),3),"")</f>
        <v>S_I</v>
      </c>
      <c r="N639" s="3" t="str">
        <f>IFERROR(MID(D639,SEARCH("C_I_",D639,1),3),"")</f>
        <v/>
      </c>
      <c r="O639" s="3" t="str">
        <f>IF(AND(M639="",N639=""),"Extra","")</f>
        <v/>
      </c>
      <c r="P639" s="3" t="str">
        <f>IF(Q639=0,"TERCEIRO","MRS")</f>
        <v>MRS</v>
      </c>
      <c r="Q639" s="8" t="str">
        <f>IFERROR(VLOOKUP(L639,#REF!,4,0),"0,00")</f>
        <v>0,00</v>
      </c>
      <c r="R639" s="9" t="s">
        <v>42</v>
      </c>
      <c r="S639" s="9">
        <f>COUNTIF(D639,"*_SEG_*")</f>
        <v>0</v>
      </c>
      <c r="T639" s="9">
        <f>COUNTIF(D639,"*_MAN_*")</f>
        <v>1</v>
      </c>
      <c r="U639" s="9">
        <f>(RIGHT(D639,4))*1</f>
        <v>30</v>
      </c>
      <c r="V639" s="9" t="str">
        <f>IFERROR(VLOOKUP(I639,#REF!,2,0),"Sinalização")</f>
        <v>Sinalização</v>
      </c>
    </row>
    <row r="640" spans="1:22" x14ac:dyDescent="0.25">
      <c r="A640" s="3" t="s">
        <v>22</v>
      </c>
      <c r="B640" s="4">
        <v>23509582</v>
      </c>
      <c r="C640" s="5" t="s">
        <v>23</v>
      </c>
      <c r="D640" s="6" t="s">
        <v>917</v>
      </c>
      <c r="E640" s="6" t="s">
        <v>25</v>
      </c>
      <c r="F640" s="11">
        <v>46165</v>
      </c>
      <c r="G640" s="6" t="s">
        <v>1079</v>
      </c>
      <c r="H640" s="7" t="s">
        <v>26</v>
      </c>
      <c r="I640" s="7" t="s">
        <v>395</v>
      </c>
      <c r="J640" s="7" t="s">
        <v>910</v>
      </c>
      <c r="K640" s="7" t="s">
        <v>29</v>
      </c>
      <c r="L640" s="3" t="str">
        <f>E640&amp;D640</f>
        <v>E.SP.IPAEE_MAN_CONF_S_I_SINAL L UNIFO CONT_0030</v>
      </c>
      <c r="M640" s="3" t="str">
        <f>IFERROR(MID(D640,SEARCH("S_I_",D640,1),3),"")</f>
        <v>S_I</v>
      </c>
      <c r="N640" s="3" t="str">
        <f>IFERROR(MID(D640,SEARCH("C_I_",D640,1),3),"")</f>
        <v/>
      </c>
      <c r="O640" s="3" t="str">
        <f>IF(AND(M640="",N640=""),"Extra","")</f>
        <v/>
      </c>
      <c r="P640" s="3" t="str">
        <f>IF(Q640=0,"TERCEIRO","MRS")</f>
        <v>MRS</v>
      </c>
      <c r="Q640" s="8" t="str">
        <f>IFERROR(VLOOKUP(L640,#REF!,4,0),"0,00")</f>
        <v>0,00</v>
      </c>
      <c r="R640" s="9" t="s">
        <v>42</v>
      </c>
      <c r="S640" s="9">
        <f>COUNTIF(D640,"*_SEG_*")</f>
        <v>0</v>
      </c>
      <c r="T640" s="9">
        <f>COUNTIF(D640,"*_MAN_*")</f>
        <v>1</v>
      </c>
      <c r="U640" s="9">
        <f>(RIGHT(D640,4))*1</f>
        <v>30</v>
      </c>
      <c r="V640" s="9" t="str">
        <f>IFERROR(VLOOKUP(I640,#REF!,2,0),"Sinalização")</f>
        <v>Sinalização</v>
      </c>
    </row>
    <row r="641" spans="1:22" x14ac:dyDescent="0.25">
      <c r="A641" s="3" t="s">
        <v>22</v>
      </c>
      <c r="B641" s="4">
        <v>23509583</v>
      </c>
      <c r="C641" s="5" t="s">
        <v>23</v>
      </c>
      <c r="D641" s="6" t="s">
        <v>917</v>
      </c>
      <c r="E641" s="6" t="s">
        <v>25</v>
      </c>
      <c r="F641" s="11">
        <v>46165</v>
      </c>
      <c r="G641" s="6" t="s">
        <v>1079</v>
      </c>
      <c r="H641" s="7" t="s">
        <v>32</v>
      </c>
      <c r="I641" s="7" t="s">
        <v>163</v>
      </c>
      <c r="J641" s="7" t="s">
        <v>910</v>
      </c>
      <c r="K641" s="7" t="s">
        <v>29</v>
      </c>
      <c r="L641" s="3" t="str">
        <f>E641&amp;D641</f>
        <v>E.SP.IPAEE_MAN_CONF_S_I_SINAL L UNIFO CONT_0030</v>
      </c>
      <c r="M641" s="3" t="str">
        <f>IFERROR(MID(D641,SEARCH("S_I_",D641,1),3),"")</f>
        <v>S_I</v>
      </c>
      <c r="N641" s="3" t="str">
        <f>IFERROR(MID(D641,SEARCH("C_I_",D641,1),3),"")</f>
        <v/>
      </c>
      <c r="O641" s="3" t="str">
        <f>IF(AND(M641="",N641=""),"Extra","")</f>
        <v/>
      </c>
      <c r="P641" s="3" t="str">
        <f>IF(Q641=0,"TERCEIRO","MRS")</f>
        <v>MRS</v>
      </c>
      <c r="Q641" s="8" t="str">
        <f>IFERROR(VLOOKUP(L641,#REF!,4,0),"0,00")</f>
        <v>0,00</v>
      </c>
      <c r="R641" s="9" t="s">
        <v>42</v>
      </c>
      <c r="S641" s="9">
        <f>COUNTIF(D641,"*_SEG_*")</f>
        <v>0</v>
      </c>
      <c r="T641" s="9">
        <f>COUNTIF(D641,"*_MAN_*")</f>
        <v>1</v>
      </c>
      <c r="U641" s="9">
        <f>(RIGHT(D641,4))*1</f>
        <v>30</v>
      </c>
      <c r="V641" s="9" t="str">
        <f>IFERROR(VLOOKUP(I641,#REF!,2,0),"Sinalização")</f>
        <v>Sinalização</v>
      </c>
    </row>
    <row r="642" spans="1:22" x14ac:dyDescent="0.25">
      <c r="A642" s="3" t="s">
        <v>22</v>
      </c>
      <c r="B642" s="4">
        <v>23509584</v>
      </c>
      <c r="C642" s="5" t="s">
        <v>23</v>
      </c>
      <c r="D642" s="6" t="s">
        <v>917</v>
      </c>
      <c r="E642" s="6" t="s">
        <v>25</v>
      </c>
      <c r="F642" s="11">
        <v>46165</v>
      </c>
      <c r="G642" s="6" t="s">
        <v>1079</v>
      </c>
      <c r="H642" s="7" t="s">
        <v>32</v>
      </c>
      <c r="I642" s="7" t="s">
        <v>162</v>
      </c>
      <c r="J642" s="7" t="s">
        <v>910</v>
      </c>
      <c r="K642" s="7" t="s">
        <v>29</v>
      </c>
      <c r="L642" s="3" t="str">
        <f>E642&amp;D642</f>
        <v>E.SP.IPAEE_MAN_CONF_S_I_SINAL L UNIFO CONT_0030</v>
      </c>
      <c r="M642" s="3" t="str">
        <f>IFERROR(MID(D642,SEARCH("S_I_",D642,1),3),"")</f>
        <v>S_I</v>
      </c>
      <c r="N642" s="3" t="str">
        <f>IFERROR(MID(D642,SEARCH("C_I_",D642,1),3),"")</f>
        <v/>
      </c>
      <c r="O642" s="3" t="str">
        <f>IF(AND(M642="",N642=""),"Extra","")</f>
        <v/>
      </c>
      <c r="P642" s="3" t="str">
        <f>IF(Q642=0,"TERCEIRO","MRS")</f>
        <v>MRS</v>
      </c>
      <c r="Q642" s="8" t="str">
        <f>IFERROR(VLOOKUP(L642,#REF!,4,0),"0,00")</f>
        <v>0,00</v>
      </c>
      <c r="R642" s="9" t="s">
        <v>42</v>
      </c>
      <c r="S642" s="9">
        <f>COUNTIF(D642,"*_SEG_*")</f>
        <v>0</v>
      </c>
      <c r="T642" s="9">
        <f>COUNTIF(D642,"*_MAN_*")</f>
        <v>1</v>
      </c>
      <c r="U642" s="9">
        <f>(RIGHT(D642,4))*1</f>
        <v>30</v>
      </c>
      <c r="V642" s="9" t="str">
        <f>IFERROR(VLOOKUP(I642,#REF!,2,0),"Sinalização")</f>
        <v>Sinalização</v>
      </c>
    </row>
    <row r="643" spans="1:22" x14ac:dyDescent="0.25">
      <c r="A643" s="3" t="s">
        <v>22</v>
      </c>
      <c r="B643" s="4">
        <v>23509586</v>
      </c>
      <c r="C643" s="5" t="s">
        <v>23</v>
      </c>
      <c r="D643" s="6" t="s">
        <v>917</v>
      </c>
      <c r="E643" s="6" t="s">
        <v>25</v>
      </c>
      <c r="F643" s="11">
        <v>46165</v>
      </c>
      <c r="G643" s="6" t="s">
        <v>1079</v>
      </c>
      <c r="H643" s="7" t="s">
        <v>26</v>
      </c>
      <c r="I643" s="7" t="s">
        <v>779</v>
      </c>
      <c r="J643" s="7" t="s">
        <v>910</v>
      </c>
      <c r="K643" s="7" t="s">
        <v>29</v>
      </c>
      <c r="L643" s="3" t="str">
        <f>E643&amp;D643</f>
        <v>E.SP.IPAEE_MAN_CONF_S_I_SINAL L UNIFO CONT_0030</v>
      </c>
      <c r="M643" s="3" t="str">
        <f>IFERROR(MID(D643,SEARCH("S_I_",D643,1),3),"")</f>
        <v>S_I</v>
      </c>
      <c r="N643" s="3" t="str">
        <f>IFERROR(MID(D643,SEARCH("C_I_",D643,1),3),"")</f>
        <v/>
      </c>
      <c r="O643" s="3" t="str">
        <f>IF(AND(M643="",N643=""),"Extra","")</f>
        <v/>
      </c>
      <c r="P643" s="3" t="str">
        <f>IF(Q643=0,"TERCEIRO","MRS")</f>
        <v>MRS</v>
      </c>
      <c r="Q643" s="8" t="str">
        <f>IFERROR(VLOOKUP(L643,#REF!,4,0),"0,00")</f>
        <v>0,00</v>
      </c>
      <c r="R643" s="9" t="s">
        <v>42</v>
      </c>
      <c r="S643" s="9">
        <f>COUNTIF(D643,"*_SEG_*")</f>
        <v>0</v>
      </c>
      <c r="T643" s="9">
        <f>COUNTIF(D643,"*_MAN_*")</f>
        <v>1</v>
      </c>
      <c r="U643" s="9">
        <f>(RIGHT(D643,4))*1</f>
        <v>30</v>
      </c>
      <c r="V643" s="9" t="str">
        <f>IFERROR(VLOOKUP(I643,#REF!,2,0),"Sinalização")</f>
        <v>Sinalização</v>
      </c>
    </row>
    <row r="644" spans="1:22" x14ac:dyDescent="0.25">
      <c r="A644" s="3" t="s">
        <v>22</v>
      </c>
      <c r="B644" s="4">
        <v>23509587</v>
      </c>
      <c r="C644" s="5" t="s">
        <v>23</v>
      </c>
      <c r="D644" s="6" t="s">
        <v>917</v>
      </c>
      <c r="E644" s="6" t="s">
        <v>25</v>
      </c>
      <c r="F644" s="11">
        <v>46165</v>
      </c>
      <c r="G644" s="6" t="s">
        <v>1079</v>
      </c>
      <c r="H644" s="7" t="s">
        <v>26</v>
      </c>
      <c r="I644" s="7" t="s">
        <v>777</v>
      </c>
      <c r="J644" s="7" t="s">
        <v>910</v>
      </c>
      <c r="K644" s="7" t="s">
        <v>29</v>
      </c>
      <c r="L644" s="3" t="str">
        <f>E644&amp;D644</f>
        <v>E.SP.IPAEE_MAN_CONF_S_I_SINAL L UNIFO CONT_0030</v>
      </c>
      <c r="M644" s="3" t="str">
        <f>IFERROR(MID(D644,SEARCH("S_I_",D644,1),3),"")</f>
        <v>S_I</v>
      </c>
      <c r="N644" s="3" t="str">
        <f>IFERROR(MID(D644,SEARCH("C_I_",D644,1),3),"")</f>
        <v/>
      </c>
      <c r="O644" s="3" t="str">
        <f>IF(AND(M644="",N644=""),"Extra","")</f>
        <v/>
      </c>
      <c r="P644" s="3" t="str">
        <f>IF(Q644=0,"TERCEIRO","MRS")</f>
        <v>MRS</v>
      </c>
      <c r="Q644" s="8" t="str">
        <f>IFERROR(VLOOKUP(L644,#REF!,4,0),"0,00")</f>
        <v>0,00</v>
      </c>
      <c r="R644" s="9" t="s">
        <v>42</v>
      </c>
      <c r="S644" s="9">
        <f>COUNTIF(D644,"*_SEG_*")</f>
        <v>0</v>
      </c>
      <c r="T644" s="9">
        <f>COUNTIF(D644,"*_MAN_*")</f>
        <v>1</v>
      </c>
      <c r="U644" s="9">
        <f>(RIGHT(D644,4))*1</f>
        <v>30</v>
      </c>
      <c r="V644" s="9" t="str">
        <f>IFERROR(VLOOKUP(I644,#REF!,2,0),"Sinalização")</f>
        <v>Sinalização</v>
      </c>
    </row>
    <row r="645" spans="1:22" x14ac:dyDescent="0.25">
      <c r="A645" s="3" t="s">
        <v>22</v>
      </c>
      <c r="B645" s="4">
        <v>23509588</v>
      </c>
      <c r="C645" s="5" t="s">
        <v>23</v>
      </c>
      <c r="D645" s="6" t="s">
        <v>917</v>
      </c>
      <c r="E645" s="6" t="s">
        <v>25</v>
      </c>
      <c r="F645" s="11">
        <v>46165</v>
      </c>
      <c r="G645" s="6" t="s">
        <v>1079</v>
      </c>
      <c r="H645" s="7" t="s">
        <v>32</v>
      </c>
      <c r="I645" s="7" t="s">
        <v>920</v>
      </c>
      <c r="J645" s="7" t="s">
        <v>910</v>
      </c>
      <c r="K645" s="7" t="s">
        <v>29</v>
      </c>
      <c r="L645" s="3" t="str">
        <f>E645&amp;D645</f>
        <v>E.SP.IPAEE_MAN_CONF_S_I_SINAL L UNIFO CONT_0030</v>
      </c>
      <c r="M645" s="3" t="str">
        <f>IFERROR(MID(D645,SEARCH("S_I_",D645,1),3),"")</f>
        <v>S_I</v>
      </c>
      <c r="N645" s="3" t="str">
        <f>IFERROR(MID(D645,SEARCH("C_I_",D645,1),3),"")</f>
        <v/>
      </c>
      <c r="O645" s="3" t="str">
        <f>IF(AND(M645="",N645=""),"Extra","")</f>
        <v/>
      </c>
      <c r="P645" s="3" t="str">
        <f>IF(Q645=0,"TERCEIRO","MRS")</f>
        <v>MRS</v>
      </c>
      <c r="Q645" s="8" t="str">
        <f>IFERROR(VLOOKUP(L645,#REF!,4,0),"0,00")</f>
        <v>0,00</v>
      </c>
      <c r="R645" s="9" t="s">
        <v>42</v>
      </c>
      <c r="S645" s="9">
        <f>COUNTIF(D645,"*_SEG_*")</f>
        <v>0</v>
      </c>
      <c r="T645" s="9">
        <f>COUNTIF(D645,"*_MAN_*")</f>
        <v>1</v>
      </c>
      <c r="U645" s="9">
        <f>(RIGHT(D645,4))*1</f>
        <v>30</v>
      </c>
      <c r="V645" s="9" t="str">
        <f>IFERROR(VLOOKUP(I645,#REF!,2,0),"Sinalização")</f>
        <v>Sinalização</v>
      </c>
    </row>
    <row r="646" spans="1:22" x14ac:dyDescent="0.25">
      <c r="A646" s="3" t="s">
        <v>22</v>
      </c>
      <c r="B646" s="4">
        <v>23509589</v>
      </c>
      <c r="C646" s="5" t="s">
        <v>23</v>
      </c>
      <c r="D646" s="6" t="s">
        <v>917</v>
      </c>
      <c r="E646" s="6" t="s">
        <v>25</v>
      </c>
      <c r="F646" s="11">
        <v>46165</v>
      </c>
      <c r="G646" s="6" t="s">
        <v>1079</v>
      </c>
      <c r="H646" s="7" t="s">
        <v>32</v>
      </c>
      <c r="I646" s="7" t="s">
        <v>921</v>
      </c>
      <c r="J646" s="7" t="s">
        <v>910</v>
      </c>
      <c r="K646" s="7" t="s">
        <v>29</v>
      </c>
      <c r="L646" s="3" t="str">
        <f>E646&amp;D646</f>
        <v>E.SP.IPAEE_MAN_CONF_S_I_SINAL L UNIFO CONT_0030</v>
      </c>
      <c r="M646" s="3" t="str">
        <f>IFERROR(MID(D646,SEARCH("S_I_",D646,1),3),"")</f>
        <v>S_I</v>
      </c>
      <c r="N646" s="3" t="str">
        <f>IFERROR(MID(D646,SEARCH("C_I_",D646,1),3),"")</f>
        <v/>
      </c>
      <c r="O646" s="3" t="str">
        <f>IF(AND(M646="",N646=""),"Extra","")</f>
        <v/>
      </c>
      <c r="P646" s="3" t="str">
        <f>IF(Q646=0,"TERCEIRO","MRS")</f>
        <v>MRS</v>
      </c>
      <c r="Q646" s="8" t="str">
        <f>IFERROR(VLOOKUP(L646,#REF!,4,0),"0,00")</f>
        <v>0,00</v>
      </c>
      <c r="R646" s="9" t="s">
        <v>42</v>
      </c>
      <c r="S646" s="9">
        <f>COUNTIF(D646,"*_SEG_*")</f>
        <v>0</v>
      </c>
      <c r="T646" s="9">
        <f>COUNTIF(D646,"*_MAN_*")</f>
        <v>1</v>
      </c>
      <c r="U646" s="9">
        <f>(RIGHT(D646,4))*1</f>
        <v>30</v>
      </c>
      <c r="V646" s="9" t="str">
        <f>IFERROR(VLOOKUP(I646,#REF!,2,0),"Sinalização")</f>
        <v>Sinalização</v>
      </c>
    </row>
    <row r="647" spans="1:22" x14ac:dyDescent="0.25">
      <c r="A647" s="3" t="s">
        <v>22</v>
      </c>
      <c r="B647" s="4">
        <v>23509590</v>
      </c>
      <c r="C647" s="5" t="s">
        <v>23</v>
      </c>
      <c r="D647" s="6" t="s">
        <v>917</v>
      </c>
      <c r="E647" s="6" t="s">
        <v>25</v>
      </c>
      <c r="F647" s="11">
        <v>46165</v>
      </c>
      <c r="G647" s="6" t="s">
        <v>1079</v>
      </c>
      <c r="H647" s="7" t="s">
        <v>26</v>
      </c>
      <c r="I647" s="7" t="s">
        <v>743</v>
      </c>
      <c r="J647" s="7" t="s">
        <v>910</v>
      </c>
      <c r="K647" s="7" t="s">
        <v>29</v>
      </c>
      <c r="L647" s="3" t="str">
        <f>E647&amp;D647</f>
        <v>E.SP.IPAEE_MAN_CONF_S_I_SINAL L UNIFO CONT_0030</v>
      </c>
      <c r="M647" s="3" t="str">
        <f>IFERROR(MID(D647,SEARCH("S_I_",D647,1),3),"")</f>
        <v>S_I</v>
      </c>
      <c r="N647" s="3" t="str">
        <f>IFERROR(MID(D647,SEARCH("C_I_",D647,1),3),"")</f>
        <v/>
      </c>
      <c r="O647" s="3" t="str">
        <f>IF(AND(M647="",N647=""),"Extra","")</f>
        <v/>
      </c>
      <c r="P647" s="3" t="str">
        <f>IF(Q647=0,"TERCEIRO","MRS")</f>
        <v>MRS</v>
      </c>
      <c r="Q647" s="8" t="str">
        <f>IFERROR(VLOOKUP(L647,#REF!,4,0),"0,00")</f>
        <v>0,00</v>
      </c>
      <c r="R647" s="9" t="s">
        <v>42</v>
      </c>
      <c r="S647" s="9">
        <f>COUNTIF(D647,"*_SEG_*")</f>
        <v>0</v>
      </c>
      <c r="T647" s="9">
        <f>COUNTIF(D647,"*_MAN_*")</f>
        <v>1</v>
      </c>
      <c r="U647" s="9">
        <f>(RIGHT(D647,4))*1</f>
        <v>30</v>
      </c>
      <c r="V647" s="9" t="str">
        <f>IFERROR(VLOOKUP(I647,#REF!,2,0),"Sinalização")</f>
        <v>Sinalização</v>
      </c>
    </row>
    <row r="648" spans="1:22" x14ac:dyDescent="0.25">
      <c r="A648" s="3" t="s">
        <v>22</v>
      </c>
      <c r="B648" s="4">
        <v>23509591</v>
      </c>
      <c r="C648" s="5" t="s">
        <v>23</v>
      </c>
      <c r="D648" s="6" t="s">
        <v>917</v>
      </c>
      <c r="E648" s="6" t="s">
        <v>25</v>
      </c>
      <c r="F648" s="11">
        <v>46165</v>
      </c>
      <c r="G648" s="6" t="s">
        <v>1079</v>
      </c>
      <c r="H648" s="7" t="s">
        <v>26</v>
      </c>
      <c r="I648" s="7" t="s">
        <v>742</v>
      </c>
      <c r="J648" s="7" t="s">
        <v>910</v>
      </c>
      <c r="K648" s="7" t="s">
        <v>29</v>
      </c>
      <c r="L648" s="3" t="str">
        <f>E648&amp;D648</f>
        <v>E.SP.IPAEE_MAN_CONF_S_I_SINAL L UNIFO CONT_0030</v>
      </c>
      <c r="M648" s="3" t="str">
        <f>IFERROR(MID(D648,SEARCH("S_I_",D648,1),3),"")</f>
        <v>S_I</v>
      </c>
      <c r="N648" s="3" t="str">
        <f>IFERROR(MID(D648,SEARCH("C_I_",D648,1),3),"")</f>
        <v/>
      </c>
      <c r="O648" s="3" t="str">
        <f>IF(AND(M648="",N648=""),"Extra","")</f>
        <v/>
      </c>
      <c r="P648" s="3" t="str">
        <f>IF(Q648=0,"TERCEIRO","MRS")</f>
        <v>MRS</v>
      </c>
      <c r="Q648" s="8" t="str">
        <f>IFERROR(VLOOKUP(L648,#REF!,4,0),"0,00")</f>
        <v>0,00</v>
      </c>
      <c r="R648" s="9" t="s">
        <v>42</v>
      </c>
      <c r="S648" s="9">
        <f>COUNTIF(D648,"*_SEG_*")</f>
        <v>0</v>
      </c>
      <c r="T648" s="9">
        <f>COUNTIF(D648,"*_MAN_*")</f>
        <v>1</v>
      </c>
      <c r="U648" s="9">
        <f>(RIGHT(D648,4))*1</f>
        <v>30</v>
      </c>
      <c r="V648" s="9" t="str">
        <f>IFERROR(VLOOKUP(I648,#REF!,2,0),"Sinalização")</f>
        <v>Sinalização</v>
      </c>
    </row>
    <row r="649" spans="1:22" x14ac:dyDescent="0.25">
      <c r="A649" s="3" t="s">
        <v>22</v>
      </c>
      <c r="B649" s="4">
        <v>23509592</v>
      </c>
      <c r="C649" s="5" t="s">
        <v>23</v>
      </c>
      <c r="D649" s="6" t="s">
        <v>917</v>
      </c>
      <c r="E649" s="6" t="s">
        <v>25</v>
      </c>
      <c r="F649" s="11">
        <v>46165</v>
      </c>
      <c r="G649" s="6" t="s">
        <v>1079</v>
      </c>
      <c r="H649" s="7" t="s">
        <v>32</v>
      </c>
      <c r="I649" s="7" t="s">
        <v>69</v>
      </c>
      <c r="J649" s="7" t="s">
        <v>910</v>
      </c>
      <c r="K649" s="7" t="s">
        <v>29</v>
      </c>
      <c r="L649" s="3" t="str">
        <f>E649&amp;D649</f>
        <v>E.SP.IPAEE_MAN_CONF_S_I_SINAL L UNIFO CONT_0030</v>
      </c>
      <c r="M649" s="3" t="str">
        <f>IFERROR(MID(D649,SEARCH("S_I_",D649,1),3),"")</f>
        <v>S_I</v>
      </c>
      <c r="N649" s="3" t="str">
        <f>IFERROR(MID(D649,SEARCH("C_I_",D649,1),3),"")</f>
        <v/>
      </c>
      <c r="O649" s="3" t="str">
        <f>IF(AND(M649="",N649=""),"Extra","")</f>
        <v/>
      </c>
      <c r="P649" s="3" t="str">
        <f>IF(Q649=0,"TERCEIRO","MRS")</f>
        <v>MRS</v>
      </c>
      <c r="Q649" s="8" t="str">
        <f>IFERROR(VLOOKUP(L649,#REF!,4,0),"0,00")</f>
        <v>0,00</v>
      </c>
      <c r="R649" s="9" t="s">
        <v>42</v>
      </c>
      <c r="S649" s="9">
        <f>COUNTIF(D649,"*_SEG_*")</f>
        <v>0</v>
      </c>
      <c r="T649" s="9">
        <f>COUNTIF(D649,"*_MAN_*")</f>
        <v>1</v>
      </c>
      <c r="U649" s="9">
        <f>(RIGHT(D649,4))*1</f>
        <v>30</v>
      </c>
      <c r="V649" s="9" t="str">
        <f>IFERROR(VLOOKUP(I649,#REF!,2,0),"Sinalização")</f>
        <v>Sinalização</v>
      </c>
    </row>
    <row r="650" spans="1:22" x14ac:dyDescent="0.25">
      <c r="A650" s="3" t="s">
        <v>22</v>
      </c>
      <c r="B650" s="4">
        <v>23509593</v>
      </c>
      <c r="C650" s="5" t="s">
        <v>23</v>
      </c>
      <c r="D650" s="6" t="s">
        <v>917</v>
      </c>
      <c r="E650" s="6" t="s">
        <v>25</v>
      </c>
      <c r="F650" s="11">
        <v>46165</v>
      </c>
      <c r="G650" s="6" t="s">
        <v>1079</v>
      </c>
      <c r="H650" s="7" t="s">
        <v>32</v>
      </c>
      <c r="I650" s="7" t="s">
        <v>67</v>
      </c>
      <c r="J650" s="7" t="s">
        <v>910</v>
      </c>
      <c r="K650" s="7" t="s">
        <v>29</v>
      </c>
      <c r="L650" s="3" t="str">
        <f>E650&amp;D650</f>
        <v>E.SP.IPAEE_MAN_CONF_S_I_SINAL L UNIFO CONT_0030</v>
      </c>
      <c r="M650" s="3" t="str">
        <f>IFERROR(MID(D650,SEARCH("S_I_",D650,1),3),"")</f>
        <v>S_I</v>
      </c>
      <c r="N650" s="3" t="str">
        <f>IFERROR(MID(D650,SEARCH("C_I_",D650,1),3),"")</f>
        <v/>
      </c>
      <c r="O650" s="3" t="str">
        <f>IF(AND(M650="",N650=""),"Extra","")</f>
        <v/>
      </c>
      <c r="P650" s="3" t="str">
        <f>IF(Q650=0,"TERCEIRO","MRS")</f>
        <v>MRS</v>
      </c>
      <c r="Q650" s="8" t="str">
        <f>IFERROR(VLOOKUP(L650,#REF!,4,0),"0,00")</f>
        <v>0,00</v>
      </c>
      <c r="R650" s="9" t="s">
        <v>42</v>
      </c>
      <c r="S650" s="9">
        <f>COUNTIF(D650,"*_SEG_*")</f>
        <v>0</v>
      </c>
      <c r="T650" s="9">
        <f>COUNTIF(D650,"*_MAN_*")</f>
        <v>1</v>
      </c>
      <c r="U650" s="9">
        <f>(RIGHT(D650,4))*1</f>
        <v>30</v>
      </c>
      <c r="V650" s="9" t="str">
        <f>IFERROR(VLOOKUP(I650,#REF!,2,0),"Sinalização")</f>
        <v>Sinalização</v>
      </c>
    </row>
    <row r="651" spans="1:22" x14ac:dyDescent="0.25">
      <c r="A651" s="3" t="s">
        <v>22</v>
      </c>
      <c r="B651" s="4">
        <v>23509594</v>
      </c>
      <c r="C651" s="5" t="s">
        <v>23</v>
      </c>
      <c r="D651" s="6" t="s">
        <v>917</v>
      </c>
      <c r="E651" s="6" t="s">
        <v>25</v>
      </c>
      <c r="F651" s="11">
        <v>46165</v>
      </c>
      <c r="G651" s="6" t="s">
        <v>1079</v>
      </c>
      <c r="H651" s="7" t="s">
        <v>26</v>
      </c>
      <c r="I651" s="7" t="s">
        <v>657</v>
      </c>
      <c r="J651" s="7" t="s">
        <v>910</v>
      </c>
      <c r="K651" s="7" t="s">
        <v>29</v>
      </c>
      <c r="L651" s="3" t="str">
        <f>E651&amp;D651</f>
        <v>E.SP.IPAEE_MAN_CONF_S_I_SINAL L UNIFO CONT_0030</v>
      </c>
      <c r="M651" s="3" t="str">
        <f>IFERROR(MID(D651,SEARCH("S_I_",D651,1),3),"")</f>
        <v>S_I</v>
      </c>
      <c r="N651" s="3" t="str">
        <f>IFERROR(MID(D651,SEARCH("C_I_",D651,1),3),"")</f>
        <v/>
      </c>
      <c r="O651" s="3" t="str">
        <f>IF(AND(M651="",N651=""),"Extra","")</f>
        <v/>
      </c>
      <c r="P651" s="3" t="str">
        <f>IF(Q651=0,"TERCEIRO","MRS")</f>
        <v>MRS</v>
      </c>
      <c r="Q651" s="8" t="str">
        <f>IFERROR(VLOOKUP(L651,#REF!,4,0),"0,00")</f>
        <v>0,00</v>
      </c>
      <c r="R651" s="9" t="s">
        <v>42</v>
      </c>
      <c r="S651" s="9">
        <f>COUNTIF(D651,"*_SEG_*")</f>
        <v>0</v>
      </c>
      <c r="T651" s="9">
        <f>COUNTIF(D651,"*_MAN_*")</f>
        <v>1</v>
      </c>
      <c r="U651" s="9">
        <f>(RIGHT(D651,4))*1</f>
        <v>30</v>
      </c>
      <c r="V651" s="9" t="str">
        <f>IFERROR(VLOOKUP(I651,#REF!,2,0),"Sinalização")</f>
        <v>Sinalização</v>
      </c>
    </row>
    <row r="652" spans="1:22" x14ac:dyDescent="0.25">
      <c r="A652" s="3" t="s">
        <v>22</v>
      </c>
      <c r="B652" s="4">
        <v>23509595</v>
      </c>
      <c r="C652" s="5" t="s">
        <v>23</v>
      </c>
      <c r="D652" s="6" t="s">
        <v>917</v>
      </c>
      <c r="E652" s="6" t="s">
        <v>25</v>
      </c>
      <c r="F652" s="11">
        <v>46165</v>
      </c>
      <c r="G652" s="6" t="s">
        <v>1079</v>
      </c>
      <c r="H652" s="7" t="s">
        <v>26</v>
      </c>
      <c r="I652" s="7" t="s">
        <v>659</v>
      </c>
      <c r="J652" s="7" t="s">
        <v>910</v>
      </c>
      <c r="K652" s="7" t="s">
        <v>29</v>
      </c>
      <c r="L652" s="3" t="str">
        <f>E652&amp;D652</f>
        <v>E.SP.IPAEE_MAN_CONF_S_I_SINAL L UNIFO CONT_0030</v>
      </c>
      <c r="M652" s="3" t="str">
        <f>IFERROR(MID(D652,SEARCH("S_I_",D652,1),3),"")</f>
        <v>S_I</v>
      </c>
      <c r="N652" s="3" t="str">
        <f>IFERROR(MID(D652,SEARCH("C_I_",D652,1),3),"")</f>
        <v/>
      </c>
      <c r="O652" s="3" t="str">
        <f>IF(AND(M652="",N652=""),"Extra","")</f>
        <v/>
      </c>
      <c r="P652" s="3" t="str">
        <f>IF(Q652=0,"TERCEIRO","MRS")</f>
        <v>MRS</v>
      </c>
      <c r="Q652" s="8" t="str">
        <f>IFERROR(VLOOKUP(L652,#REF!,4,0),"0,00")</f>
        <v>0,00</v>
      </c>
      <c r="R652" s="9" t="s">
        <v>42</v>
      </c>
      <c r="S652" s="9">
        <f>COUNTIF(D652,"*_SEG_*")</f>
        <v>0</v>
      </c>
      <c r="T652" s="9">
        <f>COUNTIF(D652,"*_MAN_*")</f>
        <v>1</v>
      </c>
      <c r="U652" s="9">
        <f>(RIGHT(D652,4))*1</f>
        <v>30</v>
      </c>
      <c r="V652" s="9" t="str">
        <f>IFERROR(VLOOKUP(I652,#REF!,2,0),"Sinalização")</f>
        <v>Sinalização</v>
      </c>
    </row>
    <row r="653" spans="1:22" x14ac:dyDescent="0.25">
      <c r="A653" s="3" t="s">
        <v>22</v>
      </c>
      <c r="B653" s="4">
        <v>23509596</v>
      </c>
      <c r="C653" s="5" t="s">
        <v>23</v>
      </c>
      <c r="D653" s="6" t="s">
        <v>917</v>
      </c>
      <c r="E653" s="6" t="s">
        <v>25</v>
      </c>
      <c r="F653" s="11">
        <v>46165</v>
      </c>
      <c r="G653" s="6" t="s">
        <v>1079</v>
      </c>
      <c r="H653" s="7" t="s">
        <v>32</v>
      </c>
      <c r="I653" s="7" t="s">
        <v>658</v>
      </c>
      <c r="J653" s="7" t="s">
        <v>910</v>
      </c>
      <c r="K653" s="7" t="s">
        <v>29</v>
      </c>
      <c r="L653" s="3" t="str">
        <f>E653&amp;D653</f>
        <v>E.SP.IPAEE_MAN_CONF_S_I_SINAL L UNIFO CONT_0030</v>
      </c>
      <c r="M653" s="3" t="str">
        <f>IFERROR(MID(D653,SEARCH("S_I_",D653,1),3),"")</f>
        <v>S_I</v>
      </c>
      <c r="N653" s="3" t="str">
        <f>IFERROR(MID(D653,SEARCH("C_I_",D653,1),3),"")</f>
        <v/>
      </c>
      <c r="O653" s="3" t="str">
        <f>IF(AND(M653="",N653=""),"Extra","")</f>
        <v/>
      </c>
      <c r="P653" s="3" t="str">
        <f>IF(Q653=0,"TERCEIRO","MRS")</f>
        <v>MRS</v>
      </c>
      <c r="Q653" s="8" t="str">
        <f>IFERROR(VLOOKUP(L653,#REF!,4,0),"0,00")</f>
        <v>0,00</v>
      </c>
      <c r="R653" s="9" t="s">
        <v>42</v>
      </c>
      <c r="S653" s="9">
        <f>COUNTIF(D653,"*_SEG_*")</f>
        <v>0</v>
      </c>
      <c r="T653" s="9">
        <f>COUNTIF(D653,"*_MAN_*")</f>
        <v>1</v>
      </c>
      <c r="U653" s="9">
        <f>(RIGHT(D653,4))*1</f>
        <v>30</v>
      </c>
      <c r="V653" s="9" t="str">
        <f>IFERROR(VLOOKUP(I653,#REF!,2,0),"Sinalização")</f>
        <v>Sinalização</v>
      </c>
    </row>
    <row r="654" spans="1:22" x14ac:dyDescent="0.25">
      <c r="A654" s="3" t="s">
        <v>22</v>
      </c>
      <c r="B654" s="4">
        <v>23509597</v>
      </c>
      <c r="C654" s="5" t="s">
        <v>23</v>
      </c>
      <c r="D654" s="6" t="s">
        <v>917</v>
      </c>
      <c r="E654" s="6" t="s">
        <v>25</v>
      </c>
      <c r="F654" s="11">
        <v>46165</v>
      </c>
      <c r="G654" s="6" t="s">
        <v>1079</v>
      </c>
      <c r="H654" s="7" t="s">
        <v>32</v>
      </c>
      <c r="I654" s="7" t="s">
        <v>660</v>
      </c>
      <c r="J654" s="7" t="s">
        <v>910</v>
      </c>
      <c r="K654" s="7" t="s">
        <v>29</v>
      </c>
      <c r="L654" s="3" t="str">
        <f>E654&amp;D654</f>
        <v>E.SP.IPAEE_MAN_CONF_S_I_SINAL L UNIFO CONT_0030</v>
      </c>
      <c r="M654" s="3" t="str">
        <f>IFERROR(MID(D654,SEARCH("S_I_",D654,1),3),"")</f>
        <v>S_I</v>
      </c>
      <c r="N654" s="3" t="str">
        <f>IFERROR(MID(D654,SEARCH("C_I_",D654,1),3),"")</f>
        <v/>
      </c>
      <c r="O654" s="3" t="str">
        <f>IF(AND(M654="",N654=""),"Extra","")</f>
        <v/>
      </c>
      <c r="P654" s="3" t="str">
        <f>IF(Q654=0,"TERCEIRO","MRS")</f>
        <v>MRS</v>
      </c>
      <c r="Q654" s="8" t="str">
        <f>IFERROR(VLOOKUP(L654,#REF!,4,0),"0,00")</f>
        <v>0,00</v>
      </c>
      <c r="R654" s="9" t="s">
        <v>42</v>
      </c>
      <c r="S654" s="9">
        <f>COUNTIF(D654,"*_SEG_*")</f>
        <v>0</v>
      </c>
      <c r="T654" s="9">
        <f>COUNTIF(D654,"*_MAN_*")</f>
        <v>1</v>
      </c>
      <c r="U654" s="9">
        <f>(RIGHT(D654,4))*1</f>
        <v>30</v>
      </c>
      <c r="V654" s="9" t="str">
        <f>IFERROR(VLOOKUP(I654,#REF!,2,0),"Sinalização")</f>
        <v>Sinalização</v>
      </c>
    </row>
    <row r="655" spans="1:22" x14ac:dyDescent="0.25">
      <c r="A655" s="3" t="s">
        <v>22</v>
      </c>
      <c r="B655" s="4">
        <v>23509598</v>
      </c>
      <c r="C655" s="5" t="s">
        <v>23</v>
      </c>
      <c r="D655" s="6" t="s">
        <v>917</v>
      </c>
      <c r="E655" s="6" t="s">
        <v>25</v>
      </c>
      <c r="F655" s="11">
        <v>46165</v>
      </c>
      <c r="G655" s="6" t="s">
        <v>1079</v>
      </c>
      <c r="H655" s="7" t="s">
        <v>26</v>
      </c>
      <c r="I655" s="7" t="s">
        <v>74</v>
      </c>
      <c r="J655" s="7" t="s">
        <v>910</v>
      </c>
      <c r="K655" s="7" t="s">
        <v>29</v>
      </c>
      <c r="L655" s="3" t="str">
        <f>E655&amp;D655</f>
        <v>E.SP.IPAEE_MAN_CONF_S_I_SINAL L UNIFO CONT_0030</v>
      </c>
      <c r="M655" s="3" t="str">
        <f>IFERROR(MID(D655,SEARCH("S_I_",D655,1),3),"")</f>
        <v>S_I</v>
      </c>
      <c r="N655" s="3" t="str">
        <f>IFERROR(MID(D655,SEARCH("C_I_",D655,1),3),"")</f>
        <v/>
      </c>
      <c r="O655" s="3" t="str">
        <f>IF(AND(M655="",N655=""),"Extra","")</f>
        <v/>
      </c>
      <c r="P655" s="3" t="str">
        <f>IF(Q655=0,"TERCEIRO","MRS")</f>
        <v>MRS</v>
      </c>
      <c r="Q655" s="8" t="str">
        <f>IFERROR(VLOOKUP(L655,#REF!,4,0),"0,00")</f>
        <v>0,00</v>
      </c>
      <c r="R655" s="9" t="s">
        <v>42</v>
      </c>
      <c r="S655" s="9">
        <f>COUNTIF(D655,"*_SEG_*")</f>
        <v>0</v>
      </c>
      <c r="T655" s="9">
        <f>COUNTIF(D655,"*_MAN_*")</f>
        <v>1</v>
      </c>
      <c r="U655" s="9">
        <f>(RIGHT(D655,4))*1</f>
        <v>30</v>
      </c>
      <c r="V655" s="9" t="str">
        <f>IFERROR(VLOOKUP(I655,#REF!,2,0),"Sinalização")</f>
        <v>Sinalização</v>
      </c>
    </row>
    <row r="656" spans="1:22" x14ac:dyDescent="0.25">
      <c r="A656" s="3" t="s">
        <v>22</v>
      </c>
      <c r="B656" s="4">
        <v>23509599</v>
      </c>
      <c r="C656" s="5" t="s">
        <v>23</v>
      </c>
      <c r="D656" s="6" t="s">
        <v>917</v>
      </c>
      <c r="E656" s="6" t="s">
        <v>25</v>
      </c>
      <c r="F656" s="11">
        <v>46165</v>
      </c>
      <c r="G656" s="6" t="s">
        <v>1079</v>
      </c>
      <c r="H656" s="7" t="s">
        <v>26</v>
      </c>
      <c r="I656" s="7" t="s">
        <v>73</v>
      </c>
      <c r="J656" s="7" t="s">
        <v>910</v>
      </c>
      <c r="K656" s="7" t="s">
        <v>29</v>
      </c>
      <c r="L656" s="3" t="str">
        <f>E656&amp;D656</f>
        <v>E.SP.IPAEE_MAN_CONF_S_I_SINAL L UNIFO CONT_0030</v>
      </c>
      <c r="M656" s="3" t="str">
        <f>IFERROR(MID(D656,SEARCH("S_I_",D656,1),3),"")</f>
        <v>S_I</v>
      </c>
      <c r="N656" s="3" t="str">
        <f>IFERROR(MID(D656,SEARCH("C_I_",D656,1),3),"")</f>
        <v/>
      </c>
      <c r="O656" s="3" t="str">
        <f>IF(AND(M656="",N656=""),"Extra","")</f>
        <v/>
      </c>
      <c r="P656" s="3" t="str">
        <f>IF(Q656=0,"TERCEIRO","MRS")</f>
        <v>MRS</v>
      </c>
      <c r="Q656" s="8" t="str">
        <f>IFERROR(VLOOKUP(L656,#REF!,4,0),"0,00")</f>
        <v>0,00</v>
      </c>
      <c r="R656" s="9" t="s">
        <v>42</v>
      </c>
      <c r="S656" s="9">
        <f>COUNTIF(D656,"*_SEG_*")</f>
        <v>0</v>
      </c>
      <c r="T656" s="9">
        <f>COUNTIF(D656,"*_MAN_*")</f>
        <v>1</v>
      </c>
      <c r="U656" s="9">
        <f>(RIGHT(D656,4))*1</f>
        <v>30</v>
      </c>
      <c r="V656" s="9" t="str">
        <f>IFERROR(VLOOKUP(I656,#REF!,2,0),"Sinalização")</f>
        <v>Sinalização</v>
      </c>
    </row>
    <row r="657" spans="1:22" x14ac:dyDescent="0.25">
      <c r="A657" s="3" t="s">
        <v>22</v>
      </c>
      <c r="B657" s="4">
        <v>23509600</v>
      </c>
      <c r="C657" s="5" t="s">
        <v>23</v>
      </c>
      <c r="D657" s="6" t="s">
        <v>917</v>
      </c>
      <c r="E657" s="6" t="s">
        <v>25</v>
      </c>
      <c r="F657" s="11">
        <v>46165</v>
      </c>
      <c r="G657" s="6" t="s">
        <v>1079</v>
      </c>
      <c r="H657" s="7" t="s">
        <v>32</v>
      </c>
      <c r="I657" s="7" t="s">
        <v>72</v>
      </c>
      <c r="J657" s="7" t="s">
        <v>910</v>
      </c>
      <c r="K657" s="7" t="s">
        <v>29</v>
      </c>
      <c r="L657" s="3" t="str">
        <f>E657&amp;D657</f>
        <v>E.SP.IPAEE_MAN_CONF_S_I_SINAL L UNIFO CONT_0030</v>
      </c>
      <c r="M657" s="3" t="str">
        <f>IFERROR(MID(D657,SEARCH("S_I_",D657,1),3),"")</f>
        <v>S_I</v>
      </c>
      <c r="N657" s="3" t="str">
        <f>IFERROR(MID(D657,SEARCH("C_I_",D657,1),3),"")</f>
        <v/>
      </c>
      <c r="O657" s="3" t="str">
        <f>IF(AND(M657="",N657=""),"Extra","")</f>
        <v/>
      </c>
      <c r="P657" s="3" t="str">
        <f>IF(Q657=0,"TERCEIRO","MRS")</f>
        <v>MRS</v>
      </c>
      <c r="Q657" s="8" t="str">
        <f>IFERROR(VLOOKUP(L657,#REF!,4,0),"0,00")</f>
        <v>0,00</v>
      </c>
      <c r="R657" s="9" t="s">
        <v>42</v>
      </c>
      <c r="S657" s="9">
        <f>COUNTIF(D657,"*_SEG_*")</f>
        <v>0</v>
      </c>
      <c r="T657" s="9">
        <f>COUNTIF(D657,"*_MAN_*")</f>
        <v>1</v>
      </c>
      <c r="U657" s="9">
        <f>(RIGHT(D657,4))*1</f>
        <v>30</v>
      </c>
      <c r="V657" s="9" t="str">
        <f>IFERROR(VLOOKUP(I657,#REF!,2,0),"Sinalização")</f>
        <v>Sinalização</v>
      </c>
    </row>
    <row r="658" spans="1:22" x14ac:dyDescent="0.25">
      <c r="A658" s="3" t="s">
        <v>22</v>
      </c>
      <c r="B658" s="4">
        <v>23509601</v>
      </c>
      <c r="C658" s="5" t="s">
        <v>23</v>
      </c>
      <c r="D658" s="6" t="s">
        <v>922</v>
      </c>
      <c r="E658" s="6" t="s">
        <v>25</v>
      </c>
      <c r="F658" s="11">
        <v>46165</v>
      </c>
      <c r="G658" s="6" t="s">
        <v>1079</v>
      </c>
      <c r="H658" s="7" t="s">
        <v>32</v>
      </c>
      <c r="I658" s="7" t="s">
        <v>557</v>
      </c>
      <c r="J658" s="7" t="s">
        <v>923</v>
      </c>
      <c r="K658" s="7" t="s">
        <v>29</v>
      </c>
      <c r="L658" s="3" t="str">
        <f>E658&amp;D658</f>
        <v>E.SP.IPAEE_INS_CONF_S_I_CDV DETETORA CA_0030</v>
      </c>
      <c r="M658" s="3" t="str">
        <f>IFERROR(MID(D658,SEARCH("S_I_",D658,1),3),"")</f>
        <v>S_I</v>
      </c>
      <c r="N658" s="3" t="str">
        <f>IFERROR(MID(D658,SEARCH("C_I_",D658,1),3),"")</f>
        <v/>
      </c>
      <c r="O658" s="3" t="str">
        <f>IF(AND(M658="",N658=""),"Extra","")</f>
        <v/>
      </c>
      <c r="P658" s="3" t="str">
        <f>IF(Q658=0,"TERCEIRO","MRS")</f>
        <v>MRS</v>
      </c>
      <c r="Q658" s="8" t="str">
        <f>IFERROR(VLOOKUP(L658,#REF!,4,0),"0,00")</f>
        <v>0,00</v>
      </c>
      <c r="R658" s="9" t="s">
        <v>42</v>
      </c>
      <c r="S658" s="9">
        <f>COUNTIF(D658,"*_SEG_*")</f>
        <v>0</v>
      </c>
      <c r="T658" s="9">
        <f>COUNTIF(D658,"*_MAN_*")</f>
        <v>0</v>
      </c>
      <c r="U658" s="9">
        <f>(RIGHT(D658,4))*1</f>
        <v>30</v>
      </c>
      <c r="V658" s="9" t="str">
        <f>IFERROR(VLOOKUP(I658,#REF!,2,0),"Sinalização")</f>
        <v>Sinalização</v>
      </c>
    </row>
    <row r="659" spans="1:22" x14ac:dyDescent="0.25">
      <c r="A659" s="3" t="s">
        <v>22</v>
      </c>
      <c r="B659" s="4">
        <v>23509602</v>
      </c>
      <c r="C659" s="5" t="s">
        <v>23</v>
      </c>
      <c r="D659" s="6" t="s">
        <v>922</v>
      </c>
      <c r="E659" s="6" t="s">
        <v>25</v>
      </c>
      <c r="F659" s="11">
        <v>46165</v>
      </c>
      <c r="G659" s="6" t="s">
        <v>1079</v>
      </c>
      <c r="H659" s="7" t="s">
        <v>26</v>
      </c>
      <c r="I659" s="7" t="s">
        <v>241</v>
      </c>
      <c r="J659" s="7" t="s">
        <v>923</v>
      </c>
      <c r="K659" s="7" t="s">
        <v>29</v>
      </c>
      <c r="L659" s="3" t="str">
        <f>E659&amp;D659</f>
        <v>E.SP.IPAEE_INS_CONF_S_I_CDV DETETORA CA_0030</v>
      </c>
      <c r="M659" s="3" t="str">
        <f>IFERROR(MID(D659,SEARCH("S_I_",D659,1),3),"")</f>
        <v>S_I</v>
      </c>
      <c r="N659" s="3" t="str">
        <f>IFERROR(MID(D659,SEARCH("C_I_",D659,1),3),"")</f>
        <v/>
      </c>
      <c r="O659" s="3" t="str">
        <f>IF(AND(M659="",N659=""),"Extra","")</f>
        <v/>
      </c>
      <c r="P659" s="3" t="str">
        <f>IF(Q659=0,"TERCEIRO","MRS")</f>
        <v>MRS</v>
      </c>
      <c r="Q659" s="8" t="str">
        <f>IFERROR(VLOOKUP(L659,#REF!,4,0),"0,00")</f>
        <v>0,00</v>
      </c>
      <c r="R659" s="9" t="s">
        <v>42</v>
      </c>
      <c r="S659" s="9">
        <f>COUNTIF(D659,"*_SEG_*")</f>
        <v>0</v>
      </c>
      <c r="T659" s="9">
        <f>COUNTIF(D659,"*_MAN_*")</f>
        <v>0</v>
      </c>
      <c r="U659" s="9">
        <f>(RIGHT(D659,4))*1</f>
        <v>30</v>
      </c>
      <c r="V659" s="9" t="str">
        <f>IFERROR(VLOOKUP(I659,#REF!,2,0),"Sinalização")</f>
        <v>Sinalização</v>
      </c>
    </row>
    <row r="660" spans="1:22" x14ac:dyDescent="0.25">
      <c r="A660" s="3" t="s">
        <v>22</v>
      </c>
      <c r="B660" s="4">
        <v>23509603</v>
      </c>
      <c r="C660" s="5" t="s">
        <v>23</v>
      </c>
      <c r="D660" s="6" t="s">
        <v>922</v>
      </c>
      <c r="E660" s="6" t="s">
        <v>25</v>
      </c>
      <c r="F660" s="11">
        <v>46165</v>
      </c>
      <c r="G660" s="6" t="s">
        <v>1079</v>
      </c>
      <c r="H660" s="7" t="s">
        <v>26</v>
      </c>
      <c r="I660" s="7" t="s">
        <v>504</v>
      </c>
      <c r="J660" s="7" t="s">
        <v>923</v>
      </c>
      <c r="K660" s="7" t="s">
        <v>29</v>
      </c>
      <c r="L660" s="3" t="str">
        <f>E660&amp;D660</f>
        <v>E.SP.IPAEE_INS_CONF_S_I_CDV DETETORA CA_0030</v>
      </c>
      <c r="M660" s="3" t="str">
        <f>IFERROR(MID(D660,SEARCH("S_I_",D660,1),3),"")</f>
        <v>S_I</v>
      </c>
      <c r="N660" s="3" t="str">
        <f>IFERROR(MID(D660,SEARCH("C_I_",D660,1),3),"")</f>
        <v/>
      </c>
      <c r="O660" s="3" t="str">
        <f>IF(AND(M660="",N660=""),"Extra","")</f>
        <v/>
      </c>
      <c r="P660" s="3" t="str">
        <f>IF(Q660=0,"TERCEIRO","MRS")</f>
        <v>MRS</v>
      </c>
      <c r="Q660" s="8" t="str">
        <f>IFERROR(VLOOKUP(L660,#REF!,4,0),"0,00")</f>
        <v>0,00</v>
      </c>
      <c r="R660" s="9" t="s">
        <v>42</v>
      </c>
      <c r="S660" s="9">
        <f>COUNTIF(D660,"*_SEG_*")</f>
        <v>0</v>
      </c>
      <c r="T660" s="9">
        <f>COUNTIF(D660,"*_MAN_*")</f>
        <v>0</v>
      </c>
      <c r="U660" s="9">
        <f>(RIGHT(D660,4))*1</f>
        <v>30</v>
      </c>
      <c r="V660" s="9" t="str">
        <f>IFERROR(VLOOKUP(I660,#REF!,2,0),"Sinalização")</f>
        <v>Sinalização</v>
      </c>
    </row>
    <row r="661" spans="1:22" x14ac:dyDescent="0.25">
      <c r="A661" s="3" t="s">
        <v>22</v>
      </c>
      <c r="B661" s="4">
        <v>23509604</v>
      </c>
      <c r="C661" s="5" t="s">
        <v>23</v>
      </c>
      <c r="D661" s="6" t="s">
        <v>922</v>
      </c>
      <c r="E661" s="6" t="s">
        <v>25</v>
      </c>
      <c r="F661" s="11">
        <v>46165</v>
      </c>
      <c r="G661" s="6" t="s">
        <v>1079</v>
      </c>
      <c r="H661" s="7" t="s">
        <v>32</v>
      </c>
      <c r="I661" s="7" t="s">
        <v>924</v>
      </c>
      <c r="J661" s="7" t="s">
        <v>923</v>
      </c>
      <c r="K661" s="7" t="s">
        <v>29</v>
      </c>
      <c r="L661" s="3" t="str">
        <f>E661&amp;D661</f>
        <v>E.SP.IPAEE_INS_CONF_S_I_CDV DETETORA CA_0030</v>
      </c>
      <c r="M661" s="3" t="str">
        <f>IFERROR(MID(D661,SEARCH("S_I_",D661,1),3),"")</f>
        <v>S_I</v>
      </c>
      <c r="N661" s="3" t="str">
        <f>IFERROR(MID(D661,SEARCH("C_I_",D661,1),3),"")</f>
        <v/>
      </c>
      <c r="O661" s="3" t="str">
        <f>IF(AND(M661="",N661=""),"Extra","")</f>
        <v/>
      </c>
      <c r="P661" s="3" t="str">
        <f>IF(Q661=0,"TERCEIRO","MRS")</f>
        <v>MRS</v>
      </c>
      <c r="Q661" s="8" t="str">
        <f>IFERROR(VLOOKUP(L661,#REF!,4,0),"0,00")</f>
        <v>0,00</v>
      </c>
      <c r="R661" s="9" t="s">
        <v>42</v>
      </c>
      <c r="S661" s="9">
        <f>COUNTIF(D661,"*_SEG_*")</f>
        <v>0</v>
      </c>
      <c r="T661" s="9">
        <f>COUNTIF(D661,"*_MAN_*")</f>
        <v>0</v>
      </c>
      <c r="U661" s="9">
        <f>(RIGHT(D661,4))*1</f>
        <v>30</v>
      </c>
      <c r="V661" s="9" t="str">
        <f>IFERROR(VLOOKUP(I661,#REF!,2,0),"Sinalização")</f>
        <v>Sinalização</v>
      </c>
    </row>
    <row r="662" spans="1:22" x14ac:dyDescent="0.25">
      <c r="A662" s="3" t="s">
        <v>22</v>
      </c>
      <c r="B662" s="4">
        <v>23509605</v>
      </c>
      <c r="C662" s="5" t="s">
        <v>23</v>
      </c>
      <c r="D662" s="6" t="s">
        <v>922</v>
      </c>
      <c r="E662" s="6" t="s">
        <v>25</v>
      </c>
      <c r="F662" s="11">
        <v>46165</v>
      </c>
      <c r="G662" s="6" t="s">
        <v>1079</v>
      </c>
      <c r="H662" s="7" t="s">
        <v>32</v>
      </c>
      <c r="I662" s="7" t="s">
        <v>925</v>
      </c>
      <c r="J662" s="7" t="s">
        <v>923</v>
      </c>
      <c r="K662" s="7" t="s">
        <v>29</v>
      </c>
      <c r="L662" s="3" t="str">
        <f>E662&amp;D662</f>
        <v>E.SP.IPAEE_INS_CONF_S_I_CDV DETETORA CA_0030</v>
      </c>
      <c r="M662" s="3" t="str">
        <f>IFERROR(MID(D662,SEARCH("S_I_",D662,1),3),"")</f>
        <v>S_I</v>
      </c>
      <c r="N662" s="3" t="str">
        <f>IFERROR(MID(D662,SEARCH("C_I_",D662,1),3),"")</f>
        <v/>
      </c>
      <c r="O662" s="3" t="str">
        <f>IF(AND(M662="",N662=""),"Extra","")</f>
        <v/>
      </c>
      <c r="P662" s="3" t="str">
        <f>IF(Q662=0,"TERCEIRO","MRS")</f>
        <v>MRS</v>
      </c>
      <c r="Q662" s="8" t="str">
        <f>IFERROR(VLOOKUP(L662,#REF!,4,0),"0,00")</f>
        <v>0,00</v>
      </c>
      <c r="R662" s="9" t="s">
        <v>42</v>
      </c>
      <c r="S662" s="9">
        <f>COUNTIF(D662,"*_SEG_*")</f>
        <v>0</v>
      </c>
      <c r="T662" s="9">
        <f>COUNTIF(D662,"*_MAN_*")</f>
        <v>0</v>
      </c>
      <c r="U662" s="9">
        <f>(RIGHT(D662,4))*1</f>
        <v>30</v>
      </c>
      <c r="V662" s="9" t="str">
        <f>IFERROR(VLOOKUP(I662,#REF!,2,0),"Sinalização")</f>
        <v>Sinalização</v>
      </c>
    </row>
    <row r="663" spans="1:22" x14ac:dyDescent="0.25">
      <c r="A663" s="3" t="s">
        <v>22</v>
      </c>
      <c r="B663" s="4">
        <v>23509606</v>
      </c>
      <c r="C663" s="5" t="s">
        <v>23</v>
      </c>
      <c r="D663" s="6" t="s">
        <v>922</v>
      </c>
      <c r="E663" s="6" t="s">
        <v>25</v>
      </c>
      <c r="F663" s="11">
        <v>46165</v>
      </c>
      <c r="G663" s="6" t="s">
        <v>1079</v>
      </c>
      <c r="H663" s="7" t="s">
        <v>26</v>
      </c>
      <c r="I663" s="7" t="s">
        <v>374</v>
      </c>
      <c r="J663" s="7" t="s">
        <v>923</v>
      </c>
      <c r="K663" s="7" t="s">
        <v>29</v>
      </c>
      <c r="L663" s="3" t="str">
        <f>E663&amp;D663</f>
        <v>E.SP.IPAEE_INS_CONF_S_I_CDV DETETORA CA_0030</v>
      </c>
      <c r="M663" s="3" t="str">
        <f>IFERROR(MID(D663,SEARCH("S_I_",D663,1),3),"")</f>
        <v>S_I</v>
      </c>
      <c r="N663" s="3" t="str">
        <f>IFERROR(MID(D663,SEARCH("C_I_",D663,1),3),"")</f>
        <v/>
      </c>
      <c r="O663" s="3" t="str">
        <f>IF(AND(M663="",N663=""),"Extra","")</f>
        <v/>
      </c>
      <c r="P663" s="3" t="str">
        <f>IF(Q663=0,"TERCEIRO","MRS")</f>
        <v>MRS</v>
      </c>
      <c r="Q663" s="8" t="str">
        <f>IFERROR(VLOOKUP(L663,#REF!,4,0),"0,00")</f>
        <v>0,00</v>
      </c>
      <c r="R663" s="9" t="s">
        <v>42</v>
      </c>
      <c r="S663" s="9">
        <f>COUNTIF(D663,"*_SEG_*")</f>
        <v>0</v>
      </c>
      <c r="T663" s="9">
        <f>COUNTIF(D663,"*_MAN_*")</f>
        <v>0</v>
      </c>
      <c r="U663" s="9">
        <f>(RIGHT(D663,4))*1</f>
        <v>30</v>
      </c>
      <c r="V663" s="9" t="str">
        <f>IFERROR(VLOOKUP(I663,#REF!,2,0),"Sinalização")</f>
        <v>Sinalização</v>
      </c>
    </row>
    <row r="664" spans="1:22" x14ac:dyDescent="0.25">
      <c r="A664" s="3" t="s">
        <v>22</v>
      </c>
      <c r="B664" s="4">
        <v>23509607</v>
      </c>
      <c r="C664" s="5" t="s">
        <v>23</v>
      </c>
      <c r="D664" s="6" t="s">
        <v>922</v>
      </c>
      <c r="E664" s="6" t="s">
        <v>25</v>
      </c>
      <c r="F664" s="11">
        <v>46165</v>
      </c>
      <c r="G664" s="6" t="s">
        <v>1079</v>
      </c>
      <c r="H664" s="7" t="s">
        <v>26</v>
      </c>
      <c r="I664" s="7" t="s">
        <v>375</v>
      </c>
      <c r="J664" s="7" t="s">
        <v>923</v>
      </c>
      <c r="K664" s="7" t="s">
        <v>29</v>
      </c>
      <c r="L664" s="3" t="str">
        <f>E664&amp;D664</f>
        <v>E.SP.IPAEE_INS_CONF_S_I_CDV DETETORA CA_0030</v>
      </c>
      <c r="M664" s="3" t="str">
        <f>IFERROR(MID(D664,SEARCH("S_I_",D664,1),3),"")</f>
        <v>S_I</v>
      </c>
      <c r="N664" s="3" t="str">
        <f>IFERROR(MID(D664,SEARCH("C_I_",D664,1),3),"")</f>
        <v/>
      </c>
      <c r="O664" s="3" t="str">
        <f>IF(AND(M664="",N664=""),"Extra","")</f>
        <v/>
      </c>
      <c r="P664" s="3" t="str">
        <f>IF(Q664=0,"TERCEIRO","MRS")</f>
        <v>MRS</v>
      </c>
      <c r="Q664" s="8" t="str">
        <f>IFERROR(VLOOKUP(L664,#REF!,4,0),"0,00")</f>
        <v>0,00</v>
      </c>
      <c r="R664" s="9" t="s">
        <v>42</v>
      </c>
      <c r="S664" s="9">
        <f>COUNTIF(D664,"*_SEG_*")</f>
        <v>0</v>
      </c>
      <c r="T664" s="9">
        <f>COUNTIF(D664,"*_MAN_*")</f>
        <v>0</v>
      </c>
      <c r="U664" s="9">
        <f>(RIGHT(D664,4))*1</f>
        <v>30</v>
      </c>
      <c r="V664" s="9" t="str">
        <f>IFERROR(VLOOKUP(I664,#REF!,2,0),"Sinalização")</f>
        <v>Sinalização</v>
      </c>
    </row>
    <row r="665" spans="1:22" x14ac:dyDescent="0.25">
      <c r="A665" s="3" t="s">
        <v>22</v>
      </c>
      <c r="B665" s="4">
        <v>23509608</v>
      </c>
      <c r="C665" s="5" t="s">
        <v>23</v>
      </c>
      <c r="D665" s="6" t="s">
        <v>922</v>
      </c>
      <c r="E665" s="6" t="s">
        <v>25</v>
      </c>
      <c r="F665" s="11">
        <v>46165</v>
      </c>
      <c r="G665" s="6" t="s">
        <v>1079</v>
      </c>
      <c r="H665" s="7" t="s">
        <v>32</v>
      </c>
      <c r="I665" s="7" t="s">
        <v>755</v>
      </c>
      <c r="J665" s="7" t="s">
        <v>923</v>
      </c>
      <c r="K665" s="7" t="s">
        <v>29</v>
      </c>
      <c r="L665" s="3" t="str">
        <f>E665&amp;D665</f>
        <v>E.SP.IPAEE_INS_CONF_S_I_CDV DETETORA CA_0030</v>
      </c>
      <c r="M665" s="3" t="str">
        <f>IFERROR(MID(D665,SEARCH("S_I_",D665,1),3),"")</f>
        <v>S_I</v>
      </c>
      <c r="N665" s="3" t="str">
        <f>IFERROR(MID(D665,SEARCH("C_I_",D665,1),3),"")</f>
        <v/>
      </c>
      <c r="O665" s="3" t="str">
        <f>IF(AND(M665="",N665=""),"Extra","")</f>
        <v/>
      </c>
      <c r="P665" s="3" t="str">
        <f>IF(Q665=0,"TERCEIRO","MRS")</f>
        <v>MRS</v>
      </c>
      <c r="Q665" s="8" t="str">
        <f>IFERROR(VLOOKUP(L665,#REF!,4,0),"0,00")</f>
        <v>0,00</v>
      </c>
      <c r="R665" s="9" t="s">
        <v>42</v>
      </c>
      <c r="S665" s="9">
        <f>COUNTIF(D665,"*_SEG_*")</f>
        <v>0</v>
      </c>
      <c r="T665" s="9">
        <f>COUNTIF(D665,"*_MAN_*")</f>
        <v>0</v>
      </c>
      <c r="U665" s="9">
        <f>(RIGHT(D665,4))*1</f>
        <v>30</v>
      </c>
      <c r="V665" s="9" t="str">
        <f>IFERROR(VLOOKUP(I665,#REF!,2,0),"Sinalização")</f>
        <v>Sinalização</v>
      </c>
    </row>
    <row r="666" spans="1:22" x14ac:dyDescent="0.25">
      <c r="A666" s="3" t="s">
        <v>22</v>
      </c>
      <c r="B666" s="4">
        <v>23509609</v>
      </c>
      <c r="C666" s="5" t="s">
        <v>23</v>
      </c>
      <c r="D666" s="6" t="s">
        <v>922</v>
      </c>
      <c r="E666" s="6" t="s">
        <v>25</v>
      </c>
      <c r="F666" s="11">
        <v>46165</v>
      </c>
      <c r="G666" s="6" t="s">
        <v>1079</v>
      </c>
      <c r="H666" s="7" t="s">
        <v>32</v>
      </c>
      <c r="I666" s="7" t="s">
        <v>245</v>
      </c>
      <c r="J666" s="7" t="s">
        <v>923</v>
      </c>
      <c r="K666" s="7" t="s">
        <v>29</v>
      </c>
      <c r="L666" s="3" t="str">
        <f>E666&amp;D666</f>
        <v>E.SP.IPAEE_INS_CONF_S_I_CDV DETETORA CA_0030</v>
      </c>
      <c r="M666" s="3" t="str">
        <f>IFERROR(MID(D666,SEARCH("S_I_",D666,1),3),"")</f>
        <v>S_I</v>
      </c>
      <c r="N666" s="3" t="str">
        <f>IFERROR(MID(D666,SEARCH("C_I_",D666,1),3),"")</f>
        <v/>
      </c>
      <c r="O666" s="3" t="str">
        <f>IF(AND(M666="",N666=""),"Extra","")</f>
        <v/>
      </c>
      <c r="P666" s="3" t="str">
        <f>IF(Q666=0,"TERCEIRO","MRS")</f>
        <v>MRS</v>
      </c>
      <c r="Q666" s="8" t="str">
        <f>IFERROR(VLOOKUP(L666,#REF!,4,0),"0,00")</f>
        <v>0,00</v>
      </c>
      <c r="R666" s="9" t="s">
        <v>42</v>
      </c>
      <c r="S666" s="9">
        <f>COUNTIF(D666,"*_SEG_*")</f>
        <v>0</v>
      </c>
      <c r="T666" s="9">
        <f>COUNTIF(D666,"*_MAN_*")</f>
        <v>0</v>
      </c>
      <c r="U666" s="9">
        <f>(RIGHT(D666,4))*1</f>
        <v>30</v>
      </c>
      <c r="V666" s="9" t="str">
        <f>IFERROR(VLOOKUP(I666,#REF!,2,0),"Sinalização")</f>
        <v>Sinalização</v>
      </c>
    </row>
    <row r="667" spans="1:22" x14ac:dyDescent="0.25">
      <c r="A667" s="3" t="s">
        <v>22</v>
      </c>
      <c r="B667" s="4">
        <v>23509610</v>
      </c>
      <c r="C667" s="5" t="s">
        <v>23</v>
      </c>
      <c r="D667" s="6" t="s">
        <v>922</v>
      </c>
      <c r="E667" s="6" t="s">
        <v>25</v>
      </c>
      <c r="F667" s="11">
        <v>46165</v>
      </c>
      <c r="G667" s="6" t="s">
        <v>1079</v>
      </c>
      <c r="H667" s="7" t="s">
        <v>26</v>
      </c>
      <c r="I667" s="7" t="s">
        <v>302</v>
      </c>
      <c r="J667" s="7" t="s">
        <v>923</v>
      </c>
      <c r="K667" s="7" t="s">
        <v>29</v>
      </c>
      <c r="L667" s="3" t="str">
        <f>E667&amp;D667</f>
        <v>E.SP.IPAEE_INS_CONF_S_I_CDV DETETORA CA_0030</v>
      </c>
      <c r="M667" s="3" t="str">
        <f>IFERROR(MID(D667,SEARCH("S_I_",D667,1),3),"")</f>
        <v>S_I</v>
      </c>
      <c r="N667" s="3" t="str">
        <f>IFERROR(MID(D667,SEARCH("C_I_",D667,1),3),"")</f>
        <v/>
      </c>
      <c r="O667" s="3" t="str">
        <f>IF(AND(M667="",N667=""),"Extra","")</f>
        <v/>
      </c>
      <c r="P667" s="3" t="str">
        <f>IF(Q667=0,"TERCEIRO","MRS")</f>
        <v>MRS</v>
      </c>
      <c r="Q667" s="8" t="str">
        <f>IFERROR(VLOOKUP(L667,#REF!,4,0),"0,00")</f>
        <v>0,00</v>
      </c>
      <c r="R667" s="9" t="s">
        <v>42</v>
      </c>
      <c r="S667" s="9">
        <f>COUNTIF(D667,"*_SEG_*")</f>
        <v>0</v>
      </c>
      <c r="T667" s="9">
        <f>COUNTIF(D667,"*_MAN_*")</f>
        <v>0</v>
      </c>
      <c r="U667" s="9">
        <f>(RIGHT(D667,4))*1</f>
        <v>30</v>
      </c>
      <c r="V667" s="9" t="str">
        <f>IFERROR(VLOOKUP(I667,#REF!,2,0),"Sinalização")</f>
        <v>Sinalização</v>
      </c>
    </row>
    <row r="668" spans="1:22" x14ac:dyDescent="0.25">
      <c r="A668" s="3" t="s">
        <v>22</v>
      </c>
      <c r="B668" s="4">
        <v>23509611</v>
      </c>
      <c r="C668" s="5" t="s">
        <v>23</v>
      </c>
      <c r="D668" s="6" t="s">
        <v>922</v>
      </c>
      <c r="E668" s="6" t="s">
        <v>25</v>
      </c>
      <c r="F668" s="11">
        <v>46165</v>
      </c>
      <c r="G668" s="6" t="s">
        <v>1079</v>
      </c>
      <c r="H668" s="7" t="s">
        <v>26</v>
      </c>
      <c r="I668" s="7" t="s">
        <v>301</v>
      </c>
      <c r="J668" s="7" t="s">
        <v>923</v>
      </c>
      <c r="K668" s="7" t="s">
        <v>29</v>
      </c>
      <c r="L668" s="3" t="str">
        <f>E668&amp;D668</f>
        <v>E.SP.IPAEE_INS_CONF_S_I_CDV DETETORA CA_0030</v>
      </c>
      <c r="M668" s="3" t="str">
        <f>IFERROR(MID(D668,SEARCH("S_I_",D668,1),3),"")</f>
        <v>S_I</v>
      </c>
      <c r="N668" s="3" t="str">
        <f>IFERROR(MID(D668,SEARCH("C_I_",D668,1),3),"")</f>
        <v/>
      </c>
      <c r="O668" s="3" t="str">
        <f>IF(AND(M668="",N668=""),"Extra","")</f>
        <v/>
      </c>
      <c r="P668" s="3" t="str">
        <f>IF(Q668=0,"TERCEIRO","MRS")</f>
        <v>MRS</v>
      </c>
      <c r="Q668" s="8" t="str">
        <f>IFERROR(VLOOKUP(L668,#REF!,4,0),"0,00")</f>
        <v>0,00</v>
      </c>
      <c r="R668" s="9" t="s">
        <v>42</v>
      </c>
      <c r="S668" s="9">
        <f>COUNTIF(D668,"*_SEG_*")</f>
        <v>0</v>
      </c>
      <c r="T668" s="9">
        <f>COUNTIF(D668,"*_MAN_*")</f>
        <v>0</v>
      </c>
      <c r="U668" s="9">
        <f>(RIGHT(D668,4))*1</f>
        <v>30</v>
      </c>
      <c r="V668" s="9" t="str">
        <f>IFERROR(VLOOKUP(I668,#REF!,2,0),"Sinalização")</f>
        <v>Sinalização</v>
      </c>
    </row>
    <row r="669" spans="1:22" x14ac:dyDescent="0.25">
      <c r="A669" s="3" t="s">
        <v>22</v>
      </c>
      <c r="B669" s="4">
        <v>23509650</v>
      </c>
      <c r="C669" s="5" t="s">
        <v>23</v>
      </c>
      <c r="D669" s="6" t="s">
        <v>926</v>
      </c>
      <c r="E669" s="6" t="s">
        <v>25</v>
      </c>
      <c r="F669" s="11">
        <v>46165</v>
      </c>
      <c r="G669" s="6" t="s">
        <v>1079</v>
      </c>
      <c r="H669" s="7" t="s">
        <v>32</v>
      </c>
      <c r="I669" s="7" t="s">
        <v>253</v>
      </c>
      <c r="J669" s="7" t="s">
        <v>927</v>
      </c>
      <c r="K669" s="7" t="s">
        <v>29</v>
      </c>
      <c r="L669" s="3" t="str">
        <f>E669&amp;D669</f>
        <v>E.SP.IPAEE_INS_CONF_C_I_MCH 110VCC GRS 5C R_0030</v>
      </c>
      <c r="M669" s="3" t="str">
        <f>IFERROR(MID(D669,SEARCH("S_I_",D669,1),3),"")</f>
        <v/>
      </c>
      <c r="N669" s="3" t="str">
        <f>IFERROR(MID(D669,SEARCH("C_I_",D669,1),3),"")</f>
        <v>C_I</v>
      </c>
      <c r="O669" s="3" t="str">
        <f>IF(AND(M669="",N669=""),"Extra","")</f>
        <v/>
      </c>
      <c r="P669" s="3" t="str">
        <f>IF(Q669=0,"TERCEIRO","MRS")</f>
        <v>MRS</v>
      </c>
      <c r="Q669" s="8" t="str">
        <f>IFERROR(VLOOKUP(L669,#REF!,4,0),"0,00")</f>
        <v>0,00</v>
      </c>
      <c r="R669" s="9" t="s">
        <v>42</v>
      </c>
      <c r="S669" s="9">
        <f>COUNTIF(D669,"*_SEG_*")</f>
        <v>0</v>
      </c>
      <c r="T669" s="9">
        <f>COUNTIF(D669,"*_MAN_*")</f>
        <v>0</v>
      </c>
      <c r="U669" s="9">
        <f>(RIGHT(D669,4))*1</f>
        <v>30</v>
      </c>
      <c r="V669" s="9" t="str">
        <f>IFERROR(VLOOKUP(I669,#REF!,2,0),"Sinalização")</f>
        <v>Sinalização</v>
      </c>
    </row>
    <row r="670" spans="1:22" x14ac:dyDescent="0.25">
      <c r="A670" s="3" t="s">
        <v>22</v>
      </c>
      <c r="B670" s="4">
        <v>23509675</v>
      </c>
      <c r="C670" s="5" t="s">
        <v>23</v>
      </c>
      <c r="D670" s="6" t="s">
        <v>928</v>
      </c>
      <c r="E670" s="6" t="s">
        <v>25</v>
      </c>
      <c r="F670" s="11">
        <v>46165</v>
      </c>
      <c r="G670" s="6" t="s">
        <v>1079</v>
      </c>
      <c r="H670" s="7" t="s">
        <v>32</v>
      </c>
      <c r="I670" s="7" t="s">
        <v>343</v>
      </c>
      <c r="J670" s="7" t="s">
        <v>910</v>
      </c>
      <c r="K670" s="7" t="s">
        <v>29</v>
      </c>
      <c r="L670" s="3" t="str">
        <f>E670&amp;D670</f>
        <v>E.SP.IPAEE_MAN_CONF_S_I_SINAL L UNIFO AUT_0030</v>
      </c>
      <c r="M670" s="3" t="str">
        <f>IFERROR(MID(D670,SEARCH("S_I_",D670,1),3),"")</f>
        <v>S_I</v>
      </c>
      <c r="N670" s="3" t="str">
        <f>IFERROR(MID(D670,SEARCH("C_I_",D670,1),3),"")</f>
        <v/>
      </c>
      <c r="O670" s="3" t="str">
        <f>IF(AND(M670="",N670=""),"Extra","")</f>
        <v/>
      </c>
      <c r="P670" s="3" t="str">
        <f>IF(Q670=0,"TERCEIRO","MRS")</f>
        <v>MRS</v>
      </c>
      <c r="Q670" s="8" t="str">
        <f>IFERROR(VLOOKUP(L670,#REF!,4,0),"0,00")</f>
        <v>0,00</v>
      </c>
      <c r="R670" s="9" t="s">
        <v>42</v>
      </c>
      <c r="S670" s="9">
        <f>COUNTIF(D670,"*_SEG_*")</f>
        <v>0</v>
      </c>
      <c r="T670" s="9">
        <f>COUNTIF(D670,"*_MAN_*")</f>
        <v>1</v>
      </c>
      <c r="U670" s="9">
        <f>(RIGHT(D670,4))*1</f>
        <v>30</v>
      </c>
      <c r="V670" s="9" t="str">
        <f>IFERROR(VLOOKUP(I670,#REF!,2,0),"Sinalização")</f>
        <v>Sinalização</v>
      </c>
    </row>
    <row r="671" spans="1:22" x14ac:dyDescent="0.25">
      <c r="A671" s="3" t="s">
        <v>22</v>
      </c>
      <c r="B671" s="4">
        <v>23509676</v>
      </c>
      <c r="C671" s="5" t="s">
        <v>23</v>
      </c>
      <c r="D671" s="6" t="s">
        <v>928</v>
      </c>
      <c r="E671" s="6" t="s">
        <v>25</v>
      </c>
      <c r="F671" s="11">
        <v>46165</v>
      </c>
      <c r="G671" s="6" t="s">
        <v>1079</v>
      </c>
      <c r="H671" s="7" t="s">
        <v>26</v>
      </c>
      <c r="I671" s="7" t="s">
        <v>345</v>
      </c>
      <c r="J671" s="7" t="s">
        <v>910</v>
      </c>
      <c r="K671" s="7" t="s">
        <v>29</v>
      </c>
      <c r="L671" s="3" t="str">
        <f>E671&amp;D671</f>
        <v>E.SP.IPAEE_MAN_CONF_S_I_SINAL L UNIFO AUT_0030</v>
      </c>
      <c r="M671" s="3" t="str">
        <f>IFERROR(MID(D671,SEARCH("S_I_",D671,1),3),"")</f>
        <v>S_I</v>
      </c>
      <c r="N671" s="3" t="str">
        <f>IFERROR(MID(D671,SEARCH("C_I_",D671,1),3),"")</f>
        <v/>
      </c>
      <c r="O671" s="3" t="str">
        <f>IF(AND(M671="",N671=""),"Extra","")</f>
        <v/>
      </c>
      <c r="P671" s="3" t="str">
        <f>IF(Q671=0,"TERCEIRO","MRS")</f>
        <v>MRS</v>
      </c>
      <c r="Q671" s="8" t="str">
        <f>IFERROR(VLOOKUP(L671,#REF!,4,0),"0,00")</f>
        <v>0,00</v>
      </c>
      <c r="R671" s="9" t="s">
        <v>42</v>
      </c>
      <c r="S671" s="9">
        <f>COUNTIF(D671,"*_SEG_*")</f>
        <v>0</v>
      </c>
      <c r="T671" s="9">
        <f>COUNTIF(D671,"*_MAN_*")</f>
        <v>1</v>
      </c>
      <c r="U671" s="9">
        <f>(RIGHT(D671,4))*1</f>
        <v>30</v>
      </c>
      <c r="V671" s="9" t="str">
        <f>IFERROR(VLOOKUP(I671,#REF!,2,0),"Sinalização")</f>
        <v>Sinalização</v>
      </c>
    </row>
    <row r="672" spans="1:22" x14ac:dyDescent="0.25">
      <c r="A672" s="3" t="s">
        <v>22</v>
      </c>
      <c r="B672" s="4">
        <v>23509677</v>
      </c>
      <c r="C672" s="5" t="s">
        <v>23</v>
      </c>
      <c r="D672" s="6" t="s">
        <v>928</v>
      </c>
      <c r="E672" s="6" t="s">
        <v>25</v>
      </c>
      <c r="F672" s="11">
        <v>46165</v>
      </c>
      <c r="G672" s="6" t="s">
        <v>1079</v>
      </c>
      <c r="H672" s="7" t="s">
        <v>26</v>
      </c>
      <c r="I672" s="7" t="s">
        <v>344</v>
      </c>
      <c r="J672" s="7" t="s">
        <v>910</v>
      </c>
      <c r="K672" s="7" t="s">
        <v>29</v>
      </c>
      <c r="L672" s="3" t="str">
        <f>E672&amp;D672</f>
        <v>E.SP.IPAEE_MAN_CONF_S_I_SINAL L UNIFO AUT_0030</v>
      </c>
      <c r="M672" s="3" t="str">
        <f>IFERROR(MID(D672,SEARCH("S_I_",D672,1),3),"")</f>
        <v>S_I</v>
      </c>
      <c r="N672" s="3" t="str">
        <f>IFERROR(MID(D672,SEARCH("C_I_",D672,1),3),"")</f>
        <v/>
      </c>
      <c r="O672" s="3" t="str">
        <f>IF(AND(M672="",N672=""),"Extra","")</f>
        <v/>
      </c>
      <c r="P672" s="3" t="str">
        <f>IF(Q672=0,"TERCEIRO","MRS")</f>
        <v>MRS</v>
      </c>
      <c r="Q672" s="8" t="str">
        <f>IFERROR(VLOOKUP(L672,#REF!,4,0),"0,00")</f>
        <v>0,00</v>
      </c>
      <c r="R672" s="9" t="s">
        <v>42</v>
      </c>
      <c r="S672" s="9">
        <f>COUNTIF(D672,"*_SEG_*")</f>
        <v>0</v>
      </c>
      <c r="T672" s="9">
        <f>COUNTIF(D672,"*_MAN_*")</f>
        <v>1</v>
      </c>
      <c r="U672" s="9">
        <f>(RIGHT(D672,4))*1</f>
        <v>30</v>
      </c>
      <c r="V672" s="9" t="str">
        <f>IFERROR(VLOOKUP(I672,#REF!,2,0),"Sinalização")</f>
        <v>Sinalização</v>
      </c>
    </row>
    <row r="673" spans="1:22" x14ac:dyDescent="0.25">
      <c r="A673" s="3" t="s">
        <v>22</v>
      </c>
      <c r="B673" s="4">
        <v>23509678</v>
      </c>
      <c r="C673" s="5" t="s">
        <v>23</v>
      </c>
      <c r="D673" s="6" t="s">
        <v>928</v>
      </c>
      <c r="E673" s="6" t="s">
        <v>25</v>
      </c>
      <c r="F673" s="11">
        <v>46165</v>
      </c>
      <c r="G673" s="6" t="s">
        <v>1079</v>
      </c>
      <c r="H673" s="7" t="s">
        <v>32</v>
      </c>
      <c r="I673" s="7" t="s">
        <v>55</v>
      </c>
      <c r="J673" s="7" t="s">
        <v>910</v>
      </c>
      <c r="K673" s="7" t="s">
        <v>29</v>
      </c>
      <c r="L673" s="3" t="str">
        <f>E673&amp;D673</f>
        <v>E.SP.IPAEE_MAN_CONF_S_I_SINAL L UNIFO AUT_0030</v>
      </c>
      <c r="M673" s="3" t="str">
        <f>IFERROR(MID(D673,SEARCH("S_I_",D673,1),3),"")</f>
        <v>S_I</v>
      </c>
      <c r="N673" s="3" t="str">
        <f>IFERROR(MID(D673,SEARCH("C_I_",D673,1),3),"")</f>
        <v/>
      </c>
      <c r="O673" s="3" t="str">
        <f>IF(AND(M673="",N673=""),"Extra","")</f>
        <v/>
      </c>
      <c r="P673" s="3" t="str">
        <f>IF(Q673=0,"TERCEIRO","MRS")</f>
        <v>MRS</v>
      </c>
      <c r="Q673" s="8" t="str">
        <f>IFERROR(VLOOKUP(L673,#REF!,4,0),"0,00")</f>
        <v>0,00</v>
      </c>
      <c r="R673" s="9" t="s">
        <v>42</v>
      </c>
      <c r="S673" s="9">
        <f>COUNTIF(D673,"*_SEG_*")</f>
        <v>0</v>
      </c>
      <c r="T673" s="9">
        <f>COUNTIF(D673,"*_MAN_*")</f>
        <v>1</v>
      </c>
      <c r="U673" s="9">
        <f>(RIGHT(D673,4))*1</f>
        <v>30</v>
      </c>
      <c r="V673" s="9" t="str">
        <f>IFERROR(VLOOKUP(I673,#REF!,2,0),"Sinalização")</f>
        <v>Sinalização</v>
      </c>
    </row>
    <row r="674" spans="1:22" x14ac:dyDescent="0.25">
      <c r="A674" s="3" t="s">
        <v>22</v>
      </c>
      <c r="B674" s="4">
        <v>23509680</v>
      </c>
      <c r="C674" s="5" t="s">
        <v>23</v>
      </c>
      <c r="D674" s="6" t="s">
        <v>928</v>
      </c>
      <c r="E674" s="6" t="s">
        <v>25</v>
      </c>
      <c r="F674" s="11">
        <v>46165</v>
      </c>
      <c r="G674" s="6" t="s">
        <v>1079</v>
      </c>
      <c r="H674" s="7" t="s">
        <v>32</v>
      </c>
      <c r="I674" s="7" t="s">
        <v>381</v>
      </c>
      <c r="J674" s="7" t="s">
        <v>910</v>
      </c>
      <c r="K674" s="7" t="s">
        <v>29</v>
      </c>
      <c r="L674" s="3" t="str">
        <f>E674&amp;D674</f>
        <v>E.SP.IPAEE_MAN_CONF_S_I_SINAL L UNIFO AUT_0030</v>
      </c>
      <c r="M674" s="3" t="str">
        <f>IFERROR(MID(D674,SEARCH("S_I_",D674,1),3),"")</f>
        <v>S_I</v>
      </c>
      <c r="N674" s="3" t="str">
        <f>IFERROR(MID(D674,SEARCH("C_I_",D674,1),3),"")</f>
        <v/>
      </c>
      <c r="O674" s="3" t="str">
        <f>IF(AND(M674="",N674=""),"Extra","")</f>
        <v/>
      </c>
      <c r="P674" s="3" t="str">
        <f>IF(Q674=0,"TERCEIRO","MRS")</f>
        <v>MRS</v>
      </c>
      <c r="Q674" s="8" t="str">
        <f>IFERROR(VLOOKUP(L674,#REF!,4,0),"0,00")</f>
        <v>0,00</v>
      </c>
      <c r="R674" s="9" t="s">
        <v>42</v>
      </c>
      <c r="S674" s="9">
        <f>COUNTIF(D674,"*_SEG_*")</f>
        <v>0</v>
      </c>
      <c r="T674" s="9">
        <f>COUNTIF(D674,"*_MAN_*")</f>
        <v>1</v>
      </c>
      <c r="U674" s="9">
        <f>(RIGHT(D674,4))*1</f>
        <v>30</v>
      </c>
      <c r="V674" s="9" t="str">
        <f>IFERROR(VLOOKUP(I674,#REF!,2,0),"Sinalização")</f>
        <v>Sinalização</v>
      </c>
    </row>
    <row r="675" spans="1:22" x14ac:dyDescent="0.25">
      <c r="A675" s="3" t="s">
        <v>22</v>
      </c>
      <c r="B675" s="4">
        <v>23509681</v>
      </c>
      <c r="C675" s="5" t="s">
        <v>23</v>
      </c>
      <c r="D675" s="6" t="s">
        <v>928</v>
      </c>
      <c r="E675" s="6" t="s">
        <v>25</v>
      </c>
      <c r="F675" s="11">
        <v>46165</v>
      </c>
      <c r="G675" s="6" t="s">
        <v>1079</v>
      </c>
      <c r="H675" s="7" t="s">
        <v>26</v>
      </c>
      <c r="I675" s="7" t="s">
        <v>338</v>
      </c>
      <c r="J675" s="7" t="s">
        <v>910</v>
      </c>
      <c r="K675" s="7" t="s">
        <v>29</v>
      </c>
      <c r="L675" s="3" t="str">
        <f>E675&amp;D675</f>
        <v>E.SP.IPAEE_MAN_CONF_S_I_SINAL L UNIFO AUT_0030</v>
      </c>
      <c r="M675" s="3" t="str">
        <f>IFERROR(MID(D675,SEARCH("S_I_",D675,1),3),"")</f>
        <v>S_I</v>
      </c>
      <c r="N675" s="3" t="str">
        <f>IFERROR(MID(D675,SEARCH("C_I_",D675,1),3),"")</f>
        <v/>
      </c>
      <c r="O675" s="3" t="str">
        <f>IF(AND(M675="",N675=""),"Extra","")</f>
        <v/>
      </c>
      <c r="P675" s="3" t="str">
        <f>IF(Q675=0,"TERCEIRO","MRS")</f>
        <v>MRS</v>
      </c>
      <c r="Q675" s="8" t="str">
        <f>IFERROR(VLOOKUP(L675,#REF!,4,0),"0,00")</f>
        <v>0,00</v>
      </c>
      <c r="R675" s="9" t="s">
        <v>42</v>
      </c>
      <c r="S675" s="9">
        <f>COUNTIF(D675,"*_SEG_*")</f>
        <v>0</v>
      </c>
      <c r="T675" s="9">
        <f>COUNTIF(D675,"*_MAN_*")</f>
        <v>1</v>
      </c>
      <c r="U675" s="9">
        <f>(RIGHT(D675,4))*1</f>
        <v>30</v>
      </c>
      <c r="V675" s="9" t="str">
        <f>IFERROR(VLOOKUP(I675,#REF!,2,0),"Sinalização")</f>
        <v>Sinalização</v>
      </c>
    </row>
    <row r="676" spans="1:22" x14ac:dyDescent="0.25">
      <c r="A676" s="3" t="s">
        <v>22</v>
      </c>
      <c r="B676" s="4">
        <v>23509682</v>
      </c>
      <c r="C676" s="5" t="s">
        <v>23</v>
      </c>
      <c r="D676" s="6" t="s">
        <v>928</v>
      </c>
      <c r="E676" s="6" t="s">
        <v>25</v>
      </c>
      <c r="F676" s="11">
        <v>46165</v>
      </c>
      <c r="G676" s="6" t="s">
        <v>1079</v>
      </c>
      <c r="H676" s="7" t="s">
        <v>26</v>
      </c>
      <c r="I676" s="7" t="s">
        <v>339</v>
      </c>
      <c r="J676" s="7" t="s">
        <v>910</v>
      </c>
      <c r="K676" s="7" t="s">
        <v>29</v>
      </c>
      <c r="L676" s="3" t="str">
        <f>E676&amp;D676</f>
        <v>E.SP.IPAEE_MAN_CONF_S_I_SINAL L UNIFO AUT_0030</v>
      </c>
      <c r="M676" s="3" t="str">
        <f>IFERROR(MID(D676,SEARCH("S_I_",D676,1),3),"")</f>
        <v>S_I</v>
      </c>
      <c r="N676" s="3" t="str">
        <f>IFERROR(MID(D676,SEARCH("C_I_",D676,1),3),"")</f>
        <v/>
      </c>
      <c r="O676" s="3" t="str">
        <f>IF(AND(M676="",N676=""),"Extra","")</f>
        <v/>
      </c>
      <c r="P676" s="3" t="str">
        <f>IF(Q676=0,"TERCEIRO","MRS")</f>
        <v>MRS</v>
      </c>
      <c r="Q676" s="8" t="str">
        <f>IFERROR(VLOOKUP(L676,#REF!,4,0),"0,00")</f>
        <v>0,00</v>
      </c>
      <c r="R676" s="9" t="s">
        <v>42</v>
      </c>
      <c r="S676" s="9">
        <f>COUNTIF(D676,"*_SEG_*")</f>
        <v>0</v>
      </c>
      <c r="T676" s="9">
        <f>COUNTIF(D676,"*_MAN_*")</f>
        <v>1</v>
      </c>
      <c r="U676" s="9">
        <f>(RIGHT(D676,4))*1</f>
        <v>30</v>
      </c>
      <c r="V676" s="9" t="str">
        <f>IFERROR(VLOOKUP(I676,#REF!,2,0),"Sinalização")</f>
        <v>Sinalização</v>
      </c>
    </row>
    <row r="677" spans="1:22" x14ac:dyDescent="0.25">
      <c r="A677" s="3" t="s">
        <v>22</v>
      </c>
      <c r="B677" s="4">
        <v>23509713</v>
      </c>
      <c r="C677" s="5" t="s">
        <v>23</v>
      </c>
      <c r="D677" s="6" t="s">
        <v>812</v>
      </c>
      <c r="E677" s="6" t="s">
        <v>25</v>
      </c>
      <c r="F677" s="11">
        <v>46165</v>
      </c>
      <c r="G677" s="6" t="s">
        <v>1079</v>
      </c>
      <c r="H677" s="7" t="s">
        <v>32</v>
      </c>
      <c r="I677" s="7" t="s">
        <v>916</v>
      </c>
      <c r="J677" s="7" t="s">
        <v>813</v>
      </c>
      <c r="K677" s="7" t="s">
        <v>29</v>
      </c>
      <c r="L677" s="3" t="str">
        <f>E677&amp;D677</f>
        <v>E.SP.IPAEE_INS_SEG_S_I_MAQ CHAVE MOLA_0030</v>
      </c>
      <c r="M677" s="3" t="str">
        <f>IFERROR(MID(D677,SEARCH("S_I_",D677,1),3),"")</f>
        <v>S_I</v>
      </c>
      <c r="N677" s="3" t="str">
        <f>IFERROR(MID(D677,SEARCH("C_I_",D677,1),3),"")</f>
        <v/>
      </c>
      <c r="O677" s="3" t="str">
        <f>IF(AND(M677="",N677=""),"Extra","")</f>
        <v/>
      </c>
      <c r="P677" s="3" t="str">
        <f>IF(Q677=0,"TERCEIRO","MRS")</f>
        <v>MRS</v>
      </c>
      <c r="Q677" s="8" t="str">
        <f>IFERROR(VLOOKUP(L677,#REF!,4,0),"0,00")</f>
        <v>0,00</v>
      </c>
      <c r="R677" s="9" t="s">
        <v>30</v>
      </c>
      <c r="S677" s="9">
        <f>COUNTIF(D677,"*_SEG_*")</f>
        <v>1</v>
      </c>
      <c r="T677" s="9">
        <f>COUNTIF(D677,"*_MAN_*")</f>
        <v>0</v>
      </c>
      <c r="U677" s="9">
        <f>(RIGHT(D677,4))*1</f>
        <v>30</v>
      </c>
      <c r="V677" s="9" t="str">
        <f>IFERROR(VLOOKUP(I677,#REF!,2,0),"Sinalização")</f>
        <v>Sinalização</v>
      </c>
    </row>
    <row r="678" spans="1:22" x14ac:dyDescent="0.25">
      <c r="A678" s="3" t="s">
        <v>22</v>
      </c>
      <c r="B678" s="4">
        <v>23509714</v>
      </c>
      <c r="C678" s="5" t="s">
        <v>23</v>
      </c>
      <c r="D678" s="6" t="s">
        <v>812</v>
      </c>
      <c r="E678" s="6" t="s">
        <v>25</v>
      </c>
      <c r="F678" s="11">
        <v>46165</v>
      </c>
      <c r="G678" s="6" t="s">
        <v>1079</v>
      </c>
      <c r="H678" s="7" t="s">
        <v>32</v>
      </c>
      <c r="I678" s="7" t="s">
        <v>27</v>
      </c>
      <c r="J678" s="7" t="s">
        <v>813</v>
      </c>
      <c r="K678" s="7" t="s">
        <v>29</v>
      </c>
      <c r="L678" s="3" t="str">
        <f>E678&amp;D678</f>
        <v>E.SP.IPAEE_INS_SEG_S_I_MAQ CHAVE MOLA_0030</v>
      </c>
      <c r="M678" s="3" t="str">
        <f>IFERROR(MID(D678,SEARCH("S_I_",D678,1),3),"")</f>
        <v>S_I</v>
      </c>
      <c r="N678" s="3" t="str">
        <f>IFERROR(MID(D678,SEARCH("C_I_",D678,1),3),"")</f>
        <v/>
      </c>
      <c r="O678" s="3" t="str">
        <f>IF(AND(M678="",N678=""),"Extra","")</f>
        <v/>
      </c>
      <c r="P678" s="3" t="str">
        <f>IF(Q678=0,"TERCEIRO","MRS")</f>
        <v>MRS</v>
      </c>
      <c r="Q678" s="8" t="str">
        <f>IFERROR(VLOOKUP(L678,#REF!,4,0),"0,00")</f>
        <v>0,00</v>
      </c>
      <c r="R678" s="9" t="s">
        <v>30</v>
      </c>
      <c r="S678" s="9">
        <f>COUNTIF(D678,"*_SEG_*")</f>
        <v>1</v>
      </c>
      <c r="T678" s="9">
        <f>COUNTIF(D678,"*_MAN_*")</f>
        <v>0</v>
      </c>
      <c r="U678" s="9">
        <f>(RIGHT(D678,4))*1</f>
        <v>30</v>
      </c>
      <c r="V678" s="9" t="str">
        <f>IFERROR(VLOOKUP(I678,#REF!,2,0),"Sinalização")</f>
        <v>Sinalização</v>
      </c>
    </row>
    <row r="679" spans="1:22" x14ac:dyDescent="0.25">
      <c r="A679" s="3" t="s">
        <v>22</v>
      </c>
      <c r="B679" s="4">
        <v>23509746</v>
      </c>
      <c r="C679" s="5" t="s">
        <v>23</v>
      </c>
      <c r="D679" s="6" t="s">
        <v>929</v>
      </c>
      <c r="E679" s="6" t="s">
        <v>25</v>
      </c>
      <c r="F679" s="11">
        <v>46165</v>
      </c>
      <c r="G679" s="6" t="s">
        <v>1079</v>
      </c>
      <c r="H679" s="7" t="s">
        <v>26</v>
      </c>
      <c r="I679" s="7" t="s">
        <v>188</v>
      </c>
      <c r="J679" s="7" t="s">
        <v>810</v>
      </c>
      <c r="K679" s="7" t="s">
        <v>29</v>
      </c>
      <c r="L679" s="3" t="str">
        <f>E679&amp;D679</f>
        <v>E.SP.IPAEE_MAN_CONF_C_I_MCH 110VCC GRS 55BR_0030</v>
      </c>
      <c r="M679" s="3" t="str">
        <f>IFERROR(MID(D679,SEARCH("S_I_",D679,1),3),"")</f>
        <v/>
      </c>
      <c r="N679" s="3" t="str">
        <f>IFERROR(MID(D679,SEARCH("C_I_",D679,1),3),"")</f>
        <v>C_I</v>
      </c>
      <c r="O679" s="3" t="str">
        <f>IF(AND(M679="",N679=""),"Extra","")</f>
        <v/>
      </c>
      <c r="P679" s="3" t="str">
        <f>IF(Q679=0,"TERCEIRO","MRS")</f>
        <v>MRS</v>
      </c>
      <c r="Q679" s="8" t="str">
        <f>IFERROR(VLOOKUP(L679,#REF!,4,0),"0,00")</f>
        <v>0,00</v>
      </c>
      <c r="R679" s="9" t="s">
        <v>42</v>
      </c>
      <c r="S679" s="9">
        <f>COUNTIF(D679,"*_SEG_*")</f>
        <v>0</v>
      </c>
      <c r="T679" s="9">
        <f>COUNTIF(D679,"*_MAN_*")</f>
        <v>1</v>
      </c>
      <c r="U679" s="9">
        <f>(RIGHT(D679,4))*1</f>
        <v>30</v>
      </c>
      <c r="V679" s="9" t="str">
        <f>IFERROR(VLOOKUP(I679,#REF!,2,0),"Sinalização")</f>
        <v>Sinalização</v>
      </c>
    </row>
    <row r="680" spans="1:22" x14ac:dyDescent="0.25">
      <c r="A680" s="3" t="s">
        <v>22</v>
      </c>
      <c r="B680" s="4">
        <v>23509747</v>
      </c>
      <c r="C680" s="5" t="s">
        <v>23</v>
      </c>
      <c r="D680" s="6" t="s">
        <v>929</v>
      </c>
      <c r="E680" s="6" t="s">
        <v>25</v>
      </c>
      <c r="F680" s="11">
        <v>46165</v>
      </c>
      <c r="G680" s="6" t="s">
        <v>1079</v>
      </c>
      <c r="H680" s="7" t="s">
        <v>26</v>
      </c>
      <c r="I680" s="7" t="s">
        <v>190</v>
      </c>
      <c r="J680" s="7" t="s">
        <v>810</v>
      </c>
      <c r="K680" s="7" t="s">
        <v>29</v>
      </c>
      <c r="L680" s="3" t="str">
        <f>E680&amp;D680</f>
        <v>E.SP.IPAEE_MAN_CONF_C_I_MCH 110VCC GRS 55BR_0030</v>
      </c>
      <c r="M680" s="3" t="str">
        <f>IFERROR(MID(D680,SEARCH("S_I_",D680,1),3),"")</f>
        <v/>
      </c>
      <c r="N680" s="3" t="str">
        <f>IFERROR(MID(D680,SEARCH("C_I_",D680,1),3),"")</f>
        <v>C_I</v>
      </c>
      <c r="O680" s="3" t="str">
        <f>IF(AND(M680="",N680=""),"Extra","")</f>
        <v/>
      </c>
      <c r="P680" s="3" t="str">
        <f>IF(Q680=0,"TERCEIRO","MRS")</f>
        <v>MRS</v>
      </c>
      <c r="Q680" s="8" t="str">
        <f>IFERROR(VLOOKUP(L680,#REF!,4,0),"0,00")</f>
        <v>0,00</v>
      </c>
      <c r="R680" s="9" t="s">
        <v>42</v>
      </c>
      <c r="S680" s="9">
        <f>COUNTIF(D680,"*_SEG_*")</f>
        <v>0</v>
      </c>
      <c r="T680" s="9">
        <f>COUNTIF(D680,"*_MAN_*")</f>
        <v>1</v>
      </c>
      <c r="U680" s="9">
        <f>(RIGHT(D680,4))*1</f>
        <v>30</v>
      </c>
      <c r="V680" s="9" t="str">
        <f>IFERROR(VLOOKUP(I680,#REF!,2,0),"Sinalização")</f>
        <v>Sinalização</v>
      </c>
    </row>
    <row r="681" spans="1:22" x14ac:dyDescent="0.25">
      <c r="A681" s="3" t="s">
        <v>22</v>
      </c>
      <c r="B681" s="4">
        <v>23509748</v>
      </c>
      <c r="C681" s="5" t="s">
        <v>23</v>
      </c>
      <c r="D681" s="6" t="s">
        <v>929</v>
      </c>
      <c r="E681" s="6" t="s">
        <v>25</v>
      </c>
      <c r="F681" s="11">
        <v>46165</v>
      </c>
      <c r="G681" s="6" t="s">
        <v>1079</v>
      </c>
      <c r="H681" s="7" t="s">
        <v>32</v>
      </c>
      <c r="I681" s="7" t="s">
        <v>192</v>
      </c>
      <c r="J681" s="7" t="s">
        <v>810</v>
      </c>
      <c r="K681" s="7" t="s">
        <v>29</v>
      </c>
      <c r="L681" s="3" t="str">
        <f>E681&amp;D681</f>
        <v>E.SP.IPAEE_MAN_CONF_C_I_MCH 110VCC GRS 55BR_0030</v>
      </c>
      <c r="M681" s="3" t="str">
        <f>IFERROR(MID(D681,SEARCH("S_I_",D681,1),3),"")</f>
        <v/>
      </c>
      <c r="N681" s="3" t="str">
        <f>IFERROR(MID(D681,SEARCH("C_I_",D681,1),3),"")</f>
        <v>C_I</v>
      </c>
      <c r="O681" s="3" t="str">
        <f>IF(AND(M681="",N681=""),"Extra","")</f>
        <v/>
      </c>
      <c r="P681" s="3" t="str">
        <f>IF(Q681=0,"TERCEIRO","MRS")</f>
        <v>MRS</v>
      </c>
      <c r="Q681" s="8" t="str">
        <f>IFERROR(VLOOKUP(L681,#REF!,4,0),"0,00")</f>
        <v>0,00</v>
      </c>
      <c r="R681" s="9" t="s">
        <v>42</v>
      </c>
      <c r="S681" s="9">
        <f>COUNTIF(D681,"*_SEG_*")</f>
        <v>0</v>
      </c>
      <c r="T681" s="9">
        <f>COUNTIF(D681,"*_MAN_*")</f>
        <v>1</v>
      </c>
      <c r="U681" s="9">
        <f>(RIGHT(D681,4))*1</f>
        <v>30</v>
      </c>
      <c r="V681" s="9" t="str">
        <f>IFERROR(VLOOKUP(I681,#REF!,2,0),"Sinalização")</f>
        <v>Sinalização</v>
      </c>
    </row>
    <row r="682" spans="1:22" x14ac:dyDescent="0.25">
      <c r="A682" s="3" t="s">
        <v>22</v>
      </c>
      <c r="B682" s="4">
        <v>23509749</v>
      </c>
      <c r="C682" s="5" t="s">
        <v>23</v>
      </c>
      <c r="D682" s="6" t="s">
        <v>929</v>
      </c>
      <c r="E682" s="6" t="s">
        <v>25</v>
      </c>
      <c r="F682" s="11">
        <v>46165</v>
      </c>
      <c r="G682" s="6" t="s">
        <v>1079</v>
      </c>
      <c r="H682" s="7" t="s">
        <v>32</v>
      </c>
      <c r="I682" s="7" t="s">
        <v>191</v>
      </c>
      <c r="J682" s="7" t="s">
        <v>810</v>
      </c>
      <c r="K682" s="7" t="s">
        <v>29</v>
      </c>
      <c r="L682" s="3" t="str">
        <f>E682&amp;D682</f>
        <v>E.SP.IPAEE_MAN_CONF_C_I_MCH 110VCC GRS 55BR_0030</v>
      </c>
      <c r="M682" s="3" t="str">
        <f>IFERROR(MID(D682,SEARCH("S_I_",D682,1),3),"")</f>
        <v/>
      </c>
      <c r="N682" s="3" t="str">
        <f>IFERROR(MID(D682,SEARCH("C_I_",D682,1),3),"")</f>
        <v>C_I</v>
      </c>
      <c r="O682" s="3" t="str">
        <f>IF(AND(M682="",N682=""),"Extra","")</f>
        <v/>
      </c>
      <c r="P682" s="3" t="str">
        <f>IF(Q682=0,"TERCEIRO","MRS")</f>
        <v>MRS</v>
      </c>
      <c r="Q682" s="8" t="str">
        <f>IFERROR(VLOOKUP(L682,#REF!,4,0),"0,00")</f>
        <v>0,00</v>
      </c>
      <c r="R682" s="9" t="s">
        <v>42</v>
      </c>
      <c r="S682" s="9">
        <f>COUNTIF(D682,"*_SEG_*")</f>
        <v>0</v>
      </c>
      <c r="T682" s="9">
        <f>COUNTIF(D682,"*_MAN_*")</f>
        <v>1</v>
      </c>
      <c r="U682" s="9">
        <f>(RIGHT(D682,4))*1</f>
        <v>30</v>
      </c>
      <c r="V682" s="9" t="str">
        <f>IFERROR(VLOOKUP(I682,#REF!,2,0),"Sinalização")</f>
        <v>Sinalização</v>
      </c>
    </row>
    <row r="683" spans="1:22" x14ac:dyDescent="0.25">
      <c r="A683" s="3" t="s">
        <v>22</v>
      </c>
      <c r="B683" s="4">
        <v>23509795</v>
      </c>
      <c r="C683" s="5" t="s">
        <v>23</v>
      </c>
      <c r="D683" s="6" t="s">
        <v>930</v>
      </c>
      <c r="E683" s="6" t="s">
        <v>25</v>
      </c>
      <c r="F683" s="11">
        <v>46165</v>
      </c>
      <c r="G683" s="6" t="s">
        <v>1079</v>
      </c>
      <c r="H683" s="7" t="s">
        <v>26</v>
      </c>
      <c r="I683" s="7" t="s">
        <v>280</v>
      </c>
      <c r="J683" s="7" t="s">
        <v>832</v>
      </c>
      <c r="K683" s="7" t="s">
        <v>29</v>
      </c>
      <c r="L683" s="3" t="str">
        <f>E683&amp;D683</f>
        <v>E.SP.IPAEE_INS_SEG_C_I_CIRCUITO VIA CC_1_0030</v>
      </c>
      <c r="M683" s="3" t="str">
        <f>IFERROR(MID(D683,SEARCH("S_I_",D683,1),3),"")</f>
        <v/>
      </c>
      <c r="N683" s="3" t="str">
        <f>IFERROR(MID(D683,SEARCH("C_I_",D683,1),3),"")</f>
        <v>C_I</v>
      </c>
      <c r="O683" s="3" t="str">
        <f>IF(AND(M683="",N683=""),"Extra","")</f>
        <v/>
      </c>
      <c r="P683" s="3" t="str">
        <f>IF(Q683=0,"TERCEIRO","MRS")</f>
        <v>MRS</v>
      </c>
      <c r="Q683" s="8" t="str">
        <f>IFERROR(VLOOKUP(L683,#REF!,4,0),"0,00")</f>
        <v>0,00</v>
      </c>
      <c r="R683" s="9" t="s">
        <v>30</v>
      </c>
      <c r="S683" s="9">
        <f>COUNTIF(D683,"*_SEG_*")</f>
        <v>1</v>
      </c>
      <c r="T683" s="9">
        <f>COUNTIF(D683,"*_MAN_*")</f>
        <v>0</v>
      </c>
      <c r="U683" s="9">
        <f>(RIGHT(D683,4))*1</f>
        <v>30</v>
      </c>
      <c r="V683" s="9" t="str">
        <f>IFERROR(VLOOKUP(I683,#REF!,2,0),"Sinalização")</f>
        <v>Sinalização</v>
      </c>
    </row>
    <row r="684" spans="1:22" x14ac:dyDescent="0.25">
      <c r="A684" s="3" t="s">
        <v>22</v>
      </c>
      <c r="B684" s="4">
        <v>23509796</v>
      </c>
      <c r="C684" s="5" t="s">
        <v>23</v>
      </c>
      <c r="D684" s="6" t="s">
        <v>931</v>
      </c>
      <c r="E684" s="6" t="s">
        <v>25</v>
      </c>
      <c r="F684" s="11">
        <v>46165</v>
      </c>
      <c r="G684" s="6" t="s">
        <v>1079</v>
      </c>
      <c r="H684" s="7" t="s">
        <v>26</v>
      </c>
      <c r="I684" s="7" t="s">
        <v>557</v>
      </c>
      <c r="J684" s="7" t="s">
        <v>932</v>
      </c>
      <c r="K684" s="7" t="s">
        <v>29</v>
      </c>
      <c r="L684" s="3" t="str">
        <f>E684&amp;D684</f>
        <v>E.SP.IPAEE_INS_SEG_C_I_CDV DETETORA CA_0030</v>
      </c>
      <c r="M684" s="3" t="str">
        <f>IFERROR(MID(D684,SEARCH("S_I_",D684,1),3),"")</f>
        <v/>
      </c>
      <c r="N684" s="3" t="str">
        <f>IFERROR(MID(D684,SEARCH("C_I_",D684,1),3),"")</f>
        <v>C_I</v>
      </c>
      <c r="O684" s="3" t="str">
        <f>IF(AND(M684="",N684=""),"Extra","")</f>
        <v/>
      </c>
      <c r="P684" s="3" t="str">
        <f>IF(Q684=0,"TERCEIRO","MRS")</f>
        <v>MRS</v>
      </c>
      <c r="Q684" s="8" t="str">
        <f>IFERROR(VLOOKUP(L684,#REF!,4,0),"0,00")</f>
        <v>0,00</v>
      </c>
      <c r="R684" s="9" t="s">
        <v>30</v>
      </c>
      <c r="S684" s="9">
        <f>COUNTIF(D684,"*_SEG_*")</f>
        <v>1</v>
      </c>
      <c r="T684" s="9">
        <f>COUNTIF(D684,"*_MAN_*")</f>
        <v>0</v>
      </c>
      <c r="U684" s="9">
        <f>(RIGHT(D684,4))*1</f>
        <v>30</v>
      </c>
      <c r="V684" s="9" t="str">
        <f>IFERROR(VLOOKUP(I684,#REF!,2,0),"Sinalização")</f>
        <v>Sinalização</v>
      </c>
    </row>
    <row r="685" spans="1:22" x14ac:dyDescent="0.25">
      <c r="A685" s="3" t="s">
        <v>22</v>
      </c>
      <c r="B685" s="4">
        <v>23509797</v>
      </c>
      <c r="C685" s="5" t="s">
        <v>23</v>
      </c>
      <c r="D685" s="6" t="s">
        <v>931</v>
      </c>
      <c r="E685" s="6" t="s">
        <v>25</v>
      </c>
      <c r="F685" s="11">
        <v>46165</v>
      </c>
      <c r="G685" s="6" t="s">
        <v>1079</v>
      </c>
      <c r="H685" s="7" t="s">
        <v>32</v>
      </c>
      <c r="I685" s="7" t="s">
        <v>241</v>
      </c>
      <c r="J685" s="7" t="s">
        <v>932</v>
      </c>
      <c r="K685" s="7" t="s">
        <v>29</v>
      </c>
      <c r="L685" s="3" t="str">
        <f>E685&amp;D685</f>
        <v>E.SP.IPAEE_INS_SEG_C_I_CDV DETETORA CA_0030</v>
      </c>
      <c r="M685" s="3" t="str">
        <f>IFERROR(MID(D685,SEARCH("S_I_",D685,1),3),"")</f>
        <v/>
      </c>
      <c r="N685" s="3" t="str">
        <f>IFERROR(MID(D685,SEARCH("C_I_",D685,1),3),"")</f>
        <v>C_I</v>
      </c>
      <c r="O685" s="3" t="str">
        <f>IF(AND(M685="",N685=""),"Extra","")</f>
        <v/>
      </c>
      <c r="P685" s="3" t="str">
        <f>IF(Q685=0,"TERCEIRO","MRS")</f>
        <v>MRS</v>
      </c>
      <c r="Q685" s="8" t="str">
        <f>IFERROR(VLOOKUP(L685,#REF!,4,0),"0,00")</f>
        <v>0,00</v>
      </c>
      <c r="R685" s="9" t="s">
        <v>30</v>
      </c>
      <c r="S685" s="9">
        <f>COUNTIF(D685,"*_SEG_*")</f>
        <v>1</v>
      </c>
      <c r="T685" s="9">
        <f>COUNTIF(D685,"*_MAN_*")</f>
        <v>0</v>
      </c>
      <c r="U685" s="9">
        <f>(RIGHT(D685,4))*1</f>
        <v>30</v>
      </c>
      <c r="V685" s="9" t="str">
        <f>IFERROR(VLOOKUP(I685,#REF!,2,0),"Sinalização")</f>
        <v>Sinalização</v>
      </c>
    </row>
    <row r="686" spans="1:22" x14ac:dyDescent="0.25">
      <c r="A686" s="3" t="s">
        <v>22</v>
      </c>
      <c r="B686" s="4">
        <v>23509798</v>
      </c>
      <c r="C686" s="5" t="s">
        <v>23</v>
      </c>
      <c r="D686" s="6" t="s">
        <v>931</v>
      </c>
      <c r="E686" s="6" t="s">
        <v>25</v>
      </c>
      <c r="F686" s="11">
        <v>46165</v>
      </c>
      <c r="G686" s="6" t="s">
        <v>1079</v>
      </c>
      <c r="H686" s="7" t="s">
        <v>32</v>
      </c>
      <c r="I686" s="7" t="s">
        <v>925</v>
      </c>
      <c r="J686" s="7" t="s">
        <v>932</v>
      </c>
      <c r="K686" s="7" t="s">
        <v>29</v>
      </c>
      <c r="L686" s="3" t="str">
        <f>E686&amp;D686</f>
        <v>E.SP.IPAEE_INS_SEG_C_I_CDV DETETORA CA_0030</v>
      </c>
      <c r="M686" s="3" t="str">
        <f>IFERROR(MID(D686,SEARCH("S_I_",D686,1),3),"")</f>
        <v/>
      </c>
      <c r="N686" s="3" t="str">
        <f>IFERROR(MID(D686,SEARCH("C_I_",D686,1),3),"")</f>
        <v>C_I</v>
      </c>
      <c r="O686" s="3" t="str">
        <f>IF(AND(M686="",N686=""),"Extra","")</f>
        <v/>
      </c>
      <c r="P686" s="3" t="str">
        <f>IF(Q686=0,"TERCEIRO","MRS")</f>
        <v>MRS</v>
      </c>
      <c r="Q686" s="8" t="str">
        <f>IFERROR(VLOOKUP(L686,#REF!,4,0),"0,00")</f>
        <v>0,00</v>
      </c>
      <c r="R686" s="9" t="s">
        <v>30</v>
      </c>
      <c r="S686" s="9">
        <f>COUNTIF(D686,"*_SEG_*")</f>
        <v>1</v>
      </c>
      <c r="T686" s="9">
        <f>COUNTIF(D686,"*_MAN_*")</f>
        <v>0</v>
      </c>
      <c r="U686" s="9">
        <f>(RIGHT(D686,4))*1</f>
        <v>30</v>
      </c>
      <c r="V686" s="9" t="str">
        <f>IFERROR(VLOOKUP(I686,#REF!,2,0),"Sinalização")</f>
        <v>Sinalização</v>
      </c>
    </row>
    <row r="687" spans="1:22" x14ac:dyDescent="0.25">
      <c r="A687" s="3" t="s">
        <v>22</v>
      </c>
      <c r="B687" s="4">
        <v>23509799</v>
      </c>
      <c r="C687" s="5" t="s">
        <v>23</v>
      </c>
      <c r="D687" s="6" t="s">
        <v>931</v>
      </c>
      <c r="E687" s="6" t="s">
        <v>25</v>
      </c>
      <c r="F687" s="11">
        <v>46165</v>
      </c>
      <c r="G687" s="6" t="s">
        <v>1079</v>
      </c>
      <c r="H687" s="7" t="s">
        <v>26</v>
      </c>
      <c r="I687" s="7" t="s">
        <v>924</v>
      </c>
      <c r="J687" s="7" t="s">
        <v>932</v>
      </c>
      <c r="K687" s="7" t="s">
        <v>29</v>
      </c>
      <c r="L687" s="3" t="str">
        <f>E687&amp;D687</f>
        <v>E.SP.IPAEE_INS_SEG_C_I_CDV DETETORA CA_0030</v>
      </c>
      <c r="M687" s="3" t="str">
        <f>IFERROR(MID(D687,SEARCH("S_I_",D687,1),3),"")</f>
        <v/>
      </c>
      <c r="N687" s="3" t="str">
        <f>IFERROR(MID(D687,SEARCH("C_I_",D687,1),3),"")</f>
        <v>C_I</v>
      </c>
      <c r="O687" s="3" t="str">
        <f>IF(AND(M687="",N687=""),"Extra","")</f>
        <v/>
      </c>
      <c r="P687" s="3" t="str">
        <f>IF(Q687=0,"TERCEIRO","MRS")</f>
        <v>MRS</v>
      </c>
      <c r="Q687" s="8" t="str">
        <f>IFERROR(VLOOKUP(L687,#REF!,4,0),"0,00")</f>
        <v>0,00</v>
      </c>
      <c r="R687" s="9" t="s">
        <v>30</v>
      </c>
      <c r="S687" s="9">
        <f>COUNTIF(D687,"*_SEG_*")</f>
        <v>1</v>
      </c>
      <c r="T687" s="9">
        <f>COUNTIF(D687,"*_MAN_*")</f>
        <v>0</v>
      </c>
      <c r="U687" s="9">
        <f>(RIGHT(D687,4))*1</f>
        <v>30</v>
      </c>
      <c r="V687" s="9" t="str">
        <f>IFERROR(VLOOKUP(I687,#REF!,2,0),"Sinalização")</f>
        <v>Sinalização</v>
      </c>
    </row>
    <row r="688" spans="1:22" x14ac:dyDescent="0.25">
      <c r="A688" s="3" t="s">
        <v>22</v>
      </c>
      <c r="B688" s="4">
        <v>23509800</v>
      </c>
      <c r="C688" s="5" t="s">
        <v>23</v>
      </c>
      <c r="D688" s="6" t="s">
        <v>931</v>
      </c>
      <c r="E688" s="6" t="s">
        <v>25</v>
      </c>
      <c r="F688" s="11">
        <v>46165</v>
      </c>
      <c r="G688" s="6" t="s">
        <v>1079</v>
      </c>
      <c r="H688" s="7" t="s">
        <v>26</v>
      </c>
      <c r="I688" s="7" t="s">
        <v>755</v>
      </c>
      <c r="J688" s="7" t="s">
        <v>932</v>
      </c>
      <c r="K688" s="7" t="s">
        <v>29</v>
      </c>
      <c r="L688" s="3" t="str">
        <f>E688&amp;D688</f>
        <v>E.SP.IPAEE_INS_SEG_C_I_CDV DETETORA CA_0030</v>
      </c>
      <c r="M688" s="3" t="str">
        <f>IFERROR(MID(D688,SEARCH("S_I_",D688,1),3),"")</f>
        <v/>
      </c>
      <c r="N688" s="3" t="str">
        <f>IFERROR(MID(D688,SEARCH("C_I_",D688,1),3),"")</f>
        <v>C_I</v>
      </c>
      <c r="O688" s="3" t="str">
        <f>IF(AND(M688="",N688=""),"Extra","")</f>
        <v/>
      </c>
      <c r="P688" s="3" t="str">
        <f>IF(Q688=0,"TERCEIRO","MRS")</f>
        <v>MRS</v>
      </c>
      <c r="Q688" s="8" t="str">
        <f>IFERROR(VLOOKUP(L688,#REF!,4,0),"0,00")</f>
        <v>0,00</v>
      </c>
      <c r="R688" s="9" t="s">
        <v>30</v>
      </c>
      <c r="S688" s="9">
        <f>COUNTIF(D688,"*_SEG_*")</f>
        <v>1</v>
      </c>
      <c r="T688" s="9">
        <f>COUNTIF(D688,"*_MAN_*")</f>
        <v>0</v>
      </c>
      <c r="U688" s="9">
        <f>(RIGHT(D688,4))*1</f>
        <v>30</v>
      </c>
      <c r="V688" s="9" t="str">
        <f>IFERROR(VLOOKUP(I688,#REF!,2,0),"Sinalização")</f>
        <v>Sinalização</v>
      </c>
    </row>
    <row r="689" spans="1:22" x14ac:dyDescent="0.25">
      <c r="A689" s="3" t="s">
        <v>22</v>
      </c>
      <c r="B689" s="4">
        <v>23509801</v>
      </c>
      <c r="C689" s="5" t="s">
        <v>23</v>
      </c>
      <c r="D689" s="6" t="s">
        <v>931</v>
      </c>
      <c r="E689" s="6" t="s">
        <v>25</v>
      </c>
      <c r="F689" s="11">
        <v>46165</v>
      </c>
      <c r="G689" s="6" t="s">
        <v>1079</v>
      </c>
      <c r="H689" s="7" t="s">
        <v>32</v>
      </c>
      <c r="I689" s="7" t="s">
        <v>245</v>
      </c>
      <c r="J689" s="7" t="s">
        <v>932</v>
      </c>
      <c r="K689" s="7" t="s">
        <v>29</v>
      </c>
      <c r="L689" s="3" t="str">
        <f>E689&amp;D689</f>
        <v>E.SP.IPAEE_INS_SEG_C_I_CDV DETETORA CA_0030</v>
      </c>
      <c r="M689" s="3" t="str">
        <f>IFERROR(MID(D689,SEARCH("S_I_",D689,1),3),"")</f>
        <v/>
      </c>
      <c r="N689" s="3" t="str">
        <f>IFERROR(MID(D689,SEARCH("C_I_",D689,1),3),"")</f>
        <v>C_I</v>
      </c>
      <c r="O689" s="3" t="str">
        <f>IF(AND(M689="",N689=""),"Extra","")</f>
        <v/>
      </c>
      <c r="P689" s="3" t="str">
        <f>IF(Q689=0,"TERCEIRO","MRS")</f>
        <v>MRS</v>
      </c>
      <c r="Q689" s="8" t="str">
        <f>IFERROR(VLOOKUP(L689,#REF!,4,0),"0,00")</f>
        <v>0,00</v>
      </c>
      <c r="R689" s="9" t="s">
        <v>30</v>
      </c>
      <c r="S689" s="9">
        <f>COUNTIF(D689,"*_SEG_*")</f>
        <v>1</v>
      </c>
      <c r="T689" s="9">
        <f>COUNTIF(D689,"*_MAN_*")</f>
        <v>0</v>
      </c>
      <c r="U689" s="9">
        <f>(RIGHT(D689,4))*1</f>
        <v>30</v>
      </c>
      <c r="V689" s="9" t="str">
        <f>IFERROR(VLOOKUP(I689,#REF!,2,0),"Sinalização")</f>
        <v>Sinalização</v>
      </c>
    </row>
    <row r="690" spans="1:22" x14ac:dyDescent="0.25">
      <c r="A690" s="3" t="s">
        <v>22</v>
      </c>
      <c r="B690" s="4">
        <v>23509815</v>
      </c>
      <c r="C690" s="5" t="s">
        <v>23</v>
      </c>
      <c r="D690" s="6" t="s">
        <v>933</v>
      </c>
      <c r="E690" s="6" t="s">
        <v>25</v>
      </c>
      <c r="F690" s="11">
        <v>46165</v>
      </c>
      <c r="G690" s="6" t="s">
        <v>1079</v>
      </c>
      <c r="H690" s="7" t="s">
        <v>32</v>
      </c>
      <c r="I690" s="7" t="s">
        <v>601</v>
      </c>
      <c r="J690" s="7" t="s">
        <v>822</v>
      </c>
      <c r="K690" s="7" t="s">
        <v>29</v>
      </c>
      <c r="L690" s="3" t="str">
        <f>E690&amp;D690</f>
        <v>E.SP.IPAEE_INS_SEG_S_I_CIRCUITO VIA CC_0030</v>
      </c>
      <c r="M690" s="3" t="str">
        <f>IFERROR(MID(D690,SEARCH("S_I_",D690,1),3),"")</f>
        <v>S_I</v>
      </c>
      <c r="N690" s="3" t="str">
        <f>IFERROR(MID(D690,SEARCH("C_I_",D690,1),3),"")</f>
        <v/>
      </c>
      <c r="O690" s="3" t="str">
        <f>IF(AND(M690="",N690=""),"Extra","")</f>
        <v/>
      </c>
      <c r="P690" s="3" t="str">
        <f>IF(Q690=0,"TERCEIRO","MRS")</f>
        <v>MRS</v>
      </c>
      <c r="Q690" s="8" t="str">
        <f>IFERROR(VLOOKUP(L690,#REF!,4,0),"0,00")</f>
        <v>0,00</v>
      </c>
      <c r="R690" s="9" t="s">
        <v>30</v>
      </c>
      <c r="S690" s="9">
        <f>COUNTIF(D690,"*_SEG_*")</f>
        <v>1</v>
      </c>
      <c r="T690" s="9">
        <f>COUNTIF(D690,"*_MAN_*")</f>
        <v>0</v>
      </c>
      <c r="U690" s="9">
        <f>(RIGHT(D690,4))*1</f>
        <v>30</v>
      </c>
      <c r="V690" s="9" t="str">
        <f>IFERROR(VLOOKUP(I690,#REF!,2,0),"Sinalização")</f>
        <v>Sinalização</v>
      </c>
    </row>
    <row r="691" spans="1:22" x14ac:dyDescent="0.25">
      <c r="A691" s="3" t="s">
        <v>22</v>
      </c>
      <c r="B691" s="4">
        <v>23509816</v>
      </c>
      <c r="C691" s="5" t="s">
        <v>23</v>
      </c>
      <c r="D691" s="6" t="s">
        <v>933</v>
      </c>
      <c r="E691" s="6" t="s">
        <v>25</v>
      </c>
      <c r="F691" s="11">
        <v>46165</v>
      </c>
      <c r="G691" s="6" t="s">
        <v>1079</v>
      </c>
      <c r="H691" s="7" t="s">
        <v>26</v>
      </c>
      <c r="I691" s="7" t="s">
        <v>913</v>
      </c>
      <c r="J691" s="7" t="s">
        <v>822</v>
      </c>
      <c r="K691" s="7" t="s">
        <v>29</v>
      </c>
      <c r="L691" s="3" t="str">
        <f>E691&amp;D691</f>
        <v>E.SP.IPAEE_INS_SEG_S_I_CIRCUITO VIA CC_0030</v>
      </c>
      <c r="M691" s="3" t="str">
        <f>IFERROR(MID(D691,SEARCH("S_I_",D691,1),3),"")</f>
        <v>S_I</v>
      </c>
      <c r="N691" s="3" t="str">
        <f>IFERROR(MID(D691,SEARCH("C_I_",D691,1),3),"")</f>
        <v/>
      </c>
      <c r="O691" s="3" t="str">
        <f>IF(AND(M691="",N691=""),"Extra","")</f>
        <v/>
      </c>
      <c r="P691" s="3" t="str">
        <f>IF(Q691=0,"TERCEIRO","MRS")</f>
        <v>MRS</v>
      </c>
      <c r="Q691" s="8" t="str">
        <f>IFERROR(VLOOKUP(L691,#REF!,4,0),"0,00")</f>
        <v>0,00</v>
      </c>
      <c r="R691" s="9" t="s">
        <v>30</v>
      </c>
      <c r="S691" s="9">
        <f>COUNTIF(D691,"*_SEG_*")</f>
        <v>1</v>
      </c>
      <c r="T691" s="9">
        <f>COUNTIF(D691,"*_MAN_*")</f>
        <v>0</v>
      </c>
      <c r="U691" s="9">
        <f>(RIGHT(D691,4))*1</f>
        <v>30</v>
      </c>
      <c r="V691" s="9" t="str">
        <f>IFERROR(VLOOKUP(I691,#REF!,2,0),"Sinalização")</f>
        <v>Sinalização</v>
      </c>
    </row>
    <row r="692" spans="1:22" x14ac:dyDescent="0.25">
      <c r="A692" s="3" t="s">
        <v>22</v>
      </c>
      <c r="B692" s="4">
        <v>23509817</v>
      </c>
      <c r="C692" s="5" t="s">
        <v>23</v>
      </c>
      <c r="D692" s="6" t="s">
        <v>933</v>
      </c>
      <c r="E692" s="6" t="s">
        <v>25</v>
      </c>
      <c r="F692" s="11">
        <v>46165</v>
      </c>
      <c r="G692" s="6" t="s">
        <v>1079</v>
      </c>
      <c r="H692" s="7" t="s">
        <v>26</v>
      </c>
      <c r="I692" s="7" t="s">
        <v>914</v>
      </c>
      <c r="J692" s="7" t="s">
        <v>822</v>
      </c>
      <c r="K692" s="7" t="s">
        <v>29</v>
      </c>
      <c r="L692" s="3" t="str">
        <f>E692&amp;D692</f>
        <v>E.SP.IPAEE_INS_SEG_S_I_CIRCUITO VIA CC_0030</v>
      </c>
      <c r="M692" s="3" t="str">
        <f>IFERROR(MID(D692,SEARCH("S_I_",D692,1),3),"")</f>
        <v>S_I</v>
      </c>
      <c r="N692" s="3" t="str">
        <f>IFERROR(MID(D692,SEARCH("C_I_",D692,1),3),"")</f>
        <v/>
      </c>
      <c r="O692" s="3" t="str">
        <f>IF(AND(M692="",N692=""),"Extra","")</f>
        <v/>
      </c>
      <c r="P692" s="3" t="str">
        <f>IF(Q692=0,"TERCEIRO","MRS")</f>
        <v>MRS</v>
      </c>
      <c r="Q692" s="8" t="str">
        <f>IFERROR(VLOOKUP(L692,#REF!,4,0),"0,00")</f>
        <v>0,00</v>
      </c>
      <c r="R692" s="9" t="s">
        <v>30</v>
      </c>
      <c r="S692" s="9">
        <f>COUNTIF(D692,"*_SEG_*")</f>
        <v>1</v>
      </c>
      <c r="T692" s="9">
        <f>COUNTIF(D692,"*_MAN_*")</f>
        <v>0</v>
      </c>
      <c r="U692" s="9">
        <f>(RIGHT(D692,4))*1</f>
        <v>30</v>
      </c>
      <c r="V692" s="9" t="str">
        <f>IFERROR(VLOOKUP(I692,#REF!,2,0),"Sinalização")</f>
        <v>Sinalização</v>
      </c>
    </row>
    <row r="693" spans="1:22" x14ac:dyDescent="0.25">
      <c r="A693" s="3" t="s">
        <v>22</v>
      </c>
      <c r="B693" s="4">
        <v>23509818</v>
      </c>
      <c r="C693" s="5" t="s">
        <v>23</v>
      </c>
      <c r="D693" s="6" t="s">
        <v>933</v>
      </c>
      <c r="E693" s="6" t="s">
        <v>25</v>
      </c>
      <c r="F693" s="11">
        <v>46165</v>
      </c>
      <c r="G693" s="6" t="s">
        <v>1079</v>
      </c>
      <c r="H693" s="7" t="s">
        <v>32</v>
      </c>
      <c r="I693" s="7" t="s">
        <v>280</v>
      </c>
      <c r="J693" s="7" t="s">
        <v>822</v>
      </c>
      <c r="K693" s="7" t="s">
        <v>29</v>
      </c>
      <c r="L693" s="3" t="str">
        <f>E693&amp;D693</f>
        <v>E.SP.IPAEE_INS_SEG_S_I_CIRCUITO VIA CC_0030</v>
      </c>
      <c r="M693" s="3" t="str">
        <f>IFERROR(MID(D693,SEARCH("S_I_",D693,1),3),"")</f>
        <v>S_I</v>
      </c>
      <c r="N693" s="3" t="str">
        <f>IFERROR(MID(D693,SEARCH("C_I_",D693,1),3),"")</f>
        <v/>
      </c>
      <c r="O693" s="3" t="str">
        <f>IF(AND(M693="",N693=""),"Extra","")</f>
        <v/>
      </c>
      <c r="P693" s="3" t="str">
        <f>IF(Q693=0,"TERCEIRO","MRS")</f>
        <v>MRS</v>
      </c>
      <c r="Q693" s="8" t="str">
        <f>IFERROR(VLOOKUP(L693,#REF!,4,0),"0,00")</f>
        <v>0,00</v>
      </c>
      <c r="R693" s="9" t="s">
        <v>30</v>
      </c>
      <c r="S693" s="9">
        <f>COUNTIF(D693,"*_SEG_*")</f>
        <v>1</v>
      </c>
      <c r="T693" s="9">
        <f>COUNTIF(D693,"*_MAN_*")</f>
        <v>0</v>
      </c>
      <c r="U693" s="9">
        <f>(RIGHT(D693,4))*1</f>
        <v>30</v>
      </c>
      <c r="V693" s="9" t="str">
        <f>IFERROR(VLOOKUP(I693,#REF!,2,0),"Sinalização")</f>
        <v>Sinalização</v>
      </c>
    </row>
    <row r="694" spans="1:22" x14ac:dyDescent="0.25">
      <c r="A694" s="3" t="s">
        <v>22</v>
      </c>
      <c r="B694" s="4">
        <v>23509833</v>
      </c>
      <c r="C694" s="5" t="s">
        <v>23</v>
      </c>
      <c r="D694" s="6" t="s">
        <v>934</v>
      </c>
      <c r="E694" s="6" t="s">
        <v>25</v>
      </c>
      <c r="F694" s="11">
        <v>46165</v>
      </c>
      <c r="G694" s="6" t="s">
        <v>1079</v>
      </c>
      <c r="H694" s="7" t="s">
        <v>32</v>
      </c>
      <c r="I694" s="7" t="s">
        <v>280</v>
      </c>
      <c r="J694" s="7" t="s">
        <v>816</v>
      </c>
      <c r="K694" s="7" t="s">
        <v>29</v>
      </c>
      <c r="L694" s="3" t="str">
        <f>E694&amp;D694</f>
        <v>E.SP.IPAEE_INS_SEG_C_I_CIRCUITO VIA CC_0030</v>
      </c>
      <c r="M694" s="3" t="str">
        <f>IFERROR(MID(D694,SEARCH("S_I_",D694,1),3),"")</f>
        <v/>
      </c>
      <c r="N694" s="3" t="str">
        <f>IFERROR(MID(D694,SEARCH("C_I_",D694,1),3),"")</f>
        <v>C_I</v>
      </c>
      <c r="O694" s="3" t="str">
        <f>IF(AND(M694="",N694=""),"Extra","")</f>
        <v/>
      </c>
      <c r="P694" s="3" t="str">
        <f>IF(Q694=0,"TERCEIRO","MRS")</f>
        <v>MRS</v>
      </c>
      <c r="Q694" s="8" t="str">
        <f>IFERROR(VLOOKUP(L694,#REF!,4,0),"0,00")</f>
        <v>0,00</v>
      </c>
      <c r="R694" s="9" t="s">
        <v>30</v>
      </c>
      <c r="S694" s="9">
        <f>COUNTIF(D694,"*_SEG_*")</f>
        <v>1</v>
      </c>
      <c r="T694" s="9">
        <f>COUNTIF(D694,"*_MAN_*")</f>
        <v>0</v>
      </c>
      <c r="U694" s="9">
        <f>(RIGHT(D694,4))*1</f>
        <v>30</v>
      </c>
      <c r="V694" s="9" t="str">
        <f>IFERROR(VLOOKUP(I694,#REF!,2,0),"Sinalização")</f>
        <v>Sinalização</v>
      </c>
    </row>
    <row r="695" spans="1:22" x14ac:dyDescent="0.25">
      <c r="A695" s="3" t="s">
        <v>22</v>
      </c>
      <c r="B695" s="4">
        <v>23509846</v>
      </c>
      <c r="C695" s="5" t="s">
        <v>23</v>
      </c>
      <c r="D695" s="6" t="s">
        <v>935</v>
      </c>
      <c r="E695" s="6" t="s">
        <v>25</v>
      </c>
      <c r="F695" s="11">
        <v>46165</v>
      </c>
      <c r="G695" s="6" t="s">
        <v>1079</v>
      </c>
      <c r="H695" s="7" t="s">
        <v>26</v>
      </c>
      <c r="I695" s="7" t="s">
        <v>188</v>
      </c>
      <c r="J695" s="7" t="s">
        <v>834</v>
      </c>
      <c r="K695" s="7" t="s">
        <v>29</v>
      </c>
      <c r="L695" s="3" t="str">
        <f>E695&amp;D695</f>
        <v>E.SP.IPAEE_INS_CONF_S_I_MCH 110VCC GRS 55BR_0030</v>
      </c>
      <c r="M695" s="3" t="str">
        <f>IFERROR(MID(D695,SEARCH("S_I_",D695,1),3),"")</f>
        <v>S_I</v>
      </c>
      <c r="N695" s="3" t="str">
        <f>IFERROR(MID(D695,SEARCH("C_I_",D695,1),3),"")</f>
        <v/>
      </c>
      <c r="O695" s="3" t="str">
        <f>IF(AND(M695="",N695=""),"Extra","")</f>
        <v/>
      </c>
      <c r="P695" s="3" t="str">
        <f>IF(Q695=0,"TERCEIRO","MRS")</f>
        <v>MRS</v>
      </c>
      <c r="Q695" s="8" t="str">
        <f>IFERROR(VLOOKUP(L695,#REF!,4,0),"0,00")</f>
        <v>0,00</v>
      </c>
      <c r="R695" s="9" t="s">
        <v>57</v>
      </c>
      <c r="S695" s="9">
        <f>COUNTIF(D695,"*_SEG_*")</f>
        <v>0</v>
      </c>
      <c r="T695" s="9">
        <f>COUNTIF(D695,"*_MAN_*")</f>
        <v>0</v>
      </c>
      <c r="U695" s="9">
        <f>(RIGHT(D695,4))*1</f>
        <v>30</v>
      </c>
      <c r="V695" s="9" t="str">
        <f>IFERROR(VLOOKUP(I695,#REF!,2,0),"Sinalização")</f>
        <v>Sinalização</v>
      </c>
    </row>
    <row r="696" spans="1:22" x14ac:dyDescent="0.25">
      <c r="A696" s="3" t="s">
        <v>22</v>
      </c>
      <c r="B696" s="4">
        <v>23509847</v>
      </c>
      <c r="C696" s="5" t="s">
        <v>23</v>
      </c>
      <c r="D696" s="6" t="s">
        <v>935</v>
      </c>
      <c r="E696" s="6" t="s">
        <v>25</v>
      </c>
      <c r="F696" s="11">
        <v>46165</v>
      </c>
      <c r="G696" s="6" t="s">
        <v>1079</v>
      </c>
      <c r="H696" s="7" t="s">
        <v>26</v>
      </c>
      <c r="I696" s="7" t="s">
        <v>190</v>
      </c>
      <c r="J696" s="7" t="s">
        <v>834</v>
      </c>
      <c r="K696" s="7" t="s">
        <v>29</v>
      </c>
      <c r="L696" s="3" t="str">
        <f>E696&amp;D696</f>
        <v>E.SP.IPAEE_INS_CONF_S_I_MCH 110VCC GRS 55BR_0030</v>
      </c>
      <c r="M696" s="3" t="str">
        <f>IFERROR(MID(D696,SEARCH("S_I_",D696,1),3),"")</f>
        <v>S_I</v>
      </c>
      <c r="N696" s="3" t="str">
        <f>IFERROR(MID(D696,SEARCH("C_I_",D696,1),3),"")</f>
        <v/>
      </c>
      <c r="O696" s="3" t="str">
        <f>IF(AND(M696="",N696=""),"Extra","")</f>
        <v/>
      </c>
      <c r="P696" s="3" t="str">
        <f>IF(Q696=0,"TERCEIRO","MRS")</f>
        <v>MRS</v>
      </c>
      <c r="Q696" s="8" t="str">
        <f>IFERROR(VLOOKUP(L696,#REF!,4,0),"0,00")</f>
        <v>0,00</v>
      </c>
      <c r="R696" s="9" t="s">
        <v>57</v>
      </c>
      <c r="S696" s="9">
        <f>COUNTIF(D696,"*_SEG_*")</f>
        <v>0</v>
      </c>
      <c r="T696" s="9">
        <f>COUNTIF(D696,"*_MAN_*")</f>
        <v>0</v>
      </c>
      <c r="U696" s="9">
        <f>(RIGHT(D696,4))*1</f>
        <v>30</v>
      </c>
      <c r="V696" s="9" t="str">
        <f>IFERROR(VLOOKUP(I696,#REF!,2,0),"Sinalização")</f>
        <v>Sinalização</v>
      </c>
    </row>
    <row r="697" spans="1:22" x14ac:dyDescent="0.25">
      <c r="A697" s="3" t="s">
        <v>22</v>
      </c>
      <c r="B697" s="4">
        <v>23509848</v>
      </c>
      <c r="C697" s="5" t="s">
        <v>23</v>
      </c>
      <c r="D697" s="6" t="s">
        <v>935</v>
      </c>
      <c r="E697" s="6" t="s">
        <v>25</v>
      </c>
      <c r="F697" s="11">
        <v>46165</v>
      </c>
      <c r="G697" s="6" t="s">
        <v>1079</v>
      </c>
      <c r="H697" s="7" t="s">
        <v>32</v>
      </c>
      <c r="I697" s="7" t="s">
        <v>192</v>
      </c>
      <c r="J697" s="7" t="s">
        <v>834</v>
      </c>
      <c r="K697" s="7" t="s">
        <v>29</v>
      </c>
      <c r="L697" s="3" t="str">
        <f>E697&amp;D697</f>
        <v>E.SP.IPAEE_INS_CONF_S_I_MCH 110VCC GRS 55BR_0030</v>
      </c>
      <c r="M697" s="3" t="str">
        <f>IFERROR(MID(D697,SEARCH("S_I_",D697,1),3),"")</f>
        <v>S_I</v>
      </c>
      <c r="N697" s="3" t="str">
        <f>IFERROR(MID(D697,SEARCH("C_I_",D697,1),3),"")</f>
        <v/>
      </c>
      <c r="O697" s="3" t="str">
        <f>IF(AND(M697="",N697=""),"Extra","")</f>
        <v/>
      </c>
      <c r="P697" s="3" t="str">
        <f>IF(Q697=0,"TERCEIRO","MRS")</f>
        <v>MRS</v>
      </c>
      <c r="Q697" s="8" t="str">
        <f>IFERROR(VLOOKUP(L697,#REF!,4,0),"0,00")</f>
        <v>0,00</v>
      </c>
      <c r="R697" s="9" t="s">
        <v>57</v>
      </c>
      <c r="S697" s="9">
        <f>COUNTIF(D697,"*_SEG_*")</f>
        <v>0</v>
      </c>
      <c r="T697" s="9">
        <f>COUNTIF(D697,"*_MAN_*")</f>
        <v>0</v>
      </c>
      <c r="U697" s="9">
        <f>(RIGHT(D697,4))*1</f>
        <v>30</v>
      </c>
      <c r="V697" s="9" t="str">
        <f>IFERROR(VLOOKUP(I697,#REF!,2,0),"Sinalização")</f>
        <v>Sinalização</v>
      </c>
    </row>
    <row r="698" spans="1:22" x14ac:dyDescent="0.25">
      <c r="A698" s="3" t="s">
        <v>22</v>
      </c>
      <c r="B698" s="4">
        <v>23509849</v>
      </c>
      <c r="C698" s="5" t="s">
        <v>23</v>
      </c>
      <c r="D698" s="6" t="s">
        <v>935</v>
      </c>
      <c r="E698" s="6" t="s">
        <v>25</v>
      </c>
      <c r="F698" s="11">
        <v>46165</v>
      </c>
      <c r="G698" s="6" t="s">
        <v>1079</v>
      </c>
      <c r="H698" s="7" t="s">
        <v>32</v>
      </c>
      <c r="I698" s="7" t="s">
        <v>191</v>
      </c>
      <c r="J698" s="7" t="s">
        <v>834</v>
      </c>
      <c r="K698" s="7" t="s">
        <v>29</v>
      </c>
      <c r="L698" s="3" t="str">
        <f>E698&amp;D698</f>
        <v>E.SP.IPAEE_INS_CONF_S_I_MCH 110VCC GRS 55BR_0030</v>
      </c>
      <c r="M698" s="3" t="str">
        <f>IFERROR(MID(D698,SEARCH("S_I_",D698,1),3),"")</f>
        <v>S_I</v>
      </c>
      <c r="N698" s="3" t="str">
        <f>IFERROR(MID(D698,SEARCH("C_I_",D698,1),3),"")</f>
        <v/>
      </c>
      <c r="O698" s="3" t="str">
        <f>IF(AND(M698="",N698=""),"Extra","")</f>
        <v/>
      </c>
      <c r="P698" s="3" t="str">
        <f>IF(Q698=0,"TERCEIRO","MRS")</f>
        <v>MRS</v>
      </c>
      <c r="Q698" s="8" t="str">
        <f>IFERROR(VLOOKUP(L698,#REF!,4,0),"0,00")</f>
        <v>0,00</v>
      </c>
      <c r="R698" s="9" t="s">
        <v>57</v>
      </c>
      <c r="S698" s="9">
        <f>COUNTIF(D698,"*_SEG_*")</f>
        <v>0</v>
      </c>
      <c r="T698" s="9">
        <f>COUNTIF(D698,"*_MAN_*")</f>
        <v>0</v>
      </c>
      <c r="U698" s="9">
        <f>(RIGHT(D698,4))*1</f>
        <v>30</v>
      </c>
      <c r="V698" s="9" t="str">
        <f>IFERROR(VLOOKUP(I698,#REF!,2,0),"Sinalização")</f>
        <v>Sinalização</v>
      </c>
    </row>
    <row r="699" spans="1:22" x14ac:dyDescent="0.25">
      <c r="A699" s="3" t="s">
        <v>22</v>
      </c>
      <c r="B699" s="4">
        <v>23509865</v>
      </c>
      <c r="C699" s="5" t="s">
        <v>23</v>
      </c>
      <c r="D699" s="6" t="s">
        <v>936</v>
      </c>
      <c r="E699" s="6" t="s">
        <v>25</v>
      </c>
      <c r="F699" s="11">
        <v>46165</v>
      </c>
      <c r="G699" s="6" t="s">
        <v>1079</v>
      </c>
      <c r="H699" s="7" t="s">
        <v>26</v>
      </c>
      <c r="I699" s="7" t="s">
        <v>937</v>
      </c>
      <c r="J699" s="7" t="s">
        <v>938</v>
      </c>
      <c r="K699" s="7" t="s">
        <v>29</v>
      </c>
      <c r="L699" s="3" t="str">
        <f>E699&amp;D699</f>
        <v>E.SP.IPAEE_INS_CONF_S_I_CIRCUITO A DIODO_0030</v>
      </c>
      <c r="M699" s="3" t="str">
        <f>IFERROR(MID(D699,SEARCH("S_I_",D699,1),3),"")</f>
        <v>S_I</v>
      </c>
      <c r="N699" s="3" t="str">
        <f>IFERROR(MID(D699,SEARCH("C_I_",D699,1),3),"")</f>
        <v/>
      </c>
      <c r="O699" s="3" t="str">
        <f>IF(AND(M699="",N699=""),"Extra","")</f>
        <v/>
      </c>
      <c r="P699" s="3" t="str">
        <f>IF(Q699=0,"TERCEIRO","MRS")</f>
        <v>MRS</v>
      </c>
      <c r="Q699" s="8" t="str">
        <f>IFERROR(VLOOKUP(L699,#REF!,4,0),"0,00")</f>
        <v>0,00</v>
      </c>
      <c r="R699" s="9" t="s">
        <v>42</v>
      </c>
      <c r="S699" s="9">
        <f>COUNTIF(D699,"*_SEG_*")</f>
        <v>0</v>
      </c>
      <c r="T699" s="9">
        <f>COUNTIF(D699,"*_MAN_*")</f>
        <v>0</v>
      </c>
      <c r="U699" s="9">
        <f>(RIGHT(D699,4))*1</f>
        <v>30</v>
      </c>
      <c r="V699" s="9" t="str">
        <f>IFERROR(VLOOKUP(I699,#REF!,2,0),"Sinalização")</f>
        <v>Sinalização</v>
      </c>
    </row>
    <row r="700" spans="1:22" x14ac:dyDescent="0.25">
      <c r="A700" s="3" t="s">
        <v>22</v>
      </c>
      <c r="B700" s="4">
        <v>23509866</v>
      </c>
      <c r="C700" s="5" t="s">
        <v>23</v>
      </c>
      <c r="D700" s="6" t="s">
        <v>936</v>
      </c>
      <c r="E700" s="6" t="s">
        <v>25</v>
      </c>
      <c r="F700" s="11">
        <v>46165</v>
      </c>
      <c r="G700" s="6" t="s">
        <v>1079</v>
      </c>
      <c r="H700" s="7" t="s">
        <v>26</v>
      </c>
      <c r="I700" s="7" t="s">
        <v>939</v>
      </c>
      <c r="J700" s="7" t="s">
        <v>938</v>
      </c>
      <c r="K700" s="7" t="s">
        <v>29</v>
      </c>
      <c r="L700" s="3" t="str">
        <f>E700&amp;D700</f>
        <v>E.SP.IPAEE_INS_CONF_S_I_CIRCUITO A DIODO_0030</v>
      </c>
      <c r="M700" s="3" t="str">
        <f>IFERROR(MID(D700,SEARCH("S_I_",D700,1),3),"")</f>
        <v>S_I</v>
      </c>
      <c r="N700" s="3" t="str">
        <f>IFERROR(MID(D700,SEARCH("C_I_",D700,1),3),"")</f>
        <v/>
      </c>
      <c r="O700" s="3" t="str">
        <f>IF(AND(M700="",N700=""),"Extra","")</f>
        <v/>
      </c>
      <c r="P700" s="3" t="str">
        <f>IF(Q700=0,"TERCEIRO","MRS")</f>
        <v>MRS</v>
      </c>
      <c r="Q700" s="8" t="str">
        <f>IFERROR(VLOOKUP(L700,#REF!,4,0),"0,00")</f>
        <v>0,00</v>
      </c>
      <c r="R700" s="9" t="s">
        <v>42</v>
      </c>
      <c r="S700" s="9">
        <f>COUNTIF(D700,"*_SEG_*")</f>
        <v>0</v>
      </c>
      <c r="T700" s="9">
        <f>COUNTIF(D700,"*_MAN_*")</f>
        <v>0</v>
      </c>
      <c r="U700" s="9">
        <f>(RIGHT(D700,4))*1</f>
        <v>30</v>
      </c>
      <c r="V700" s="9" t="str">
        <f>IFERROR(VLOOKUP(I700,#REF!,2,0),"Sinalização")</f>
        <v>Sinalização</v>
      </c>
    </row>
    <row r="701" spans="1:22" x14ac:dyDescent="0.25">
      <c r="A701" s="3" t="s">
        <v>22</v>
      </c>
      <c r="B701" s="4">
        <v>23509867</v>
      </c>
      <c r="C701" s="5" t="s">
        <v>23</v>
      </c>
      <c r="D701" s="6" t="s">
        <v>936</v>
      </c>
      <c r="E701" s="6" t="s">
        <v>25</v>
      </c>
      <c r="F701" s="11">
        <v>46165</v>
      </c>
      <c r="G701" s="6" t="s">
        <v>1079</v>
      </c>
      <c r="H701" s="7" t="s">
        <v>32</v>
      </c>
      <c r="I701" s="7" t="s">
        <v>940</v>
      </c>
      <c r="J701" s="7" t="s">
        <v>938</v>
      </c>
      <c r="K701" s="7" t="s">
        <v>29</v>
      </c>
      <c r="L701" s="3" t="str">
        <f>E701&amp;D701</f>
        <v>E.SP.IPAEE_INS_CONF_S_I_CIRCUITO A DIODO_0030</v>
      </c>
      <c r="M701" s="3" t="str">
        <f>IFERROR(MID(D701,SEARCH("S_I_",D701,1),3),"")</f>
        <v>S_I</v>
      </c>
      <c r="N701" s="3" t="str">
        <f>IFERROR(MID(D701,SEARCH("C_I_",D701,1),3),"")</f>
        <v/>
      </c>
      <c r="O701" s="3" t="str">
        <f>IF(AND(M701="",N701=""),"Extra","")</f>
        <v/>
      </c>
      <c r="P701" s="3" t="str">
        <f>IF(Q701=0,"TERCEIRO","MRS")</f>
        <v>MRS</v>
      </c>
      <c r="Q701" s="8" t="str">
        <f>IFERROR(VLOOKUP(L701,#REF!,4,0),"0,00")</f>
        <v>0,00</v>
      </c>
      <c r="R701" s="9" t="s">
        <v>42</v>
      </c>
      <c r="S701" s="9">
        <f>COUNTIF(D701,"*_SEG_*")</f>
        <v>0</v>
      </c>
      <c r="T701" s="9">
        <f>COUNTIF(D701,"*_MAN_*")</f>
        <v>0</v>
      </c>
      <c r="U701" s="9">
        <f>(RIGHT(D701,4))*1</f>
        <v>30</v>
      </c>
      <c r="V701" s="9" t="str">
        <f>IFERROR(VLOOKUP(I701,#REF!,2,0),"Sinalização")</f>
        <v>Sinalização</v>
      </c>
    </row>
    <row r="702" spans="1:22" x14ac:dyDescent="0.25">
      <c r="A702" s="3" t="s">
        <v>22</v>
      </c>
      <c r="B702" s="4">
        <v>23509868</v>
      </c>
      <c r="C702" s="5" t="s">
        <v>23</v>
      </c>
      <c r="D702" s="6" t="s">
        <v>936</v>
      </c>
      <c r="E702" s="6" t="s">
        <v>25</v>
      </c>
      <c r="F702" s="11">
        <v>46165</v>
      </c>
      <c r="G702" s="6" t="s">
        <v>1079</v>
      </c>
      <c r="H702" s="7" t="s">
        <v>32</v>
      </c>
      <c r="I702" s="7" t="s">
        <v>250</v>
      </c>
      <c r="J702" s="7" t="s">
        <v>938</v>
      </c>
      <c r="K702" s="7" t="s">
        <v>29</v>
      </c>
      <c r="L702" s="3" t="str">
        <f>E702&amp;D702</f>
        <v>E.SP.IPAEE_INS_CONF_S_I_CIRCUITO A DIODO_0030</v>
      </c>
      <c r="M702" s="3" t="str">
        <f>IFERROR(MID(D702,SEARCH("S_I_",D702,1),3),"")</f>
        <v>S_I</v>
      </c>
      <c r="N702" s="3" t="str">
        <f>IFERROR(MID(D702,SEARCH("C_I_",D702,1),3),"")</f>
        <v/>
      </c>
      <c r="O702" s="3" t="str">
        <f>IF(AND(M702="",N702=""),"Extra","")</f>
        <v/>
      </c>
      <c r="P702" s="3" t="str">
        <f>IF(Q702=0,"TERCEIRO","MRS")</f>
        <v>MRS</v>
      </c>
      <c r="Q702" s="8" t="str">
        <f>IFERROR(VLOOKUP(L702,#REF!,4,0),"0,00")</f>
        <v>0,00</v>
      </c>
      <c r="R702" s="9" t="s">
        <v>42</v>
      </c>
      <c r="S702" s="9">
        <f>COUNTIF(D702,"*_SEG_*")</f>
        <v>0</v>
      </c>
      <c r="T702" s="9">
        <f>COUNTIF(D702,"*_MAN_*")</f>
        <v>0</v>
      </c>
      <c r="U702" s="9">
        <f>(RIGHT(D702,4))*1</f>
        <v>30</v>
      </c>
      <c r="V702" s="9" t="str">
        <f>IFERROR(VLOOKUP(I702,#REF!,2,0),"Sinalização")</f>
        <v>Sinalização</v>
      </c>
    </row>
    <row r="703" spans="1:22" x14ac:dyDescent="0.25">
      <c r="A703" s="3" t="s">
        <v>22</v>
      </c>
      <c r="B703" s="4">
        <v>23509869</v>
      </c>
      <c r="C703" s="5" t="s">
        <v>23</v>
      </c>
      <c r="D703" s="6" t="s">
        <v>936</v>
      </c>
      <c r="E703" s="6" t="s">
        <v>25</v>
      </c>
      <c r="F703" s="11">
        <v>46165</v>
      </c>
      <c r="G703" s="6" t="s">
        <v>1079</v>
      </c>
      <c r="H703" s="7" t="s">
        <v>26</v>
      </c>
      <c r="I703" s="7" t="s">
        <v>251</v>
      </c>
      <c r="J703" s="7" t="s">
        <v>938</v>
      </c>
      <c r="K703" s="7" t="s">
        <v>29</v>
      </c>
      <c r="L703" s="3" t="str">
        <f>E703&amp;D703</f>
        <v>E.SP.IPAEE_INS_CONF_S_I_CIRCUITO A DIODO_0030</v>
      </c>
      <c r="M703" s="3" t="str">
        <f>IFERROR(MID(D703,SEARCH("S_I_",D703,1),3),"")</f>
        <v>S_I</v>
      </c>
      <c r="N703" s="3" t="str">
        <f>IFERROR(MID(D703,SEARCH("C_I_",D703,1),3),"")</f>
        <v/>
      </c>
      <c r="O703" s="3" t="str">
        <f>IF(AND(M703="",N703=""),"Extra","")</f>
        <v/>
      </c>
      <c r="P703" s="3" t="str">
        <f>IF(Q703=0,"TERCEIRO","MRS")</f>
        <v>MRS</v>
      </c>
      <c r="Q703" s="8" t="str">
        <f>IFERROR(VLOOKUP(L703,#REF!,4,0),"0,00")</f>
        <v>0,00</v>
      </c>
      <c r="R703" s="9" t="s">
        <v>42</v>
      </c>
      <c r="S703" s="9">
        <f>COUNTIF(D703,"*_SEG_*")</f>
        <v>0</v>
      </c>
      <c r="T703" s="9">
        <f>COUNTIF(D703,"*_MAN_*")</f>
        <v>0</v>
      </c>
      <c r="U703" s="9">
        <f>(RIGHT(D703,4))*1</f>
        <v>30</v>
      </c>
      <c r="V703" s="9" t="str">
        <f>IFERROR(VLOOKUP(I703,#REF!,2,0),"Sinalização")</f>
        <v>Sinalização</v>
      </c>
    </row>
    <row r="704" spans="1:22" x14ac:dyDescent="0.25">
      <c r="A704" s="3" t="s">
        <v>22</v>
      </c>
      <c r="B704" s="4">
        <v>23509871</v>
      </c>
      <c r="C704" s="5" t="s">
        <v>23</v>
      </c>
      <c r="D704" s="6" t="s">
        <v>941</v>
      </c>
      <c r="E704" s="6" t="s">
        <v>25</v>
      </c>
      <c r="F704" s="11">
        <v>46165</v>
      </c>
      <c r="G704" s="6" t="s">
        <v>1079</v>
      </c>
      <c r="H704" s="7" t="s">
        <v>26</v>
      </c>
      <c r="I704" s="7" t="s">
        <v>609</v>
      </c>
      <c r="J704" s="7" t="s">
        <v>942</v>
      </c>
      <c r="K704" s="7" t="s">
        <v>29</v>
      </c>
      <c r="L704" s="3" t="str">
        <f>E704&amp;D704</f>
        <v>E.SP.IPAEE_MAN_CONF_S_I_TRAVADOR ELÉTRICO_0030</v>
      </c>
      <c r="M704" s="3" t="str">
        <f>IFERROR(MID(D704,SEARCH("S_I_",D704,1),3),"")</f>
        <v>S_I</v>
      </c>
      <c r="N704" s="3" t="str">
        <f>IFERROR(MID(D704,SEARCH("C_I_",D704,1),3),"")</f>
        <v/>
      </c>
      <c r="O704" s="3" t="str">
        <f>IF(AND(M704="",N704=""),"Extra","")</f>
        <v/>
      </c>
      <c r="P704" s="3" t="str">
        <f>IF(Q704=0,"TERCEIRO","MRS")</f>
        <v>MRS</v>
      </c>
      <c r="Q704" s="8" t="str">
        <f>IFERROR(VLOOKUP(L704,#REF!,4,0),"0,00")</f>
        <v>0,00</v>
      </c>
      <c r="R704" s="9" t="s">
        <v>42</v>
      </c>
      <c r="S704" s="9">
        <f>COUNTIF(D704,"*_SEG_*")</f>
        <v>0</v>
      </c>
      <c r="T704" s="9">
        <f>COUNTIF(D704,"*_MAN_*")</f>
        <v>1</v>
      </c>
      <c r="U704" s="9">
        <f>(RIGHT(D704,4))*1</f>
        <v>30</v>
      </c>
      <c r="V704" s="9" t="str">
        <f>IFERROR(VLOOKUP(I704,#REF!,2,0),"Sinalização")</f>
        <v>Sinalização</v>
      </c>
    </row>
    <row r="705" spans="1:22" x14ac:dyDescent="0.25">
      <c r="A705" s="3" t="s">
        <v>22</v>
      </c>
      <c r="B705" s="4">
        <v>23509872</v>
      </c>
      <c r="C705" s="5" t="s">
        <v>23</v>
      </c>
      <c r="D705" s="6" t="s">
        <v>943</v>
      </c>
      <c r="E705" s="6" t="s">
        <v>25</v>
      </c>
      <c r="F705" s="11">
        <v>46165</v>
      </c>
      <c r="G705" s="6" t="s">
        <v>1079</v>
      </c>
      <c r="H705" s="7" t="s">
        <v>32</v>
      </c>
      <c r="I705" s="7" t="s">
        <v>562</v>
      </c>
      <c r="J705" s="7" t="s">
        <v>944</v>
      </c>
      <c r="K705" s="7" t="s">
        <v>29</v>
      </c>
      <c r="L705" s="3" t="str">
        <f>E705&amp;D705</f>
        <v>E.SP.IPAEE_INS_SEG_C_I_MCH MAN C/CONTR_0030</v>
      </c>
      <c r="M705" s="3" t="str">
        <f>IFERROR(MID(D705,SEARCH("S_I_",D705,1),3),"")</f>
        <v/>
      </c>
      <c r="N705" s="3" t="str">
        <f>IFERROR(MID(D705,SEARCH("C_I_",D705,1),3),"")</f>
        <v>C_I</v>
      </c>
      <c r="O705" s="3" t="str">
        <f>IF(AND(M705="",N705=""),"Extra","")</f>
        <v/>
      </c>
      <c r="P705" s="3" t="str">
        <f>IF(Q705=0,"TERCEIRO","MRS")</f>
        <v>MRS</v>
      </c>
      <c r="Q705" s="8" t="str">
        <f>IFERROR(VLOOKUP(L705,#REF!,4,0),"0,00")</f>
        <v>0,00</v>
      </c>
      <c r="R705" s="9" t="s">
        <v>30</v>
      </c>
      <c r="S705" s="9">
        <f>COUNTIF(D705,"*_SEG_*")</f>
        <v>1</v>
      </c>
      <c r="T705" s="9">
        <f>COUNTIF(D705,"*_MAN_*")</f>
        <v>0</v>
      </c>
      <c r="U705" s="9">
        <f>(RIGHT(D705,4))*1</f>
        <v>30</v>
      </c>
      <c r="V705" s="9" t="str">
        <f>IFERROR(VLOOKUP(I705,#REF!,2,0),"Sinalização")</f>
        <v>Sinalização</v>
      </c>
    </row>
    <row r="706" spans="1:22" x14ac:dyDescent="0.25">
      <c r="A706" s="3" t="s">
        <v>22</v>
      </c>
      <c r="B706" s="4">
        <v>23509957</v>
      </c>
      <c r="C706" s="5" t="s">
        <v>23</v>
      </c>
      <c r="D706" s="6" t="s">
        <v>945</v>
      </c>
      <c r="E706" s="6" t="s">
        <v>25</v>
      </c>
      <c r="F706" s="11">
        <v>46165</v>
      </c>
      <c r="G706" s="6" t="s">
        <v>1079</v>
      </c>
      <c r="H706" s="7" t="s">
        <v>32</v>
      </c>
      <c r="I706" s="7" t="s">
        <v>714</v>
      </c>
      <c r="J706" s="7" t="s">
        <v>946</v>
      </c>
      <c r="K706" s="7" t="s">
        <v>29</v>
      </c>
      <c r="L706" s="3" t="str">
        <f>E706&amp;D706</f>
        <v>E.SP.IPAT_EE_INS_CONF_S_I_COM ENE CHAN OVER_0030</v>
      </c>
      <c r="M706" s="3" t="str">
        <f>IFERROR(MID(D706,SEARCH("S_I_",D706,1),3),"")</f>
        <v>S_I</v>
      </c>
      <c r="N706" s="3" t="str">
        <f>IFERROR(MID(D706,SEARCH("C_I_",D706,1),3),"")</f>
        <v/>
      </c>
      <c r="O706" s="3" t="str">
        <f>IF(AND(M706="",N706=""),"Extra","")</f>
        <v/>
      </c>
      <c r="P706" s="3" t="str">
        <f>IF(Q706=0,"TERCEIRO","MRS")</f>
        <v>MRS</v>
      </c>
      <c r="Q706" s="8" t="str">
        <f>IFERROR(VLOOKUP(L706,#REF!,4,0),"0,00")</f>
        <v>0,00</v>
      </c>
      <c r="R706" s="9" t="s">
        <v>57</v>
      </c>
      <c r="S706" s="9">
        <f>COUNTIF(D706,"*_SEG_*")</f>
        <v>0</v>
      </c>
      <c r="T706" s="9">
        <f>COUNTIF(D706,"*_MAN_*")</f>
        <v>0</v>
      </c>
      <c r="U706" s="9">
        <f>(RIGHT(D706,4))*1</f>
        <v>30</v>
      </c>
      <c r="V706" s="9" t="str">
        <f>IFERROR(VLOOKUP(I706,#REF!,2,0),"Sinalização")</f>
        <v>Sinalização</v>
      </c>
    </row>
    <row r="707" spans="1:22" x14ac:dyDescent="0.25">
      <c r="A707" s="3" t="s">
        <v>22</v>
      </c>
      <c r="B707" s="4">
        <v>23509958</v>
      </c>
      <c r="C707" s="5" t="s">
        <v>23</v>
      </c>
      <c r="D707" s="6" t="s">
        <v>945</v>
      </c>
      <c r="E707" s="6" t="s">
        <v>25</v>
      </c>
      <c r="F707" s="11">
        <v>46165</v>
      </c>
      <c r="G707" s="6" t="s">
        <v>1079</v>
      </c>
      <c r="H707" s="7" t="s">
        <v>26</v>
      </c>
      <c r="I707" s="7" t="s">
        <v>947</v>
      </c>
      <c r="J707" s="7" t="s">
        <v>946</v>
      </c>
      <c r="K707" s="7" t="s">
        <v>29</v>
      </c>
      <c r="L707" s="3" t="str">
        <f>E707&amp;D707</f>
        <v>E.SP.IPAT_EE_INS_CONF_S_I_COM ENE CHAN OVER_0030</v>
      </c>
      <c r="M707" s="3" t="str">
        <f>IFERROR(MID(D707,SEARCH("S_I_",D707,1),3),"")</f>
        <v>S_I</v>
      </c>
      <c r="N707" s="3" t="str">
        <f>IFERROR(MID(D707,SEARCH("C_I_",D707,1),3),"")</f>
        <v/>
      </c>
      <c r="O707" s="3" t="str">
        <f>IF(AND(M707="",N707=""),"Extra","")</f>
        <v/>
      </c>
      <c r="P707" s="3" t="str">
        <f>IF(Q707=0,"TERCEIRO","MRS")</f>
        <v>MRS</v>
      </c>
      <c r="Q707" s="8" t="str">
        <f>IFERROR(VLOOKUP(L707,#REF!,4,0),"0,00")</f>
        <v>0,00</v>
      </c>
      <c r="R707" s="9" t="s">
        <v>57</v>
      </c>
      <c r="S707" s="9">
        <f>COUNTIF(D707,"*_SEG_*")</f>
        <v>0</v>
      </c>
      <c r="T707" s="9">
        <f>COUNTIF(D707,"*_MAN_*")</f>
        <v>0</v>
      </c>
      <c r="U707" s="9">
        <f>(RIGHT(D707,4))*1</f>
        <v>30</v>
      </c>
      <c r="V707" s="9" t="str">
        <f>IFERROR(VLOOKUP(I707,#REF!,2,0),"Sinalização")</f>
        <v>Sinalização</v>
      </c>
    </row>
    <row r="708" spans="1:22" x14ac:dyDescent="0.25">
      <c r="A708" s="3" t="s">
        <v>22</v>
      </c>
      <c r="B708" s="4">
        <v>23509959</v>
      </c>
      <c r="C708" s="5" t="s">
        <v>23</v>
      </c>
      <c r="D708" s="6" t="s">
        <v>945</v>
      </c>
      <c r="E708" s="6" t="s">
        <v>25</v>
      </c>
      <c r="F708" s="11">
        <v>46165</v>
      </c>
      <c r="G708" s="6" t="s">
        <v>1079</v>
      </c>
      <c r="H708" s="7" t="s">
        <v>26</v>
      </c>
      <c r="I708" s="7" t="s">
        <v>710</v>
      </c>
      <c r="J708" s="7" t="s">
        <v>946</v>
      </c>
      <c r="K708" s="7" t="s">
        <v>29</v>
      </c>
      <c r="L708" s="3" t="str">
        <f>E708&amp;D708</f>
        <v>E.SP.IPAT_EE_INS_CONF_S_I_COM ENE CHAN OVER_0030</v>
      </c>
      <c r="M708" s="3" t="str">
        <f>IFERROR(MID(D708,SEARCH("S_I_",D708,1),3),"")</f>
        <v>S_I</v>
      </c>
      <c r="N708" s="3" t="str">
        <f>IFERROR(MID(D708,SEARCH("C_I_",D708,1),3),"")</f>
        <v/>
      </c>
      <c r="O708" s="3" t="str">
        <f>IF(AND(M708="",N708=""),"Extra","")</f>
        <v/>
      </c>
      <c r="P708" s="3" t="str">
        <f>IF(Q708=0,"TERCEIRO","MRS")</f>
        <v>MRS</v>
      </c>
      <c r="Q708" s="8" t="str">
        <f>IFERROR(VLOOKUP(L708,#REF!,4,0),"0,00")</f>
        <v>0,00</v>
      </c>
      <c r="R708" s="9" t="s">
        <v>57</v>
      </c>
      <c r="S708" s="9">
        <f>COUNTIF(D708,"*_SEG_*")</f>
        <v>0</v>
      </c>
      <c r="T708" s="9">
        <f>COUNTIF(D708,"*_MAN_*")</f>
        <v>0</v>
      </c>
      <c r="U708" s="9">
        <f>(RIGHT(D708,4))*1</f>
        <v>30</v>
      </c>
      <c r="V708" s="9" t="str">
        <f>IFERROR(VLOOKUP(I708,#REF!,2,0),"Sinalização")</f>
        <v>Sinalização</v>
      </c>
    </row>
    <row r="709" spans="1:22" x14ac:dyDescent="0.25">
      <c r="A709" s="3" t="s">
        <v>22</v>
      </c>
      <c r="B709" s="4">
        <v>23509960</v>
      </c>
      <c r="C709" s="5" t="s">
        <v>23</v>
      </c>
      <c r="D709" s="6" t="s">
        <v>945</v>
      </c>
      <c r="E709" s="6" t="s">
        <v>25</v>
      </c>
      <c r="F709" s="11">
        <v>46165</v>
      </c>
      <c r="G709" s="6" t="s">
        <v>1079</v>
      </c>
      <c r="H709" s="7" t="s">
        <v>32</v>
      </c>
      <c r="I709" s="7" t="s">
        <v>948</v>
      </c>
      <c r="J709" s="7" t="s">
        <v>946</v>
      </c>
      <c r="K709" s="7" t="s">
        <v>29</v>
      </c>
      <c r="L709" s="3" t="str">
        <f>E709&amp;D709</f>
        <v>E.SP.IPAT_EE_INS_CONF_S_I_COM ENE CHAN OVER_0030</v>
      </c>
      <c r="M709" s="3" t="str">
        <f>IFERROR(MID(D709,SEARCH("S_I_",D709,1),3),"")</f>
        <v>S_I</v>
      </c>
      <c r="N709" s="3" t="str">
        <f>IFERROR(MID(D709,SEARCH("C_I_",D709,1),3),"")</f>
        <v/>
      </c>
      <c r="O709" s="3" t="str">
        <f>IF(AND(M709="",N709=""),"Extra","")</f>
        <v/>
      </c>
      <c r="P709" s="3" t="str">
        <f>IF(Q709=0,"TERCEIRO","MRS")</f>
        <v>MRS</v>
      </c>
      <c r="Q709" s="8" t="str">
        <f>IFERROR(VLOOKUP(L709,#REF!,4,0),"0,00")</f>
        <v>0,00</v>
      </c>
      <c r="R709" s="9" t="s">
        <v>57</v>
      </c>
      <c r="S709" s="9">
        <f>COUNTIF(D709,"*_SEG_*")</f>
        <v>0</v>
      </c>
      <c r="T709" s="9">
        <f>COUNTIF(D709,"*_MAN_*")</f>
        <v>0</v>
      </c>
      <c r="U709" s="9">
        <f>(RIGHT(D709,4))*1</f>
        <v>30</v>
      </c>
      <c r="V709" s="9" t="str">
        <f>IFERROR(VLOOKUP(I709,#REF!,2,0),"Sinalização")</f>
        <v>Sinalização</v>
      </c>
    </row>
    <row r="710" spans="1:22" x14ac:dyDescent="0.25">
      <c r="A710" s="3" t="s">
        <v>22</v>
      </c>
      <c r="B710" s="4">
        <v>23509961</v>
      </c>
      <c r="C710" s="5" t="s">
        <v>23</v>
      </c>
      <c r="D710" s="6" t="s">
        <v>945</v>
      </c>
      <c r="E710" s="6" t="s">
        <v>25</v>
      </c>
      <c r="F710" s="11">
        <v>46165</v>
      </c>
      <c r="G710" s="6" t="s">
        <v>1079</v>
      </c>
      <c r="H710" s="7" t="s">
        <v>32</v>
      </c>
      <c r="I710" s="7" t="s">
        <v>713</v>
      </c>
      <c r="J710" s="7" t="s">
        <v>946</v>
      </c>
      <c r="K710" s="7" t="s">
        <v>29</v>
      </c>
      <c r="L710" s="3" t="str">
        <f>E710&amp;D710</f>
        <v>E.SP.IPAT_EE_INS_CONF_S_I_COM ENE CHAN OVER_0030</v>
      </c>
      <c r="M710" s="3" t="str">
        <f>IFERROR(MID(D710,SEARCH("S_I_",D710,1),3),"")</f>
        <v>S_I</v>
      </c>
      <c r="N710" s="3" t="str">
        <f>IFERROR(MID(D710,SEARCH("C_I_",D710,1),3),"")</f>
        <v/>
      </c>
      <c r="O710" s="3" t="str">
        <f>IF(AND(M710="",N710=""),"Extra","")</f>
        <v/>
      </c>
      <c r="P710" s="3" t="str">
        <f>IF(Q710=0,"TERCEIRO","MRS")</f>
        <v>MRS</v>
      </c>
      <c r="Q710" s="8" t="str">
        <f>IFERROR(VLOOKUP(L710,#REF!,4,0),"0,00")</f>
        <v>0,00</v>
      </c>
      <c r="R710" s="9" t="s">
        <v>57</v>
      </c>
      <c r="S710" s="9">
        <f>COUNTIF(D710,"*_SEG_*")</f>
        <v>0</v>
      </c>
      <c r="T710" s="9">
        <f>COUNTIF(D710,"*_MAN_*")</f>
        <v>0</v>
      </c>
      <c r="U710" s="9">
        <f>(RIGHT(D710,4))*1</f>
        <v>30</v>
      </c>
      <c r="V710" s="9" t="str">
        <f>IFERROR(VLOOKUP(I710,#REF!,2,0),"Sinalização")</f>
        <v>Sinalização</v>
      </c>
    </row>
    <row r="711" spans="1:22" x14ac:dyDescent="0.25">
      <c r="A711" s="3" t="s">
        <v>22</v>
      </c>
      <c r="B711" s="4">
        <v>23509962</v>
      </c>
      <c r="C711" s="5" t="s">
        <v>23</v>
      </c>
      <c r="D711" s="6" t="s">
        <v>945</v>
      </c>
      <c r="E711" s="6" t="s">
        <v>25</v>
      </c>
      <c r="F711" s="11">
        <v>46165</v>
      </c>
      <c r="G711" s="6" t="s">
        <v>1079</v>
      </c>
      <c r="H711" s="7" t="s">
        <v>26</v>
      </c>
      <c r="I711" s="7" t="s">
        <v>712</v>
      </c>
      <c r="J711" s="7" t="s">
        <v>946</v>
      </c>
      <c r="K711" s="7" t="s">
        <v>29</v>
      </c>
      <c r="L711" s="3" t="str">
        <f>E711&amp;D711</f>
        <v>E.SP.IPAT_EE_INS_CONF_S_I_COM ENE CHAN OVER_0030</v>
      </c>
      <c r="M711" s="3" t="str">
        <f>IFERROR(MID(D711,SEARCH("S_I_",D711,1),3),"")</f>
        <v>S_I</v>
      </c>
      <c r="N711" s="3" t="str">
        <f>IFERROR(MID(D711,SEARCH("C_I_",D711,1),3),"")</f>
        <v/>
      </c>
      <c r="O711" s="3" t="str">
        <f>IF(AND(M711="",N711=""),"Extra","")</f>
        <v/>
      </c>
      <c r="P711" s="3" t="str">
        <f>IF(Q711=0,"TERCEIRO","MRS")</f>
        <v>MRS</v>
      </c>
      <c r="Q711" s="8" t="str">
        <f>IFERROR(VLOOKUP(L711,#REF!,4,0),"0,00")</f>
        <v>0,00</v>
      </c>
      <c r="R711" s="9" t="s">
        <v>57</v>
      </c>
      <c r="S711" s="9">
        <f>COUNTIF(D711,"*_SEG_*")</f>
        <v>0</v>
      </c>
      <c r="T711" s="9">
        <f>COUNTIF(D711,"*_MAN_*")</f>
        <v>0</v>
      </c>
      <c r="U711" s="9">
        <f>(RIGHT(D711,4))*1</f>
        <v>30</v>
      </c>
      <c r="V711" s="9" t="str">
        <f>IFERROR(VLOOKUP(I711,#REF!,2,0),"Sinalização")</f>
        <v>Sinalização</v>
      </c>
    </row>
    <row r="712" spans="1:22" x14ac:dyDescent="0.25">
      <c r="A712" s="3" t="s">
        <v>22</v>
      </c>
      <c r="B712" s="4">
        <v>23509963</v>
      </c>
      <c r="C712" s="5" t="s">
        <v>23</v>
      </c>
      <c r="D712" s="6" t="s">
        <v>945</v>
      </c>
      <c r="E712" s="6" t="s">
        <v>25</v>
      </c>
      <c r="F712" s="11">
        <v>46165</v>
      </c>
      <c r="G712" s="6" t="s">
        <v>1079</v>
      </c>
      <c r="H712" s="7" t="s">
        <v>26</v>
      </c>
      <c r="I712" s="7" t="s">
        <v>603</v>
      </c>
      <c r="J712" s="7" t="s">
        <v>946</v>
      </c>
      <c r="K712" s="7" t="s">
        <v>29</v>
      </c>
      <c r="L712" s="3" t="str">
        <f>E712&amp;D712</f>
        <v>E.SP.IPAT_EE_INS_CONF_S_I_COM ENE CHAN OVER_0030</v>
      </c>
      <c r="M712" s="3" t="str">
        <f>IFERROR(MID(D712,SEARCH("S_I_",D712,1),3),"")</f>
        <v>S_I</v>
      </c>
      <c r="N712" s="3" t="str">
        <f>IFERROR(MID(D712,SEARCH("C_I_",D712,1),3),"")</f>
        <v/>
      </c>
      <c r="O712" s="3" t="str">
        <f>IF(AND(M712="",N712=""),"Extra","")</f>
        <v/>
      </c>
      <c r="P712" s="3" t="str">
        <f>IF(Q712=0,"TERCEIRO","MRS")</f>
        <v>MRS</v>
      </c>
      <c r="Q712" s="8" t="str">
        <f>IFERROR(VLOOKUP(L712,#REF!,4,0),"0,00")</f>
        <v>0,00</v>
      </c>
      <c r="R712" s="9" t="s">
        <v>57</v>
      </c>
      <c r="S712" s="9">
        <f>COUNTIF(D712,"*_SEG_*")</f>
        <v>0</v>
      </c>
      <c r="T712" s="9">
        <f>COUNTIF(D712,"*_MAN_*")</f>
        <v>0</v>
      </c>
      <c r="U712" s="9">
        <f>(RIGHT(D712,4))*1</f>
        <v>30</v>
      </c>
      <c r="V712" s="9" t="str">
        <f>IFERROR(VLOOKUP(I712,#REF!,2,0),"Sinalização")</f>
        <v>Sinalização</v>
      </c>
    </row>
    <row r="713" spans="1:22" x14ac:dyDescent="0.25">
      <c r="A713" s="3" t="s">
        <v>22</v>
      </c>
      <c r="B713" s="4">
        <v>23509964</v>
      </c>
      <c r="C713" s="5" t="s">
        <v>23</v>
      </c>
      <c r="D713" s="6" t="s">
        <v>945</v>
      </c>
      <c r="E713" s="6" t="s">
        <v>25</v>
      </c>
      <c r="F713" s="11">
        <v>46165</v>
      </c>
      <c r="G713" s="6" t="s">
        <v>1079</v>
      </c>
      <c r="H713" s="7" t="s">
        <v>32</v>
      </c>
      <c r="I713" s="7" t="s">
        <v>949</v>
      </c>
      <c r="J713" s="7" t="s">
        <v>946</v>
      </c>
      <c r="K713" s="7" t="s">
        <v>29</v>
      </c>
      <c r="L713" s="3" t="str">
        <f>E713&amp;D713</f>
        <v>E.SP.IPAT_EE_INS_CONF_S_I_COM ENE CHAN OVER_0030</v>
      </c>
      <c r="M713" s="3" t="str">
        <f>IFERROR(MID(D713,SEARCH("S_I_",D713,1),3),"")</f>
        <v>S_I</v>
      </c>
      <c r="N713" s="3" t="str">
        <f>IFERROR(MID(D713,SEARCH("C_I_",D713,1),3),"")</f>
        <v/>
      </c>
      <c r="O713" s="3" t="str">
        <f>IF(AND(M713="",N713=""),"Extra","")</f>
        <v/>
      </c>
      <c r="P713" s="3" t="str">
        <f>IF(Q713=0,"TERCEIRO","MRS")</f>
        <v>MRS</v>
      </c>
      <c r="Q713" s="8" t="str">
        <f>IFERROR(VLOOKUP(L713,#REF!,4,0),"0,00")</f>
        <v>0,00</v>
      </c>
      <c r="R713" s="9" t="s">
        <v>57</v>
      </c>
      <c r="S713" s="9">
        <f>COUNTIF(D713,"*_SEG_*")</f>
        <v>0</v>
      </c>
      <c r="T713" s="9">
        <f>COUNTIF(D713,"*_MAN_*")</f>
        <v>0</v>
      </c>
      <c r="U713" s="9">
        <f>(RIGHT(D713,4))*1</f>
        <v>30</v>
      </c>
      <c r="V713" s="9" t="str">
        <f>IFERROR(VLOOKUP(I713,#REF!,2,0),"Sinalização")</f>
        <v>Sinalização</v>
      </c>
    </row>
    <row r="714" spans="1:22" x14ac:dyDescent="0.25">
      <c r="A714" s="3" t="s">
        <v>22</v>
      </c>
      <c r="B714" s="4">
        <v>23509965</v>
      </c>
      <c r="C714" s="5" t="s">
        <v>23</v>
      </c>
      <c r="D714" s="6" t="s">
        <v>945</v>
      </c>
      <c r="E714" s="6" t="s">
        <v>25</v>
      </c>
      <c r="F714" s="11">
        <v>46165</v>
      </c>
      <c r="G714" s="6" t="s">
        <v>1079</v>
      </c>
      <c r="H714" s="7" t="s">
        <v>32</v>
      </c>
      <c r="I714" s="7" t="s">
        <v>699</v>
      </c>
      <c r="J714" s="7" t="s">
        <v>946</v>
      </c>
      <c r="K714" s="7" t="s">
        <v>29</v>
      </c>
      <c r="L714" s="3" t="str">
        <f>E714&amp;D714</f>
        <v>E.SP.IPAT_EE_INS_CONF_S_I_COM ENE CHAN OVER_0030</v>
      </c>
      <c r="M714" s="3" t="str">
        <f>IFERROR(MID(D714,SEARCH("S_I_",D714,1),3),"")</f>
        <v>S_I</v>
      </c>
      <c r="N714" s="3" t="str">
        <f>IFERROR(MID(D714,SEARCH("C_I_",D714,1),3),"")</f>
        <v/>
      </c>
      <c r="O714" s="3" t="str">
        <f>IF(AND(M714="",N714=""),"Extra","")</f>
        <v/>
      </c>
      <c r="P714" s="3" t="str">
        <f>IF(Q714=0,"TERCEIRO","MRS")</f>
        <v>MRS</v>
      </c>
      <c r="Q714" s="8" t="str">
        <f>IFERROR(VLOOKUP(L714,#REF!,4,0),"0,00")</f>
        <v>0,00</v>
      </c>
      <c r="R714" s="9" t="s">
        <v>57</v>
      </c>
      <c r="S714" s="9">
        <f>COUNTIF(D714,"*_SEG_*")</f>
        <v>0</v>
      </c>
      <c r="T714" s="9">
        <f>COUNTIF(D714,"*_MAN_*")</f>
        <v>0</v>
      </c>
      <c r="U714" s="9">
        <f>(RIGHT(D714,4))*1</f>
        <v>30</v>
      </c>
      <c r="V714" s="9" t="str">
        <f>IFERROR(VLOOKUP(I714,#REF!,2,0),"Sinalização")</f>
        <v>Sinalização</v>
      </c>
    </row>
    <row r="715" spans="1:22" x14ac:dyDescent="0.25">
      <c r="A715" s="3" t="s">
        <v>22</v>
      </c>
      <c r="B715" s="4">
        <v>23509966</v>
      </c>
      <c r="C715" s="5" t="s">
        <v>23</v>
      </c>
      <c r="D715" s="6" t="s">
        <v>945</v>
      </c>
      <c r="E715" s="6" t="s">
        <v>25</v>
      </c>
      <c r="F715" s="11">
        <v>46165</v>
      </c>
      <c r="G715" s="6" t="s">
        <v>1079</v>
      </c>
      <c r="H715" s="7" t="s">
        <v>26</v>
      </c>
      <c r="I715" s="7" t="s">
        <v>950</v>
      </c>
      <c r="J715" s="7" t="s">
        <v>946</v>
      </c>
      <c r="K715" s="7" t="s">
        <v>29</v>
      </c>
      <c r="L715" s="3" t="str">
        <f>E715&amp;D715</f>
        <v>E.SP.IPAT_EE_INS_CONF_S_I_COM ENE CHAN OVER_0030</v>
      </c>
      <c r="M715" s="3" t="str">
        <f>IFERROR(MID(D715,SEARCH("S_I_",D715,1),3),"")</f>
        <v>S_I</v>
      </c>
      <c r="N715" s="3" t="str">
        <f>IFERROR(MID(D715,SEARCH("C_I_",D715,1),3),"")</f>
        <v/>
      </c>
      <c r="O715" s="3" t="str">
        <f>IF(AND(M715="",N715=""),"Extra","")</f>
        <v/>
      </c>
      <c r="P715" s="3" t="str">
        <f>IF(Q715=0,"TERCEIRO","MRS")</f>
        <v>MRS</v>
      </c>
      <c r="Q715" s="8" t="str">
        <f>IFERROR(VLOOKUP(L715,#REF!,4,0),"0,00")</f>
        <v>0,00</v>
      </c>
      <c r="R715" s="9" t="s">
        <v>57</v>
      </c>
      <c r="S715" s="9">
        <f>COUNTIF(D715,"*_SEG_*")</f>
        <v>0</v>
      </c>
      <c r="T715" s="9">
        <f>COUNTIF(D715,"*_MAN_*")</f>
        <v>0</v>
      </c>
      <c r="U715" s="9">
        <f>(RIGHT(D715,4))*1</f>
        <v>30</v>
      </c>
      <c r="V715" s="9" t="str">
        <f>IFERROR(VLOOKUP(I715,#REF!,2,0),"Sinalização")</f>
        <v>Sinalização</v>
      </c>
    </row>
    <row r="716" spans="1:22" x14ac:dyDescent="0.25">
      <c r="A716" s="3" t="s">
        <v>22</v>
      </c>
      <c r="B716" s="4">
        <v>23509967</v>
      </c>
      <c r="C716" s="5" t="s">
        <v>23</v>
      </c>
      <c r="D716" s="6" t="s">
        <v>945</v>
      </c>
      <c r="E716" s="6" t="s">
        <v>25</v>
      </c>
      <c r="F716" s="11">
        <v>46165</v>
      </c>
      <c r="G716" s="6" t="s">
        <v>1079</v>
      </c>
      <c r="H716" s="7" t="s">
        <v>26</v>
      </c>
      <c r="I716" s="7" t="s">
        <v>951</v>
      </c>
      <c r="J716" s="7" t="s">
        <v>946</v>
      </c>
      <c r="K716" s="7" t="s">
        <v>29</v>
      </c>
      <c r="L716" s="3" t="str">
        <f>E716&amp;D716</f>
        <v>E.SP.IPAT_EE_INS_CONF_S_I_COM ENE CHAN OVER_0030</v>
      </c>
      <c r="M716" s="3" t="str">
        <f>IFERROR(MID(D716,SEARCH("S_I_",D716,1),3),"")</f>
        <v>S_I</v>
      </c>
      <c r="N716" s="3" t="str">
        <f>IFERROR(MID(D716,SEARCH("C_I_",D716,1),3),"")</f>
        <v/>
      </c>
      <c r="O716" s="3" t="str">
        <f>IF(AND(M716="",N716=""),"Extra","")</f>
        <v/>
      </c>
      <c r="P716" s="3" t="str">
        <f>IF(Q716=0,"TERCEIRO","MRS")</f>
        <v>MRS</v>
      </c>
      <c r="Q716" s="8" t="str">
        <f>IFERROR(VLOOKUP(L716,#REF!,4,0),"0,00")</f>
        <v>0,00</v>
      </c>
      <c r="R716" s="9" t="s">
        <v>57</v>
      </c>
      <c r="S716" s="9">
        <f>COUNTIF(D716,"*_SEG_*")</f>
        <v>0</v>
      </c>
      <c r="T716" s="9">
        <f>COUNTIF(D716,"*_MAN_*")</f>
        <v>0</v>
      </c>
      <c r="U716" s="9">
        <f>(RIGHT(D716,4))*1</f>
        <v>30</v>
      </c>
      <c r="V716" s="9" t="str">
        <f>IFERROR(VLOOKUP(I716,#REF!,2,0),"Sinalização")</f>
        <v>Sinalização</v>
      </c>
    </row>
    <row r="717" spans="1:22" x14ac:dyDescent="0.25">
      <c r="A717" s="3" t="s">
        <v>22</v>
      </c>
      <c r="B717" s="4">
        <v>23509968</v>
      </c>
      <c r="C717" s="5" t="s">
        <v>23</v>
      </c>
      <c r="D717" s="6" t="s">
        <v>945</v>
      </c>
      <c r="E717" s="6" t="s">
        <v>25</v>
      </c>
      <c r="F717" s="11">
        <v>46165</v>
      </c>
      <c r="G717" s="6" t="s">
        <v>1079</v>
      </c>
      <c r="H717" s="7" t="s">
        <v>32</v>
      </c>
      <c r="I717" s="7" t="s">
        <v>772</v>
      </c>
      <c r="J717" s="7" t="s">
        <v>946</v>
      </c>
      <c r="K717" s="7" t="s">
        <v>29</v>
      </c>
      <c r="L717" s="3" t="str">
        <f>E717&amp;D717</f>
        <v>E.SP.IPAT_EE_INS_CONF_S_I_COM ENE CHAN OVER_0030</v>
      </c>
      <c r="M717" s="3" t="str">
        <f>IFERROR(MID(D717,SEARCH("S_I_",D717,1),3),"")</f>
        <v>S_I</v>
      </c>
      <c r="N717" s="3" t="str">
        <f>IFERROR(MID(D717,SEARCH("C_I_",D717,1),3),"")</f>
        <v/>
      </c>
      <c r="O717" s="3" t="str">
        <f>IF(AND(M717="",N717=""),"Extra","")</f>
        <v/>
      </c>
      <c r="P717" s="3" t="str">
        <f>IF(Q717=0,"TERCEIRO","MRS")</f>
        <v>MRS</v>
      </c>
      <c r="Q717" s="8" t="str">
        <f>IFERROR(VLOOKUP(L717,#REF!,4,0),"0,00")</f>
        <v>0,00</v>
      </c>
      <c r="R717" s="9" t="s">
        <v>57</v>
      </c>
      <c r="S717" s="9">
        <f>COUNTIF(D717,"*_SEG_*")</f>
        <v>0</v>
      </c>
      <c r="T717" s="9">
        <f>COUNTIF(D717,"*_MAN_*")</f>
        <v>0</v>
      </c>
      <c r="U717" s="9">
        <f>(RIGHT(D717,4))*1</f>
        <v>30</v>
      </c>
      <c r="V717" s="9" t="str">
        <f>IFERROR(VLOOKUP(I717,#REF!,2,0),"Sinalização")</f>
        <v>Sinalização</v>
      </c>
    </row>
    <row r="718" spans="1:22" x14ac:dyDescent="0.25">
      <c r="A718" s="3" t="s">
        <v>22</v>
      </c>
      <c r="B718" s="4">
        <v>23509969</v>
      </c>
      <c r="C718" s="5" t="s">
        <v>23</v>
      </c>
      <c r="D718" s="6" t="s">
        <v>945</v>
      </c>
      <c r="E718" s="6" t="s">
        <v>25</v>
      </c>
      <c r="F718" s="11">
        <v>46165</v>
      </c>
      <c r="G718" s="6" t="s">
        <v>1079</v>
      </c>
      <c r="H718" s="7" t="s">
        <v>32</v>
      </c>
      <c r="I718" s="7" t="s">
        <v>773</v>
      </c>
      <c r="J718" s="7" t="s">
        <v>946</v>
      </c>
      <c r="K718" s="7" t="s">
        <v>29</v>
      </c>
      <c r="L718" s="3" t="str">
        <f>E718&amp;D718</f>
        <v>E.SP.IPAT_EE_INS_CONF_S_I_COM ENE CHAN OVER_0030</v>
      </c>
      <c r="M718" s="3" t="str">
        <f>IFERROR(MID(D718,SEARCH("S_I_",D718,1),3),"")</f>
        <v>S_I</v>
      </c>
      <c r="N718" s="3" t="str">
        <f>IFERROR(MID(D718,SEARCH("C_I_",D718,1),3),"")</f>
        <v/>
      </c>
      <c r="O718" s="3" t="str">
        <f>IF(AND(M718="",N718=""),"Extra","")</f>
        <v/>
      </c>
      <c r="P718" s="3" t="str">
        <f>IF(Q718=0,"TERCEIRO","MRS")</f>
        <v>MRS</v>
      </c>
      <c r="Q718" s="8" t="str">
        <f>IFERROR(VLOOKUP(L718,#REF!,4,0),"0,00")</f>
        <v>0,00</v>
      </c>
      <c r="R718" s="9" t="s">
        <v>57</v>
      </c>
      <c r="S718" s="9">
        <f>COUNTIF(D718,"*_SEG_*")</f>
        <v>0</v>
      </c>
      <c r="T718" s="9">
        <f>COUNTIF(D718,"*_MAN_*")</f>
        <v>0</v>
      </c>
      <c r="U718" s="9">
        <f>(RIGHT(D718,4))*1</f>
        <v>30</v>
      </c>
      <c r="V718" s="9" t="str">
        <f>IFERROR(VLOOKUP(I718,#REF!,2,0),"Sinalização")</f>
        <v>Sinalização</v>
      </c>
    </row>
    <row r="719" spans="1:22" x14ac:dyDescent="0.25">
      <c r="A719" s="3" t="s">
        <v>22</v>
      </c>
      <c r="B719" s="4">
        <v>23509970</v>
      </c>
      <c r="C719" s="5" t="s">
        <v>23</v>
      </c>
      <c r="D719" s="6" t="s">
        <v>945</v>
      </c>
      <c r="E719" s="6" t="s">
        <v>25</v>
      </c>
      <c r="F719" s="11">
        <v>46165</v>
      </c>
      <c r="G719" s="6" t="s">
        <v>1079</v>
      </c>
      <c r="H719" s="7" t="s">
        <v>26</v>
      </c>
      <c r="I719" s="7" t="s">
        <v>952</v>
      </c>
      <c r="J719" s="7" t="s">
        <v>946</v>
      </c>
      <c r="K719" s="7" t="s">
        <v>29</v>
      </c>
      <c r="L719" s="3" t="str">
        <f>E719&amp;D719</f>
        <v>E.SP.IPAT_EE_INS_CONF_S_I_COM ENE CHAN OVER_0030</v>
      </c>
      <c r="M719" s="3" t="str">
        <f>IFERROR(MID(D719,SEARCH("S_I_",D719,1),3),"")</f>
        <v>S_I</v>
      </c>
      <c r="N719" s="3" t="str">
        <f>IFERROR(MID(D719,SEARCH("C_I_",D719,1),3),"")</f>
        <v/>
      </c>
      <c r="O719" s="3" t="str">
        <f>IF(AND(M719="",N719=""),"Extra","")</f>
        <v/>
      </c>
      <c r="P719" s="3" t="str">
        <f>IF(Q719=0,"TERCEIRO","MRS")</f>
        <v>MRS</v>
      </c>
      <c r="Q719" s="8" t="str">
        <f>IFERROR(VLOOKUP(L719,#REF!,4,0),"0,00")</f>
        <v>0,00</v>
      </c>
      <c r="R719" s="9" t="s">
        <v>57</v>
      </c>
      <c r="S719" s="9">
        <f>COUNTIF(D719,"*_SEG_*")</f>
        <v>0</v>
      </c>
      <c r="T719" s="9">
        <f>COUNTIF(D719,"*_MAN_*")</f>
        <v>0</v>
      </c>
      <c r="U719" s="9">
        <f>(RIGHT(D719,4))*1</f>
        <v>30</v>
      </c>
      <c r="V719" s="9" t="str">
        <f>IFERROR(VLOOKUP(I719,#REF!,2,0),"Sinalização")</f>
        <v>Sinalização</v>
      </c>
    </row>
    <row r="720" spans="1:22" x14ac:dyDescent="0.25">
      <c r="A720" s="3" t="s">
        <v>22</v>
      </c>
      <c r="B720" s="4">
        <v>23509971</v>
      </c>
      <c r="C720" s="5" t="s">
        <v>23</v>
      </c>
      <c r="D720" s="6" t="s">
        <v>945</v>
      </c>
      <c r="E720" s="6" t="s">
        <v>25</v>
      </c>
      <c r="F720" s="11">
        <v>46165</v>
      </c>
      <c r="G720" s="6" t="s">
        <v>1079</v>
      </c>
      <c r="H720" s="7" t="s">
        <v>26</v>
      </c>
      <c r="I720" s="7" t="s">
        <v>953</v>
      </c>
      <c r="J720" s="7" t="s">
        <v>946</v>
      </c>
      <c r="K720" s="7" t="s">
        <v>29</v>
      </c>
      <c r="L720" s="3" t="str">
        <f>E720&amp;D720</f>
        <v>E.SP.IPAT_EE_INS_CONF_S_I_COM ENE CHAN OVER_0030</v>
      </c>
      <c r="M720" s="3" t="str">
        <f>IFERROR(MID(D720,SEARCH("S_I_",D720,1),3),"")</f>
        <v>S_I</v>
      </c>
      <c r="N720" s="3" t="str">
        <f>IFERROR(MID(D720,SEARCH("C_I_",D720,1),3),"")</f>
        <v/>
      </c>
      <c r="O720" s="3" t="str">
        <f>IF(AND(M720="",N720=""),"Extra","")</f>
        <v/>
      </c>
      <c r="P720" s="3" t="str">
        <f>IF(Q720=0,"TERCEIRO","MRS")</f>
        <v>MRS</v>
      </c>
      <c r="Q720" s="8" t="str">
        <f>IFERROR(VLOOKUP(L720,#REF!,4,0),"0,00")</f>
        <v>0,00</v>
      </c>
      <c r="R720" s="9" t="s">
        <v>57</v>
      </c>
      <c r="S720" s="9">
        <f>COUNTIF(D720,"*_SEG_*")</f>
        <v>0</v>
      </c>
      <c r="T720" s="9">
        <f>COUNTIF(D720,"*_MAN_*")</f>
        <v>0</v>
      </c>
      <c r="U720" s="9">
        <f>(RIGHT(D720,4))*1</f>
        <v>30</v>
      </c>
      <c r="V720" s="9" t="str">
        <f>IFERROR(VLOOKUP(I720,#REF!,2,0),"Sinalização")</f>
        <v>Sinalização</v>
      </c>
    </row>
    <row r="721" spans="1:22" x14ac:dyDescent="0.25">
      <c r="A721" s="3" t="s">
        <v>22</v>
      </c>
      <c r="B721" s="4">
        <v>23509972</v>
      </c>
      <c r="C721" s="5" t="s">
        <v>23</v>
      </c>
      <c r="D721" s="6" t="s">
        <v>945</v>
      </c>
      <c r="E721" s="6" t="s">
        <v>25</v>
      </c>
      <c r="F721" s="11">
        <v>46165</v>
      </c>
      <c r="G721" s="6" t="s">
        <v>1079</v>
      </c>
      <c r="H721" s="7" t="s">
        <v>32</v>
      </c>
      <c r="I721" s="7" t="s">
        <v>736</v>
      </c>
      <c r="J721" s="7" t="s">
        <v>946</v>
      </c>
      <c r="K721" s="7" t="s">
        <v>29</v>
      </c>
      <c r="L721" s="3" t="str">
        <f>E721&amp;D721</f>
        <v>E.SP.IPAT_EE_INS_CONF_S_I_COM ENE CHAN OVER_0030</v>
      </c>
      <c r="M721" s="3" t="str">
        <f>IFERROR(MID(D721,SEARCH("S_I_",D721,1),3),"")</f>
        <v>S_I</v>
      </c>
      <c r="N721" s="3" t="str">
        <f>IFERROR(MID(D721,SEARCH("C_I_",D721,1),3),"")</f>
        <v/>
      </c>
      <c r="O721" s="3" t="str">
        <f>IF(AND(M721="",N721=""),"Extra","")</f>
        <v/>
      </c>
      <c r="P721" s="3" t="str">
        <f>IF(Q721=0,"TERCEIRO","MRS")</f>
        <v>MRS</v>
      </c>
      <c r="Q721" s="8" t="str">
        <f>IFERROR(VLOOKUP(L721,#REF!,4,0),"0,00")</f>
        <v>0,00</v>
      </c>
      <c r="R721" s="9" t="s">
        <v>57</v>
      </c>
      <c r="S721" s="9">
        <f>COUNTIF(D721,"*_SEG_*")</f>
        <v>0</v>
      </c>
      <c r="T721" s="9">
        <f>COUNTIF(D721,"*_MAN_*")</f>
        <v>0</v>
      </c>
      <c r="U721" s="9">
        <f>(RIGHT(D721,4))*1</f>
        <v>30</v>
      </c>
      <c r="V721" s="9" t="str">
        <f>IFERROR(VLOOKUP(I721,#REF!,2,0),"Sinalização")</f>
        <v>Sinalização</v>
      </c>
    </row>
    <row r="722" spans="1:22" x14ac:dyDescent="0.25">
      <c r="A722" s="3" t="s">
        <v>22</v>
      </c>
      <c r="B722" s="4">
        <v>23509973</v>
      </c>
      <c r="C722" s="5" t="s">
        <v>23</v>
      </c>
      <c r="D722" s="6" t="s">
        <v>945</v>
      </c>
      <c r="E722" s="6" t="s">
        <v>25</v>
      </c>
      <c r="F722" s="11">
        <v>46165</v>
      </c>
      <c r="G722" s="6" t="s">
        <v>1079</v>
      </c>
      <c r="H722" s="7" t="s">
        <v>32</v>
      </c>
      <c r="I722" s="7" t="s">
        <v>735</v>
      </c>
      <c r="J722" s="7" t="s">
        <v>946</v>
      </c>
      <c r="K722" s="7" t="s">
        <v>29</v>
      </c>
      <c r="L722" s="3" t="str">
        <f>E722&amp;D722</f>
        <v>E.SP.IPAT_EE_INS_CONF_S_I_COM ENE CHAN OVER_0030</v>
      </c>
      <c r="M722" s="3" t="str">
        <f>IFERROR(MID(D722,SEARCH("S_I_",D722,1),3),"")</f>
        <v>S_I</v>
      </c>
      <c r="N722" s="3" t="str">
        <f>IFERROR(MID(D722,SEARCH("C_I_",D722,1),3),"")</f>
        <v/>
      </c>
      <c r="O722" s="3" t="str">
        <f>IF(AND(M722="",N722=""),"Extra","")</f>
        <v/>
      </c>
      <c r="P722" s="3" t="str">
        <f>IF(Q722=0,"TERCEIRO","MRS")</f>
        <v>MRS</v>
      </c>
      <c r="Q722" s="8" t="str">
        <f>IFERROR(VLOOKUP(L722,#REF!,4,0),"0,00")</f>
        <v>0,00</v>
      </c>
      <c r="R722" s="9" t="s">
        <v>57</v>
      </c>
      <c r="S722" s="9">
        <f>COUNTIF(D722,"*_SEG_*")</f>
        <v>0</v>
      </c>
      <c r="T722" s="9">
        <f>COUNTIF(D722,"*_MAN_*")</f>
        <v>0</v>
      </c>
      <c r="U722" s="9">
        <f>(RIGHT(D722,4))*1</f>
        <v>30</v>
      </c>
      <c r="V722" s="9" t="str">
        <f>IFERROR(VLOOKUP(I722,#REF!,2,0),"Sinalização")</f>
        <v>Sinalização</v>
      </c>
    </row>
    <row r="723" spans="1:22" x14ac:dyDescent="0.25">
      <c r="A723" s="3" t="s">
        <v>22</v>
      </c>
      <c r="B723" s="4">
        <v>23509974</v>
      </c>
      <c r="C723" s="5" t="s">
        <v>23</v>
      </c>
      <c r="D723" s="6" t="s">
        <v>945</v>
      </c>
      <c r="E723" s="6" t="s">
        <v>25</v>
      </c>
      <c r="F723" s="11">
        <v>46165</v>
      </c>
      <c r="G723" s="6" t="s">
        <v>1079</v>
      </c>
      <c r="H723" s="7" t="s">
        <v>26</v>
      </c>
      <c r="I723" s="7" t="s">
        <v>954</v>
      </c>
      <c r="J723" s="7" t="s">
        <v>946</v>
      </c>
      <c r="K723" s="7" t="s">
        <v>29</v>
      </c>
      <c r="L723" s="3" t="str">
        <f>E723&amp;D723</f>
        <v>E.SP.IPAT_EE_INS_CONF_S_I_COM ENE CHAN OVER_0030</v>
      </c>
      <c r="M723" s="3" t="str">
        <f>IFERROR(MID(D723,SEARCH("S_I_",D723,1),3),"")</f>
        <v>S_I</v>
      </c>
      <c r="N723" s="3" t="str">
        <f>IFERROR(MID(D723,SEARCH("C_I_",D723,1),3),"")</f>
        <v/>
      </c>
      <c r="O723" s="3" t="str">
        <f>IF(AND(M723="",N723=""),"Extra","")</f>
        <v/>
      </c>
      <c r="P723" s="3" t="str">
        <f>IF(Q723=0,"TERCEIRO","MRS")</f>
        <v>MRS</v>
      </c>
      <c r="Q723" s="8" t="str">
        <f>IFERROR(VLOOKUP(L723,#REF!,4,0),"0,00")</f>
        <v>0,00</v>
      </c>
      <c r="R723" s="9" t="s">
        <v>57</v>
      </c>
      <c r="S723" s="9">
        <f>COUNTIF(D723,"*_SEG_*")</f>
        <v>0</v>
      </c>
      <c r="T723" s="9">
        <f>COUNTIF(D723,"*_MAN_*")</f>
        <v>0</v>
      </c>
      <c r="U723" s="9">
        <f>(RIGHT(D723,4))*1</f>
        <v>30</v>
      </c>
      <c r="V723" s="9" t="str">
        <f>IFERROR(VLOOKUP(I723,#REF!,2,0),"Sinalização")</f>
        <v>Sinalização</v>
      </c>
    </row>
    <row r="724" spans="1:22" x14ac:dyDescent="0.25">
      <c r="A724" s="3" t="s">
        <v>22</v>
      </c>
      <c r="B724" s="4">
        <v>23509975</v>
      </c>
      <c r="C724" s="5" t="s">
        <v>23</v>
      </c>
      <c r="D724" s="6" t="s">
        <v>955</v>
      </c>
      <c r="E724" s="6" t="s">
        <v>25</v>
      </c>
      <c r="F724" s="11">
        <v>46165</v>
      </c>
      <c r="G724" s="6" t="s">
        <v>1079</v>
      </c>
      <c r="H724" s="7" t="s">
        <v>26</v>
      </c>
      <c r="I724" s="7" t="s">
        <v>609</v>
      </c>
      <c r="J724" s="7" t="s">
        <v>956</v>
      </c>
      <c r="K724" s="7" t="s">
        <v>29</v>
      </c>
      <c r="L724" s="3" t="str">
        <f>E724&amp;D724</f>
        <v>E.SP.IPAEE_INS_SEG_S_I_TRAVADOR ELÉTRICO_0030</v>
      </c>
      <c r="M724" s="3" t="str">
        <f>IFERROR(MID(D724,SEARCH("S_I_",D724,1),3),"")</f>
        <v>S_I</v>
      </c>
      <c r="N724" s="3" t="str">
        <f>IFERROR(MID(D724,SEARCH("C_I_",D724,1),3),"")</f>
        <v/>
      </c>
      <c r="O724" s="3" t="str">
        <f>IF(AND(M724="",N724=""),"Extra","")</f>
        <v/>
      </c>
      <c r="P724" s="3" t="str">
        <f>IF(Q724=0,"TERCEIRO","MRS")</f>
        <v>MRS</v>
      </c>
      <c r="Q724" s="8" t="str">
        <f>IFERROR(VLOOKUP(L724,#REF!,4,0),"0,00")</f>
        <v>0,00</v>
      </c>
      <c r="R724" s="9" t="s">
        <v>30</v>
      </c>
      <c r="S724" s="9">
        <f>COUNTIF(D724,"*_SEG_*")</f>
        <v>1</v>
      </c>
      <c r="T724" s="9">
        <f>COUNTIF(D724,"*_MAN_*")</f>
        <v>0</v>
      </c>
      <c r="U724" s="9">
        <f>(RIGHT(D724,4))*1</f>
        <v>30</v>
      </c>
      <c r="V724" s="9" t="str">
        <f>IFERROR(VLOOKUP(I724,#REF!,2,0),"Sinalização")</f>
        <v>Sinalização</v>
      </c>
    </row>
    <row r="725" spans="1:22" x14ac:dyDescent="0.25">
      <c r="A725" s="3" t="s">
        <v>22</v>
      </c>
      <c r="B725" s="4">
        <v>23509979</v>
      </c>
      <c r="C725" s="5" t="s">
        <v>23</v>
      </c>
      <c r="D725" s="6" t="s">
        <v>957</v>
      </c>
      <c r="E725" s="6" t="s">
        <v>25</v>
      </c>
      <c r="F725" s="11">
        <v>46165</v>
      </c>
      <c r="G725" s="6" t="s">
        <v>1079</v>
      </c>
      <c r="H725" s="7" t="s">
        <v>32</v>
      </c>
      <c r="I725" s="7" t="s">
        <v>253</v>
      </c>
      <c r="J725" s="7" t="s">
        <v>958</v>
      </c>
      <c r="K725" s="7" t="s">
        <v>29</v>
      </c>
      <c r="L725" s="3" t="str">
        <f>E725&amp;D725</f>
        <v>E.SP.IPAEE_INS_SEG_C_I_MCH 110VCC GRS 5C R_0030</v>
      </c>
      <c r="M725" s="3" t="str">
        <f>IFERROR(MID(D725,SEARCH("S_I_",D725,1),3),"")</f>
        <v/>
      </c>
      <c r="N725" s="3" t="str">
        <f>IFERROR(MID(D725,SEARCH("C_I_",D725,1),3),"")</f>
        <v>C_I</v>
      </c>
      <c r="O725" s="3" t="str">
        <f>IF(AND(M725="",N725=""),"Extra","")</f>
        <v/>
      </c>
      <c r="P725" s="3" t="str">
        <f>IF(Q725=0,"TERCEIRO","MRS")</f>
        <v>MRS</v>
      </c>
      <c r="Q725" s="8" t="str">
        <f>IFERROR(VLOOKUP(L725,#REF!,4,0),"0,00")</f>
        <v>0,00</v>
      </c>
      <c r="R725" s="9" t="s">
        <v>30</v>
      </c>
      <c r="S725" s="9">
        <f>COUNTIF(D725,"*_SEG_*")</f>
        <v>1</v>
      </c>
      <c r="T725" s="9">
        <f>COUNTIF(D725,"*_MAN_*")</f>
        <v>0</v>
      </c>
      <c r="U725" s="9">
        <f>(RIGHT(D725,4))*1</f>
        <v>30</v>
      </c>
      <c r="V725" s="9" t="str">
        <f>IFERROR(VLOOKUP(I725,#REF!,2,0),"Sinalização")</f>
        <v>Sinalização</v>
      </c>
    </row>
    <row r="726" spans="1:22" x14ac:dyDescent="0.25">
      <c r="A726" s="3" t="s">
        <v>22</v>
      </c>
      <c r="B726" s="4">
        <v>23510011</v>
      </c>
      <c r="C726" s="5" t="s">
        <v>23</v>
      </c>
      <c r="D726" s="6" t="s">
        <v>959</v>
      </c>
      <c r="E726" s="6" t="s">
        <v>25</v>
      </c>
      <c r="F726" s="11">
        <v>46165</v>
      </c>
      <c r="G726" s="6" t="s">
        <v>1079</v>
      </c>
      <c r="H726" s="7" t="s">
        <v>32</v>
      </c>
      <c r="I726" s="7" t="s">
        <v>241</v>
      </c>
      <c r="J726" s="7" t="s">
        <v>830</v>
      </c>
      <c r="K726" s="7" t="s">
        <v>29</v>
      </c>
      <c r="L726" s="3" t="str">
        <f>E726&amp;D726</f>
        <v>E.SP.IPAT_EE_INS_CONF_S_I_CDV DETETORA CA_0030</v>
      </c>
      <c r="M726" s="3" t="str">
        <f>IFERROR(MID(D726,SEARCH("S_I_",D726,1),3),"")</f>
        <v>S_I</v>
      </c>
      <c r="N726" s="3" t="str">
        <f>IFERROR(MID(D726,SEARCH("C_I_",D726,1),3),"")</f>
        <v/>
      </c>
      <c r="O726" s="3" t="str">
        <f>IF(AND(M726="",N726=""),"Extra","")</f>
        <v/>
      </c>
      <c r="P726" s="3" t="str">
        <f>IF(Q726=0,"TERCEIRO","MRS")</f>
        <v>MRS</v>
      </c>
      <c r="Q726" s="8" t="str">
        <f>IFERROR(VLOOKUP(L726,#REF!,4,0),"0,00")</f>
        <v>0,00</v>
      </c>
      <c r="R726" s="9" t="s">
        <v>42</v>
      </c>
      <c r="S726" s="9">
        <f>COUNTIF(D726,"*_SEG_*")</f>
        <v>0</v>
      </c>
      <c r="T726" s="9">
        <f>COUNTIF(D726,"*_MAN_*")</f>
        <v>0</v>
      </c>
      <c r="U726" s="9">
        <f>(RIGHT(D726,4))*1</f>
        <v>30</v>
      </c>
      <c r="V726" s="9" t="str">
        <f>IFERROR(VLOOKUP(I726,#REF!,2,0),"Sinalização")</f>
        <v>Sinalização</v>
      </c>
    </row>
    <row r="727" spans="1:22" x14ac:dyDescent="0.25">
      <c r="A727" s="3" t="s">
        <v>22</v>
      </c>
      <c r="B727" s="4">
        <v>23510012</v>
      </c>
      <c r="C727" s="5" t="s">
        <v>23</v>
      </c>
      <c r="D727" s="6" t="s">
        <v>959</v>
      </c>
      <c r="E727" s="6" t="s">
        <v>25</v>
      </c>
      <c r="F727" s="11">
        <v>46165</v>
      </c>
      <c r="G727" s="6" t="s">
        <v>1079</v>
      </c>
      <c r="H727" s="7" t="s">
        <v>26</v>
      </c>
      <c r="I727" s="7" t="s">
        <v>504</v>
      </c>
      <c r="J727" s="7" t="s">
        <v>830</v>
      </c>
      <c r="K727" s="7" t="s">
        <v>29</v>
      </c>
      <c r="L727" s="3" t="str">
        <f>E727&amp;D727</f>
        <v>E.SP.IPAT_EE_INS_CONF_S_I_CDV DETETORA CA_0030</v>
      </c>
      <c r="M727" s="3" t="str">
        <f>IFERROR(MID(D727,SEARCH("S_I_",D727,1),3),"")</f>
        <v>S_I</v>
      </c>
      <c r="N727" s="3" t="str">
        <f>IFERROR(MID(D727,SEARCH("C_I_",D727,1),3),"")</f>
        <v/>
      </c>
      <c r="O727" s="3" t="str">
        <f>IF(AND(M727="",N727=""),"Extra","")</f>
        <v/>
      </c>
      <c r="P727" s="3" t="str">
        <f>IF(Q727=0,"TERCEIRO","MRS")</f>
        <v>MRS</v>
      </c>
      <c r="Q727" s="8" t="str">
        <f>IFERROR(VLOOKUP(L727,#REF!,4,0),"0,00")</f>
        <v>0,00</v>
      </c>
      <c r="R727" s="9" t="s">
        <v>42</v>
      </c>
      <c r="S727" s="9">
        <f>COUNTIF(D727,"*_SEG_*")</f>
        <v>0</v>
      </c>
      <c r="T727" s="9">
        <f>COUNTIF(D727,"*_MAN_*")</f>
        <v>0</v>
      </c>
      <c r="U727" s="9">
        <f>(RIGHT(D727,4))*1</f>
        <v>30</v>
      </c>
      <c r="V727" s="9" t="str">
        <f>IFERROR(VLOOKUP(I727,#REF!,2,0),"Sinalização")</f>
        <v>Sinalização</v>
      </c>
    </row>
    <row r="728" spans="1:22" x14ac:dyDescent="0.25">
      <c r="A728" s="3" t="s">
        <v>22</v>
      </c>
      <c r="B728" s="4">
        <v>23510015</v>
      </c>
      <c r="C728" s="5" t="s">
        <v>23</v>
      </c>
      <c r="D728" s="6" t="s">
        <v>959</v>
      </c>
      <c r="E728" s="6" t="s">
        <v>25</v>
      </c>
      <c r="F728" s="11">
        <v>46165</v>
      </c>
      <c r="G728" s="6" t="s">
        <v>1079</v>
      </c>
      <c r="H728" s="7" t="s">
        <v>26</v>
      </c>
      <c r="I728" s="7" t="s">
        <v>924</v>
      </c>
      <c r="J728" s="7" t="s">
        <v>830</v>
      </c>
      <c r="K728" s="7" t="s">
        <v>29</v>
      </c>
      <c r="L728" s="3" t="str">
        <f>E728&amp;D728</f>
        <v>E.SP.IPAT_EE_INS_CONF_S_I_CDV DETETORA CA_0030</v>
      </c>
      <c r="M728" s="3" t="str">
        <f>IFERROR(MID(D728,SEARCH("S_I_",D728,1),3),"")</f>
        <v>S_I</v>
      </c>
      <c r="N728" s="3" t="str">
        <f>IFERROR(MID(D728,SEARCH("C_I_",D728,1),3),"")</f>
        <v/>
      </c>
      <c r="O728" s="3" t="str">
        <f>IF(AND(M728="",N728=""),"Extra","")</f>
        <v/>
      </c>
      <c r="P728" s="3" t="str">
        <f>IF(Q728=0,"TERCEIRO","MRS")</f>
        <v>MRS</v>
      </c>
      <c r="Q728" s="8" t="str">
        <f>IFERROR(VLOOKUP(L728,#REF!,4,0),"0,00")</f>
        <v>0,00</v>
      </c>
      <c r="R728" s="9" t="s">
        <v>42</v>
      </c>
      <c r="S728" s="9">
        <f>COUNTIF(D728,"*_SEG_*")</f>
        <v>0</v>
      </c>
      <c r="T728" s="9">
        <f>COUNTIF(D728,"*_MAN_*")</f>
        <v>0</v>
      </c>
      <c r="U728" s="9">
        <f>(RIGHT(D728,4))*1</f>
        <v>30</v>
      </c>
      <c r="V728" s="9" t="str">
        <f>IFERROR(VLOOKUP(I728,#REF!,2,0),"Sinalização")</f>
        <v>Sinalização</v>
      </c>
    </row>
    <row r="729" spans="1:22" x14ac:dyDescent="0.25">
      <c r="A729" s="3" t="s">
        <v>22</v>
      </c>
      <c r="B729" s="4">
        <v>23510017</v>
      </c>
      <c r="C729" s="5" t="s">
        <v>23</v>
      </c>
      <c r="D729" s="6" t="s">
        <v>959</v>
      </c>
      <c r="E729" s="6" t="s">
        <v>25</v>
      </c>
      <c r="F729" s="11">
        <v>46165</v>
      </c>
      <c r="G729" s="6" t="s">
        <v>1079</v>
      </c>
      <c r="H729" s="7" t="s">
        <v>32</v>
      </c>
      <c r="I729" s="7" t="s">
        <v>925</v>
      </c>
      <c r="J729" s="7" t="s">
        <v>830</v>
      </c>
      <c r="K729" s="7" t="s">
        <v>29</v>
      </c>
      <c r="L729" s="3" t="str">
        <f>E729&amp;D729</f>
        <v>E.SP.IPAT_EE_INS_CONF_S_I_CDV DETETORA CA_0030</v>
      </c>
      <c r="M729" s="3" t="str">
        <f>IFERROR(MID(D729,SEARCH("S_I_",D729,1),3),"")</f>
        <v>S_I</v>
      </c>
      <c r="N729" s="3" t="str">
        <f>IFERROR(MID(D729,SEARCH("C_I_",D729,1),3),"")</f>
        <v/>
      </c>
      <c r="O729" s="3" t="str">
        <f>IF(AND(M729="",N729=""),"Extra","")</f>
        <v/>
      </c>
      <c r="P729" s="3" t="str">
        <f>IF(Q729=0,"TERCEIRO","MRS")</f>
        <v>MRS</v>
      </c>
      <c r="Q729" s="8" t="str">
        <f>IFERROR(VLOOKUP(L729,#REF!,4,0),"0,00")</f>
        <v>0,00</v>
      </c>
      <c r="R729" s="9" t="s">
        <v>42</v>
      </c>
      <c r="S729" s="9">
        <f>COUNTIF(D729,"*_SEG_*")</f>
        <v>0</v>
      </c>
      <c r="T729" s="9">
        <f>COUNTIF(D729,"*_MAN_*")</f>
        <v>0</v>
      </c>
      <c r="U729" s="9">
        <f>(RIGHT(D729,4))*1</f>
        <v>30</v>
      </c>
      <c r="V729" s="9" t="str">
        <f>IFERROR(VLOOKUP(I729,#REF!,2,0),"Sinalização")</f>
        <v>Sinalização</v>
      </c>
    </row>
    <row r="730" spans="1:22" x14ac:dyDescent="0.25">
      <c r="A730" s="3" t="s">
        <v>22</v>
      </c>
      <c r="B730" s="4">
        <v>23510019</v>
      </c>
      <c r="C730" s="5" t="s">
        <v>23</v>
      </c>
      <c r="D730" s="6" t="s">
        <v>959</v>
      </c>
      <c r="E730" s="6" t="s">
        <v>25</v>
      </c>
      <c r="F730" s="11">
        <v>46165</v>
      </c>
      <c r="G730" s="6" t="s">
        <v>1079</v>
      </c>
      <c r="H730" s="7" t="s">
        <v>32</v>
      </c>
      <c r="I730" s="7" t="s">
        <v>375</v>
      </c>
      <c r="J730" s="7" t="s">
        <v>830</v>
      </c>
      <c r="K730" s="7" t="s">
        <v>29</v>
      </c>
      <c r="L730" s="3" t="str">
        <f>E730&amp;D730</f>
        <v>E.SP.IPAT_EE_INS_CONF_S_I_CDV DETETORA CA_0030</v>
      </c>
      <c r="M730" s="3" t="str">
        <f>IFERROR(MID(D730,SEARCH("S_I_",D730,1),3),"")</f>
        <v>S_I</v>
      </c>
      <c r="N730" s="3" t="str">
        <f>IFERROR(MID(D730,SEARCH("C_I_",D730,1),3),"")</f>
        <v/>
      </c>
      <c r="O730" s="3" t="str">
        <f>IF(AND(M730="",N730=""),"Extra","")</f>
        <v/>
      </c>
      <c r="P730" s="3" t="str">
        <f>IF(Q730=0,"TERCEIRO","MRS")</f>
        <v>MRS</v>
      </c>
      <c r="Q730" s="8" t="str">
        <f>IFERROR(VLOOKUP(L730,#REF!,4,0),"0,00")</f>
        <v>0,00</v>
      </c>
      <c r="R730" s="9" t="s">
        <v>42</v>
      </c>
      <c r="S730" s="9">
        <f>COUNTIF(D730,"*_SEG_*")</f>
        <v>0</v>
      </c>
      <c r="T730" s="9">
        <f>COUNTIF(D730,"*_MAN_*")</f>
        <v>0</v>
      </c>
      <c r="U730" s="9">
        <f>(RIGHT(D730,4))*1</f>
        <v>30</v>
      </c>
      <c r="V730" s="9" t="str">
        <f>IFERROR(VLOOKUP(I730,#REF!,2,0),"Sinalização")</f>
        <v>Sinalização</v>
      </c>
    </row>
    <row r="731" spans="1:22" x14ac:dyDescent="0.25">
      <c r="A731" s="3" t="s">
        <v>22</v>
      </c>
      <c r="B731" s="4">
        <v>23510020</v>
      </c>
      <c r="C731" s="5" t="s">
        <v>23</v>
      </c>
      <c r="D731" s="6" t="s">
        <v>959</v>
      </c>
      <c r="E731" s="6" t="s">
        <v>25</v>
      </c>
      <c r="F731" s="11">
        <v>46165</v>
      </c>
      <c r="G731" s="6" t="s">
        <v>1079</v>
      </c>
      <c r="H731" s="7" t="s">
        <v>26</v>
      </c>
      <c r="I731" s="7" t="s">
        <v>557</v>
      </c>
      <c r="J731" s="7" t="s">
        <v>830</v>
      </c>
      <c r="K731" s="7" t="s">
        <v>29</v>
      </c>
      <c r="L731" s="3" t="str">
        <f>E731&amp;D731</f>
        <v>E.SP.IPAT_EE_INS_CONF_S_I_CDV DETETORA CA_0030</v>
      </c>
      <c r="M731" s="3" t="str">
        <f>IFERROR(MID(D731,SEARCH("S_I_",D731,1),3),"")</f>
        <v>S_I</v>
      </c>
      <c r="N731" s="3" t="str">
        <f>IFERROR(MID(D731,SEARCH("C_I_",D731,1),3),"")</f>
        <v/>
      </c>
      <c r="O731" s="3" t="str">
        <f>IF(AND(M731="",N731=""),"Extra","")</f>
        <v/>
      </c>
      <c r="P731" s="3" t="str">
        <f>IF(Q731=0,"TERCEIRO","MRS")</f>
        <v>MRS</v>
      </c>
      <c r="Q731" s="8" t="str">
        <f>IFERROR(VLOOKUP(L731,#REF!,4,0),"0,00")</f>
        <v>0,00</v>
      </c>
      <c r="R731" s="9" t="s">
        <v>42</v>
      </c>
      <c r="S731" s="9">
        <f>COUNTIF(D731,"*_SEG_*")</f>
        <v>0</v>
      </c>
      <c r="T731" s="9">
        <f>COUNTIF(D731,"*_MAN_*")</f>
        <v>0</v>
      </c>
      <c r="U731" s="9">
        <f>(RIGHT(D731,4))*1</f>
        <v>30</v>
      </c>
      <c r="V731" s="9" t="str">
        <f>IFERROR(VLOOKUP(I731,#REF!,2,0),"Sinalização")</f>
        <v>Sinalização</v>
      </c>
    </row>
    <row r="732" spans="1:22" x14ac:dyDescent="0.25">
      <c r="A732" s="3" t="s">
        <v>22</v>
      </c>
      <c r="B732" s="4">
        <v>23510022</v>
      </c>
      <c r="C732" s="5" t="s">
        <v>23</v>
      </c>
      <c r="D732" s="6" t="s">
        <v>959</v>
      </c>
      <c r="E732" s="6" t="s">
        <v>25</v>
      </c>
      <c r="F732" s="11">
        <v>46165</v>
      </c>
      <c r="G732" s="6" t="s">
        <v>1079</v>
      </c>
      <c r="H732" s="7" t="s">
        <v>26</v>
      </c>
      <c r="I732" s="7" t="s">
        <v>755</v>
      </c>
      <c r="J732" s="7" t="s">
        <v>830</v>
      </c>
      <c r="K732" s="7" t="s">
        <v>29</v>
      </c>
      <c r="L732" s="3" t="str">
        <f>E732&amp;D732</f>
        <v>E.SP.IPAT_EE_INS_CONF_S_I_CDV DETETORA CA_0030</v>
      </c>
      <c r="M732" s="3" t="str">
        <f>IFERROR(MID(D732,SEARCH("S_I_",D732,1),3),"")</f>
        <v>S_I</v>
      </c>
      <c r="N732" s="3" t="str">
        <f>IFERROR(MID(D732,SEARCH("C_I_",D732,1),3),"")</f>
        <v/>
      </c>
      <c r="O732" s="3" t="str">
        <f>IF(AND(M732="",N732=""),"Extra","")</f>
        <v/>
      </c>
      <c r="P732" s="3" t="str">
        <f>IF(Q732=0,"TERCEIRO","MRS")</f>
        <v>MRS</v>
      </c>
      <c r="Q732" s="8" t="str">
        <f>IFERROR(VLOOKUP(L732,#REF!,4,0),"0,00")</f>
        <v>0,00</v>
      </c>
      <c r="R732" s="9" t="s">
        <v>42</v>
      </c>
      <c r="S732" s="9">
        <f>COUNTIF(D732,"*_SEG_*")</f>
        <v>0</v>
      </c>
      <c r="T732" s="9">
        <f>COUNTIF(D732,"*_MAN_*")</f>
        <v>0</v>
      </c>
      <c r="U732" s="9">
        <f>(RIGHT(D732,4))*1</f>
        <v>30</v>
      </c>
      <c r="V732" s="9" t="str">
        <f>IFERROR(VLOOKUP(I732,#REF!,2,0),"Sinalização")</f>
        <v>Sinalização</v>
      </c>
    </row>
    <row r="733" spans="1:22" x14ac:dyDescent="0.25">
      <c r="A733" s="3" t="s">
        <v>22</v>
      </c>
      <c r="B733" s="4">
        <v>23510024</v>
      </c>
      <c r="C733" s="5" t="s">
        <v>23</v>
      </c>
      <c r="D733" s="6" t="s">
        <v>959</v>
      </c>
      <c r="E733" s="6" t="s">
        <v>25</v>
      </c>
      <c r="F733" s="11">
        <v>46165</v>
      </c>
      <c r="G733" s="6" t="s">
        <v>1079</v>
      </c>
      <c r="H733" s="7" t="s">
        <v>32</v>
      </c>
      <c r="I733" s="7" t="s">
        <v>245</v>
      </c>
      <c r="J733" s="7" t="s">
        <v>830</v>
      </c>
      <c r="K733" s="7" t="s">
        <v>29</v>
      </c>
      <c r="L733" s="3" t="str">
        <f>E733&amp;D733</f>
        <v>E.SP.IPAT_EE_INS_CONF_S_I_CDV DETETORA CA_0030</v>
      </c>
      <c r="M733" s="3" t="str">
        <f>IFERROR(MID(D733,SEARCH("S_I_",D733,1),3),"")</f>
        <v>S_I</v>
      </c>
      <c r="N733" s="3" t="str">
        <f>IFERROR(MID(D733,SEARCH("C_I_",D733,1),3),"")</f>
        <v/>
      </c>
      <c r="O733" s="3" t="str">
        <f>IF(AND(M733="",N733=""),"Extra","")</f>
        <v/>
      </c>
      <c r="P733" s="3" t="str">
        <f>IF(Q733=0,"TERCEIRO","MRS")</f>
        <v>MRS</v>
      </c>
      <c r="Q733" s="8" t="str">
        <f>IFERROR(VLOOKUP(L733,#REF!,4,0),"0,00")</f>
        <v>0,00</v>
      </c>
      <c r="R733" s="9" t="s">
        <v>42</v>
      </c>
      <c r="S733" s="9">
        <f>COUNTIF(D733,"*_SEG_*")</f>
        <v>0</v>
      </c>
      <c r="T733" s="9">
        <f>COUNTIF(D733,"*_MAN_*")</f>
        <v>0</v>
      </c>
      <c r="U733" s="9">
        <f>(RIGHT(D733,4))*1</f>
        <v>30</v>
      </c>
      <c r="V733" s="9" t="str">
        <f>IFERROR(VLOOKUP(I733,#REF!,2,0),"Sinalização")</f>
        <v>Sinalização</v>
      </c>
    </row>
    <row r="734" spans="1:22" x14ac:dyDescent="0.25">
      <c r="A734" s="3" t="s">
        <v>22</v>
      </c>
      <c r="B734" s="4">
        <v>23510027</v>
      </c>
      <c r="C734" s="5" t="s">
        <v>23</v>
      </c>
      <c r="D734" s="6" t="s">
        <v>959</v>
      </c>
      <c r="E734" s="6" t="s">
        <v>25</v>
      </c>
      <c r="F734" s="11">
        <v>46165</v>
      </c>
      <c r="G734" s="6" t="s">
        <v>1079</v>
      </c>
      <c r="H734" s="7" t="s">
        <v>32</v>
      </c>
      <c r="I734" s="7" t="s">
        <v>302</v>
      </c>
      <c r="J734" s="7" t="s">
        <v>830</v>
      </c>
      <c r="K734" s="7" t="s">
        <v>29</v>
      </c>
      <c r="L734" s="3" t="str">
        <f>E734&amp;D734</f>
        <v>E.SP.IPAT_EE_INS_CONF_S_I_CDV DETETORA CA_0030</v>
      </c>
      <c r="M734" s="3" t="str">
        <f>IFERROR(MID(D734,SEARCH("S_I_",D734,1),3),"")</f>
        <v>S_I</v>
      </c>
      <c r="N734" s="3" t="str">
        <f>IFERROR(MID(D734,SEARCH("C_I_",D734,1),3),"")</f>
        <v/>
      </c>
      <c r="O734" s="3" t="str">
        <f>IF(AND(M734="",N734=""),"Extra","")</f>
        <v/>
      </c>
      <c r="P734" s="3" t="str">
        <f>IF(Q734=0,"TERCEIRO","MRS")</f>
        <v>MRS</v>
      </c>
      <c r="Q734" s="8" t="str">
        <f>IFERROR(VLOOKUP(L734,#REF!,4,0),"0,00")</f>
        <v>0,00</v>
      </c>
      <c r="R734" s="9" t="s">
        <v>42</v>
      </c>
      <c r="S734" s="9">
        <f>COUNTIF(D734,"*_SEG_*")</f>
        <v>0</v>
      </c>
      <c r="T734" s="9">
        <f>COUNTIF(D734,"*_MAN_*")</f>
        <v>0</v>
      </c>
      <c r="U734" s="9">
        <f>(RIGHT(D734,4))*1</f>
        <v>30</v>
      </c>
      <c r="V734" s="9" t="str">
        <f>IFERROR(VLOOKUP(I734,#REF!,2,0),"Sinalização")</f>
        <v>Sinalização</v>
      </c>
    </row>
    <row r="735" spans="1:22" x14ac:dyDescent="0.25">
      <c r="A735" s="3" t="s">
        <v>22</v>
      </c>
      <c r="B735" s="4">
        <v>23510028</v>
      </c>
      <c r="C735" s="5" t="s">
        <v>23</v>
      </c>
      <c r="D735" s="6" t="s">
        <v>959</v>
      </c>
      <c r="E735" s="6" t="s">
        <v>25</v>
      </c>
      <c r="F735" s="11">
        <v>46165</v>
      </c>
      <c r="G735" s="6" t="s">
        <v>1079</v>
      </c>
      <c r="H735" s="7" t="s">
        <v>26</v>
      </c>
      <c r="I735" s="7" t="s">
        <v>301</v>
      </c>
      <c r="J735" s="7" t="s">
        <v>830</v>
      </c>
      <c r="K735" s="7" t="s">
        <v>29</v>
      </c>
      <c r="L735" s="3" t="str">
        <f>E735&amp;D735</f>
        <v>E.SP.IPAT_EE_INS_CONF_S_I_CDV DETETORA CA_0030</v>
      </c>
      <c r="M735" s="3" t="str">
        <f>IFERROR(MID(D735,SEARCH("S_I_",D735,1),3),"")</f>
        <v>S_I</v>
      </c>
      <c r="N735" s="3" t="str">
        <f>IFERROR(MID(D735,SEARCH("C_I_",D735,1),3),"")</f>
        <v/>
      </c>
      <c r="O735" s="3" t="str">
        <f>IF(AND(M735="",N735=""),"Extra","")</f>
        <v/>
      </c>
      <c r="P735" s="3" t="str">
        <f>IF(Q735=0,"TERCEIRO","MRS")</f>
        <v>MRS</v>
      </c>
      <c r="Q735" s="8" t="str">
        <f>IFERROR(VLOOKUP(L735,#REF!,4,0),"0,00")</f>
        <v>0,00</v>
      </c>
      <c r="R735" s="9" t="s">
        <v>42</v>
      </c>
      <c r="S735" s="9">
        <f>COUNTIF(D735,"*_SEG_*")</f>
        <v>0</v>
      </c>
      <c r="T735" s="9">
        <f>COUNTIF(D735,"*_MAN_*")</f>
        <v>0</v>
      </c>
      <c r="U735" s="9">
        <f>(RIGHT(D735,4))*1</f>
        <v>30</v>
      </c>
      <c r="V735" s="9" t="str">
        <f>IFERROR(VLOOKUP(I735,#REF!,2,0),"Sinalização")</f>
        <v>Sinalização</v>
      </c>
    </row>
    <row r="736" spans="1:22" x14ac:dyDescent="0.25">
      <c r="A736" s="3" t="s">
        <v>22</v>
      </c>
      <c r="B736" s="4">
        <v>23510036</v>
      </c>
      <c r="C736" s="5" t="s">
        <v>23</v>
      </c>
      <c r="D736" s="6" t="s">
        <v>960</v>
      </c>
      <c r="E736" s="6" t="s">
        <v>25</v>
      </c>
      <c r="F736" s="11">
        <v>46165</v>
      </c>
      <c r="G736" s="6" t="s">
        <v>1079</v>
      </c>
      <c r="H736" s="7" t="s">
        <v>26</v>
      </c>
      <c r="I736" s="7" t="s">
        <v>38</v>
      </c>
      <c r="J736" s="7" t="s">
        <v>910</v>
      </c>
      <c r="K736" s="7" t="s">
        <v>29</v>
      </c>
      <c r="L736" s="3" t="str">
        <f>E736&amp;D736</f>
        <v>E.SP.IPAEE_MAN_CONF_S_I_SINAL L MULTI AUT_0030</v>
      </c>
      <c r="M736" s="3" t="str">
        <f>IFERROR(MID(D736,SEARCH("S_I_",D736,1),3),"")</f>
        <v>S_I</v>
      </c>
      <c r="N736" s="3" t="str">
        <f>IFERROR(MID(D736,SEARCH("C_I_",D736,1),3),"")</f>
        <v/>
      </c>
      <c r="O736" s="3" t="str">
        <f>IF(AND(M736="",N736=""),"Extra","")</f>
        <v/>
      </c>
      <c r="P736" s="3" t="str">
        <f>IF(Q736=0,"TERCEIRO","MRS")</f>
        <v>MRS</v>
      </c>
      <c r="Q736" s="8" t="str">
        <f>IFERROR(VLOOKUP(L736,#REF!,4,0),"0,00")</f>
        <v>0,00</v>
      </c>
      <c r="R736" s="9" t="s">
        <v>42</v>
      </c>
      <c r="S736" s="9">
        <f>COUNTIF(D736,"*_SEG_*")</f>
        <v>0</v>
      </c>
      <c r="T736" s="9">
        <f>COUNTIF(D736,"*_MAN_*")</f>
        <v>1</v>
      </c>
      <c r="U736" s="9">
        <f>(RIGHT(D736,4))*1</f>
        <v>30</v>
      </c>
      <c r="V736" s="9" t="str">
        <f>IFERROR(VLOOKUP(I736,#REF!,2,0),"Sinalização")</f>
        <v>Sinalização</v>
      </c>
    </row>
    <row r="737" spans="1:22" x14ac:dyDescent="0.25">
      <c r="A737" s="3" t="s">
        <v>22</v>
      </c>
      <c r="B737" s="4">
        <v>23510037</v>
      </c>
      <c r="C737" s="5" t="s">
        <v>23</v>
      </c>
      <c r="D737" s="6" t="s">
        <v>960</v>
      </c>
      <c r="E737" s="6" t="s">
        <v>25</v>
      </c>
      <c r="F737" s="11">
        <v>46165</v>
      </c>
      <c r="G737" s="6" t="s">
        <v>1079</v>
      </c>
      <c r="H737" s="7" t="s">
        <v>32</v>
      </c>
      <c r="I737" s="7" t="s">
        <v>372</v>
      </c>
      <c r="J737" s="7" t="s">
        <v>910</v>
      </c>
      <c r="K737" s="7" t="s">
        <v>29</v>
      </c>
      <c r="L737" s="3" t="str">
        <f>E737&amp;D737</f>
        <v>E.SP.IPAEE_MAN_CONF_S_I_SINAL L MULTI AUT_0030</v>
      </c>
      <c r="M737" s="3" t="str">
        <f>IFERROR(MID(D737,SEARCH("S_I_",D737,1),3),"")</f>
        <v>S_I</v>
      </c>
      <c r="N737" s="3" t="str">
        <f>IFERROR(MID(D737,SEARCH("C_I_",D737,1),3),"")</f>
        <v/>
      </c>
      <c r="O737" s="3" t="str">
        <f>IF(AND(M737="",N737=""),"Extra","")</f>
        <v/>
      </c>
      <c r="P737" s="3" t="str">
        <f>IF(Q737=0,"TERCEIRO","MRS")</f>
        <v>MRS</v>
      </c>
      <c r="Q737" s="8" t="str">
        <f>IFERROR(VLOOKUP(L737,#REF!,4,0),"0,00")</f>
        <v>0,00</v>
      </c>
      <c r="R737" s="9" t="s">
        <v>42</v>
      </c>
      <c r="S737" s="9">
        <f>COUNTIF(D737,"*_SEG_*")</f>
        <v>0</v>
      </c>
      <c r="T737" s="9">
        <f>COUNTIF(D737,"*_MAN_*")</f>
        <v>1</v>
      </c>
      <c r="U737" s="9">
        <f>(RIGHT(D737,4))*1</f>
        <v>30</v>
      </c>
      <c r="V737" s="9" t="str">
        <f>IFERROR(VLOOKUP(I737,#REF!,2,0),"Sinalização")</f>
        <v>Sinalização</v>
      </c>
    </row>
    <row r="738" spans="1:22" x14ac:dyDescent="0.25">
      <c r="A738" s="3" t="s">
        <v>22</v>
      </c>
      <c r="B738" s="4">
        <v>23510038</v>
      </c>
      <c r="C738" s="5" t="s">
        <v>23</v>
      </c>
      <c r="D738" s="6" t="s">
        <v>960</v>
      </c>
      <c r="E738" s="6" t="s">
        <v>25</v>
      </c>
      <c r="F738" s="11">
        <v>46165</v>
      </c>
      <c r="G738" s="6" t="s">
        <v>1079</v>
      </c>
      <c r="H738" s="7" t="s">
        <v>32</v>
      </c>
      <c r="I738" s="7" t="s">
        <v>396</v>
      </c>
      <c r="J738" s="7" t="s">
        <v>910</v>
      </c>
      <c r="K738" s="7" t="s">
        <v>29</v>
      </c>
      <c r="L738" s="3" t="str">
        <f>E738&amp;D738</f>
        <v>E.SP.IPAEE_MAN_CONF_S_I_SINAL L MULTI AUT_0030</v>
      </c>
      <c r="M738" s="3" t="str">
        <f>IFERROR(MID(D738,SEARCH("S_I_",D738,1),3),"")</f>
        <v>S_I</v>
      </c>
      <c r="N738" s="3" t="str">
        <f>IFERROR(MID(D738,SEARCH("C_I_",D738,1),3),"")</f>
        <v/>
      </c>
      <c r="O738" s="3" t="str">
        <f>IF(AND(M738="",N738=""),"Extra","")</f>
        <v/>
      </c>
      <c r="P738" s="3" t="str">
        <f>IF(Q738=0,"TERCEIRO","MRS")</f>
        <v>MRS</v>
      </c>
      <c r="Q738" s="8" t="str">
        <f>IFERROR(VLOOKUP(L738,#REF!,4,0),"0,00")</f>
        <v>0,00</v>
      </c>
      <c r="R738" s="9" t="s">
        <v>42</v>
      </c>
      <c r="S738" s="9">
        <f>COUNTIF(D738,"*_SEG_*")</f>
        <v>0</v>
      </c>
      <c r="T738" s="9">
        <f>COUNTIF(D738,"*_MAN_*")</f>
        <v>1</v>
      </c>
      <c r="U738" s="9">
        <f>(RIGHT(D738,4))*1</f>
        <v>30</v>
      </c>
      <c r="V738" s="9" t="str">
        <f>IFERROR(VLOOKUP(I738,#REF!,2,0),"Sinalização")</f>
        <v>Sinalização</v>
      </c>
    </row>
    <row r="739" spans="1:22" x14ac:dyDescent="0.25">
      <c r="A739" s="3" t="s">
        <v>22</v>
      </c>
      <c r="B739" s="4">
        <v>23510046</v>
      </c>
      <c r="C739" s="5" t="s">
        <v>23</v>
      </c>
      <c r="D739" s="6" t="s">
        <v>814</v>
      </c>
      <c r="E739" s="6" t="s">
        <v>25</v>
      </c>
      <c r="F739" s="11">
        <v>46165</v>
      </c>
      <c r="G739" s="6" t="s">
        <v>1079</v>
      </c>
      <c r="H739" s="7" t="s">
        <v>26</v>
      </c>
      <c r="I739" s="7" t="s">
        <v>346</v>
      </c>
      <c r="J739" s="7" t="s">
        <v>816</v>
      </c>
      <c r="K739" s="7" t="s">
        <v>29</v>
      </c>
      <c r="L739" s="3" t="str">
        <f>E739&amp;D739</f>
        <v>E.SP.IPAEE_INS_SEG_C_I_CIRCUITO VIA CA_0030</v>
      </c>
      <c r="M739" s="3" t="str">
        <f>IFERROR(MID(D739,SEARCH("S_I_",D739,1),3),"")</f>
        <v/>
      </c>
      <c r="N739" s="3" t="str">
        <f>IFERROR(MID(D739,SEARCH("C_I_",D739,1),3),"")</f>
        <v>C_I</v>
      </c>
      <c r="O739" s="3" t="str">
        <f>IF(AND(M739="",N739=""),"Extra","")</f>
        <v/>
      </c>
      <c r="P739" s="3" t="str">
        <f>IF(Q739=0,"TERCEIRO","MRS")</f>
        <v>MRS</v>
      </c>
      <c r="Q739" s="8" t="str">
        <f>IFERROR(VLOOKUP(L739,#REF!,4,0),"0,00")</f>
        <v>0,00</v>
      </c>
      <c r="R739" s="9" t="s">
        <v>30</v>
      </c>
      <c r="S739" s="9">
        <f>COUNTIF(D739,"*_SEG_*")</f>
        <v>1</v>
      </c>
      <c r="T739" s="9">
        <f>COUNTIF(D739,"*_MAN_*")</f>
        <v>0</v>
      </c>
      <c r="U739" s="9">
        <f>(RIGHT(D739,4))*1</f>
        <v>30</v>
      </c>
      <c r="V739" s="9" t="str">
        <f>IFERROR(VLOOKUP(I739,#REF!,2,0),"Sinalização")</f>
        <v>Sinalização</v>
      </c>
    </row>
    <row r="740" spans="1:22" x14ac:dyDescent="0.25">
      <c r="A740" s="3" t="s">
        <v>22</v>
      </c>
      <c r="B740" s="4">
        <v>23510047</v>
      </c>
      <c r="C740" s="5" t="s">
        <v>23</v>
      </c>
      <c r="D740" s="6" t="s">
        <v>814</v>
      </c>
      <c r="E740" s="6" t="s">
        <v>25</v>
      </c>
      <c r="F740" s="11">
        <v>46165</v>
      </c>
      <c r="G740" s="6" t="s">
        <v>1079</v>
      </c>
      <c r="H740" s="7" t="s">
        <v>26</v>
      </c>
      <c r="I740" s="7" t="s">
        <v>194</v>
      </c>
      <c r="J740" s="7" t="s">
        <v>816</v>
      </c>
      <c r="K740" s="7" t="s">
        <v>29</v>
      </c>
      <c r="L740" s="3" t="str">
        <f>E740&amp;D740</f>
        <v>E.SP.IPAEE_INS_SEG_C_I_CIRCUITO VIA CA_0030</v>
      </c>
      <c r="M740" s="3" t="str">
        <f>IFERROR(MID(D740,SEARCH("S_I_",D740,1),3),"")</f>
        <v/>
      </c>
      <c r="N740" s="3" t="str">
        <f>IFERROR(MID(D740,SEARCH("C_I_",D740,1),3),"")</f>
        <v>C_I</v>
      </c>
      <c r="O740" s="3" t="str">
        <f>IF(AND(M740="",N740=""),"Extra","")</f>
        <v/>
      </c>
      <c r="P740" s="3" t="str">
        <f>IF(Q740=0,"TERCEIRO","MRS")</f>
        <v>MRS</v>
      </c>
      <c r="Q740" s="8" t="str">
        <f>IFERROR(VLOOKUP(L740,#REF!,4,0),"0,00")</f>
        <v>0,00</v>
      </c>
      <c r="R740" s="9" t="s">
        <v>30</v>
      </c>
      <c r="S740" s="9">
        <f>COUNTIF(D740,"*_SEG_*")</f>
        <v>1</v>
      </c>
      <c r="T740" s="9">
        <f>COUNTIF(D740,"*_MAN_*")</f>
        <v>0</v>
      </c>
      <c r="U740" s="9">
        <f>(RIGHT(D740,4))*1</f>
        <v>30</v>
      </c>
      <c r="V740" s="9" t="str">
        <f>IFERROR(VLOOKUP(I740,#REF!,2,0),"Sinalização")</f>
        <v>Sinalização</v>
      </c>
    </row>
    <row r="741" spans="1:22" x14ac:dyDescent="0.25">
      <c r="A741" s="3" t="s">
        <v>22</v>
      </c>
      <c r="B741" s="4">
        <v>23510048</v>
      </c>
      <c r="C741" s="5" t="s">
        <v>23</v>
      </c>
      <c r="D741" s="6" t="s">
        <v>814</v>
      </c>
      <c r="E741" s="6" t="s">
        <v>25</v>
      </c>
      <c r="F741" s="11">
        <v>46165</v>
      </c>
      <c r="G741" s="6" t="s">
        <v>1079</v>
      </c>
      <c r="H741" s="7" t="s">
        <v>32</v>
      </c>
      <c r="I741" s="7" t="s">
        <v>766</v>
      </c>
      <c r="J741" s="7" t="s">
        <v>816</v>
      </c>
      <c r="K741" s="7" t="s">
        <v>29</v>
      </c>
      <c r="L741" s="3" t="str">
        <f>E741&amp;D741</f>
        <v>E.SP.IPAEE_INS_SEG_C_I_CIRCUITO VIA CA_0030</v>
      </c>
      <c r="M741" s="3" t="str">
        <f>IFERROR(MID(D741,SEARCH("S_I_",D741,1),3),"")</f>
        <v/>
      </c>
      <c r="N741" s="3" t="str">
        <f>IFERROR(MID(D741,SEARCH("C_I_",D741,1),3),"")</f>
        <v>C_I</v>
      </c>
      <c r="O741" s="3" t="str">
        <f>IF(AND(M741="",N741=""),"Extra","")</f>
        <v/>
      </c>
      <c r="P741" s="3" t="str">
        <f>IF(Q741=0,"TERCEIRO","MRS")</f>
        <v>MRS</v>
      </c>
      <c r="Q741" s="8" t="str">
        <f>IFERROR(VLOOKUP(L741,#REF!,4,0),"0,00")</f>
        <v>0,00</v>
      </c>
      <c r="R741" s="9" t="s">
        <v>30</v>
      </c>
      <c r="S741" s="9">
        <f>COUNTIF(D741,"*_SEG_*")</f>
        <v>1</v>
      </c>
      <c r="T741" s="9">
        <f>COUNTIF(D741,"*_MAN_*")</f>
        <v>0</v>
      </c>
      <c r="U741" s="9">
        <f>(RIGHT(D741,4))*1</f>
        <v>30</v>
      </c>
      <c r="V741" s="9" t="str">
        <f>IFERROR(VLOOKUP(I741,#REF!,2,0),"Sinalização")</f>
        <v>Sinalização</v>
      </c>
    </row>
    <row r="742" spans="1:22" x14ac:dyDescent="0.25">
      <c r="A742" s="3" t="s">
        <v>22</v>
      </c>
      <c r="B742" s="4">
        <v>23510049</v>
      </c>
      <c r="C742" s="5" t="s">
        <v>23</v>
      </c>
      <c r="D742" s="6" t="s">
        <v>814</v>
      </c>
      <c r="E742" s="6" t="s">
        <v>25</v>
      </c>
      <c r="F742" s="11">
        <v>46165</v>
      </c>
      <c r="G742" s="6" t="s">
        <v>1079</v>
      </c>
      <c r="H742" s="7" t="s">
        <v>32</v>
      </c>
      <c r="I742" s="7" t="s">
        <v>503</v>
      </c>
      <c r="J742" s="7" t="s">
        <v>816</v>
      </c>
      <c r="K742" s="7" t="s">
        <v>29</v>
      </c>
      <c r="L742" s="3" t="str">
        <f>E742&amp;D742</f>
        <v>E.SP.IPAEE_INS_SEG_C_I_CIRCUITO VIA CA_0030</v>
      </c>
      <c r="M742" s="3" t="str">
        <f>IFERROR(MID(D742,SEARCH("S_I_",D742,1),3),"")</f>
        <v/>
      </c>
      <c r="N742" s="3" t="str">
        <f>IFERROR(MID(D742,SEARCH("C_I_",D742,1),3),"")</f>
        <v>C_I</v>
      </c>
      <c r="O742" s="3" t="str">
        <f>IF(AND(M742="",N742=""),"Extra","")</f>
        <v/>
      </c>
      <c r="P742" s="3" t="str">
        <f>IF(Q742=0,"TERCEIRO","MRS")</f>
        <v>MRS</v>
      </c>
      <c r="Q742" s="8" t="str">
        <f>IFERROR(VLOOKUP(L742,#REF!,4,0),"0,00")</f>
        <v>0,00</v>
      </c>
      <c r="R742" s="9" t="s">
        <v>30</v>
      </c>
      <c r="S742" s="9">
        <f>COUNTIF(D742,"*_SEG_*")</f>
        <v>1</v>
      </c>
      <c r="T742" s="9">
        <f>COUNTIF(D742,"*_MAN_*")</f>
        <v>0</v>
      </c>
      <c r="U742" s="9">
        <f>(RIGHT(D742,4))*1</f>
        <v>30</v>
      </c>
      <c r="V742" s="9" t="str">
        <f>IFERROR(VLOOKUP(I742,#REF!,2,0),"Sinalização")</f>
        <v>Sinalização</v>
      </c>
    </row>
    <row r="743" spans="1:22" x14ac:dyDescent="0.25">
      <c r="A743" s="3" t="s">
        <v>22</v>
      </c>
      <c r="B743" s="4">
        <v>23510050</v>
      </c>
      <c r="C743" s="5" t="s">
        <v>23</v>
      </c>
      <c r="D743" s="6" t="s">
        <v>814</v>
      </c>
      <c r="E743" s="6" t="s">
        <v>25</v>
      </c>
      <c r="F743" s="11">
        <v>46165</v>
      </c>
      <c r="G743" s="6" t="s">
        <v>1079</v>
      </c>
      <c r="H743" s="7" t="s">
        <v>26</v>
      </c>
      <c r="I743" s="7" t="s">
        <v>501</v>
      </c>
      <c r="J743" s="7" t="s">
        <v>816</v>
      </c>
      <c r="K743" s="7" t="s">
        <v>29</v>
      </c>
      <c r="L743" s="3" t="str">
        <f>E743&amp;D743</f>
        <v>E.SP.IPAEE_INS_SEG_C_I_CIRCUITO VIA CA_0030</v>
      </c>
      <c r="M743" s="3" t="str">
        <f>IFERROR(MID(D743,SEARCH("S_I_",D743,1),3),"")</f>
        <v/>
      </c>
      <c r="N743" s="3" t="str">
        <f>IFERROR(MID(D743,SEARCH("C_I_",D743,1),3),"")</f>
        <v>C_I</v>
      </c>
      <c r="O743" s="3" t="str">
        <f>IF(AND(M743="",N743=""),"Extra","")</f>
        <v/>
      </c>
      <c r="P743" s="3" t="str">
        <f>IF(Q743=0,"TERCEIRO","MRS")</f>
        <v>MRS</v>
      </c>
      <c r="Q743" s="8" t="str">
        <f>IFERROR(VLOOKUP(L743,#REF!,4,0),"0,00")</f>
        <v>0,00</v>
      </c>
      <c r="R743" s="9" t="s">
        <v>30</v>
      </c>
      <c r="S743" s="9">
        <f>COUNTIF(D743,"*_SEG_*")</f>
        <v>1</v>
      </c>
      <c r="T743" s="9">
        <f>COUNTIF(D743,"*_MAN_*")</f>
        <v>0</v>
      </c>
      <c r="U743" s="9">
        <f>(RIGHT(D743,4))*1</f>
        <v>30</v>
      </c>
      <c r="V743" s="9" t="str">
        <f>IFERROR(VLOOKUP(I743,#REF!,2,0),"Sinalização")</f>
        <v>Sinalização</v>
      </c>
    </row>
    <row r="744" spans="1:22" x14ac:dyDescent="0.25">
      <c r="A744" s="3" t="s">
        <v>22</v>
      </c>
      <c r="B744" s="4">
        <v>23510051</v>
      </c>
      <c r="C744" s="5" t="s">
        <v>23</v>
      </c>
      <c r="D744" s="6" t="s">
        <v>814</v>
      </c>
      <c r="E744" s="6" t="s">
        <v>25</v>
      </c>
      <c r="F744" s="11">
        <v>46165</v>
      </c>
      <c r="G744" s="6" t="s">
        <v>1079</v>
      </c>
      <c r="H744" s="7" t="s">
        <v>26</v>
      </c>
      <c r="I744" s="7" t="s">
        <v>502</v>
      </c>
      <c r="J744" s="7" t="s">
        <v>816</v>
      </c>
      <c r="K744" s="7" t="s">
        <v>29</v>
      </c>
      <c r="L744" s="3" t="str">
        <f>E744&amp;D744</f>
        <v>E.SP.IPAEE_INS_SEG_C_I_CIRCUITO VIA CA_0030</v>
      </c>
      <c r="M744" s="3" t="str">
        <f>IFERROR(MID(D744,SEARCH("S_I_",D744,1),3),"")</f>
        <v/>
      </c>
      <c r="N744" s="3" t="str">
        <f>IFERROR(MID(D744,SEARCH("C_I_",D744,1),3),"")</f>
        <v>C_I</v>
      </c>
      <c r="O744" s="3" t="str">
        <f>IF(AND(M744="",N744=""),"Extra","")</f>
        <v/>
      </c>
      <c r="P744" s="3" t="str">
        <f>IF(Q744=0,"TERCEIRO","MRS")</f>
        <v>MRS</v>
      </c>
      <c r="Q744" s="8" t="str">
        <f>IFERROR(VLOOKUP(L744,#REF!,4,0),"0,00")</f>
        <v>0,00</v>
      </c>
      <c r="R744" s="9" t="s">
        <v>30</v>
      </c>
      <c r="S744" s="9">
        <f>COUNTIF(D744,"*_SEG_*")</f>
        <v>1</v>
      </c>
      <c r="T744" s="9">
        <f>COUNTIF(D744,"*_MAN_*")</f>
        <v>0</v>
      </c>
      <c r="U744" s="9">
        <f>(RIGHT(D744,4))*1</f>
        <v>30</v>
      </c>
      <c r="V744" s="9" t="str">
        <f>IFERROR(VLOOKUP(I744,#REF!,2,0),"Sinalização")</f>
        <v>Sinalização</v>
      </c>
    </row>
    <row r="745" spans="1:22" x14ac:dyDescent="0.25">
      <c r="A745" s="3" t="s">
        <v>22</v>
      </c>
      <c r="B745" s="4">
        <v>23510053</v>
      </c>
      <c r="C745" s="5" t="s">
        <v>23</v>
      </c>
      <c r="D745" s="6" t="s">
        <v>814</v>
      </c>
      <c r="E745" s="6" t="s">
        <v>25</v>
      </c>
      <c r="F745" s="11">
        <v>46165</v>
      </c>
      <c r="G745" s="6" t="s">
        <v>1079</v>
      </c>
      <c r="H745" s="7" t="s">
        <v>32</v>
      </c>
      <c r="I745" s="7" t="s">
        <v>500</v>
      </c>
      <c r="J745" s="7" t="s">
        <v>816</v>
      </c>
      <c r="K745" s="7" t="s">
        <v>29</v>
      </c>
      <c r="L745" s="3" t="str">
        <f>E745&amp;D745</f>
        <v>E.SP.IPAEE_INS_SEG_C_I_CIRCUITO VIA CA_0030</v>
      </c>
      <c r="M745" s="3" t="str">
        <f>IFERROR(MID(D745,SEARCH("S_I_",D745,1),3),"")</f>
        <v/>
      </c>
      <c r="N745" s="3" t="str">
        <f>IFERROR(MID(D745,SEARCH("C_I_",D745,1),3),"")</f>
        <v>C_I</v>
      </c>
      <c r="O745" s="3" t="str">
        <f>IF(AND(M745="",N745=""),"Extra","")</f>
        <v/>
      </c>
      <c r="P745" s="3" t="str">
        <f>IF(Q745=0,"TERCEIRO","MRS")</f>
        <v>MRS</v>
      </c>
      <c r="Q745" s="8" t="str">
        <f>IFERROR(VLOOKUP(L745,#REF!,4,0),"0,00")</f>
        <v>0,00</v>
      </c>
      <c r="R745" s="9" t="s">
        <v>30</v>
      </c>
      <c r="S745" s="9">
        <f>COUNTIF(D745,"*_SEG_*")</f>
        <v>1</v>
      </c>
      <c r="T745" s="9">
        <f>COUNTIF(D745,"*_MAN_*")</f>
        <v>0</v>
      </c>
      <c r="U745" s="9">
        <f>(RIGHT(D745,4))*1</f>
        <v>30</v>
      </c>
      <c r="V745" s="9" t="str">
        <f>IFERROR(VLOOKUP(I745,#REF!,2,0),"Sinalização")</f>
        <v>Sinalização</v>
      </c>
    </row>
    <row r="746" spans="1:22" x14ac:dyDescent="0.25">
      <c r="A746" s="3" t="s">
        <v>22</v>
      </c>
      <c r="B746" s="4">
        <v>23510054</v>
      </c>
      <c r="C746" s="5" t="s">
        <v>23</v>
      </c>
      <c r="D746" s="6" t="s">
        <v>814</v>
      </c>
      <c r="E746" s="6" t="s">
        <v>25</v>
      </c>
      <c r="F746" s="11">
        <v>46165</v>
      </c>
      <c r="G746" s="6" t="s">
        <v>1079</v>
      </c>
      <c r="H746" s="7" t="s">
        <v>32</v>
      </c>
      <c r="I746" s="7" t="s">
        <v>499</v>
      </c>
      <c r="J746" s="7" t="s">
        <v>816</v>
      </c>
      <c r="K746" s="7" t="s">
        <v>29</v>
      </c>
      <c r="L746" s="3" t="str">
        <f>E746&amp;D746</f>
        <v>E.SP.IPAEE_INS_SEG_C_I_CIRCUITO VIA CA_0030</v>
      </c>
      <c r="M746" s="3" t="str">
        <f>IFERROR(MID(D746,SEARCH("S_I_",D746,1),3),"")</f>
        <v/>
      </c>
      <c r="N746" s="3" t="str">
        <f>IFERROR(MID(D746,SEARCH("C_I_",D746,1),3),"")</f>
        <v>C_I</v>
      </c>
      <c r="O746" s="3" t="str">
        <f>IF(AND(M746="",N746=""),"Extra","")</f>
        <v/>
      </c>
      <c r="P746" s="3" t="str">
        <f>IF(Q746=0,"TERCEIRO","MRS")</f>
        <v>MRS</v>
      </c>
      <c r="Q746" s="8" t="str">
        <f>IFERROR(VLOOKUP(L746,#REF!,4,0),"0,00")</f>
        <v>0,00</v>
      </c>
      <c r="R746" s="9" t="s">
        <v>30</v>
      </c>
      <c r="S746" s="9">
        <f>COUNTIF(D746,"*_SEG_*")</f>
        <v>1</v>
      </c>
      <c r="T746" s="9">
        <f>COUNTIF(D746,"*_MAN_*")</f>
        <v>0</v>
      </c>
      <c r="U746" s="9">
        <f>(RIGHT(D746,4))*1</f>
        <v>30</v>
      </c>
      <c r="V746" s="9" t="str">
        <f>IFERROR(VLOOKUP(I746,#REF!,2,0),"Sinalização")</f>
        <v>Sinalização</v>
      </c>
    </row>
    <row r="747" spans="1:22" x14ac:dyDescent="0.25">
      <c r="A747" s="3" t="s">
        <v>22</v>
      </c>
      <c r="B747" s="4">
        <v>23510055</v>
      </c>
      <c r="C747" s="5" t="s">
        <v>23</v>
      </c>
      <c r="D747" s="6" t="s">
        <v>814</v>
      </c>
      <c r="E747" s="6" t="s">
        <v>25</v>
      </c>
      <c r="F747" s="11">
        <v>46165</v>
      </c>
      <c r="G747" s="6" t="s">
        <v>1079</v>
      </c>
      <c r="H747" s="7" t="s">
        <v>26</v>
      </c>
      <c r="I747" s="7" t="s">
        <v>235</v>
      </c>
      <c r="J747" s="7" t="s">
        <v>816</v>
      </c>
      <c r="K747" s="7" t="s">
        <v>29</v>
      </c>
      <c r="L747" s="3" t="str">
        <f>E747&amp;D747</f>
        <v>E.SP.IPAEE_INS_SEG_C_I_CIRCUITO VIA CA_0030</v>
      </c>
      <c r="M747" s="3" t="str">
        <f>IFERROR(MID(D747,SEARCH("S_I_",D747,1),3),"")</f>
        <v/>
      </c>
      <c r="N747" s="3" t="str">
        <f>IFERROR(MID(D747,SEARCH("C_I_",D747,1),3),"")</f>
        <v>C_I</v>
      </c>
      <c r="O747" s="3" t="str">
        <f>IF(AND(M747="",N747=""),"Extra","")</f>
        <v/>
      </c>
      <c r="P747" s="3" t="str">
        <f>IF(Q747=0,"TERCEIRO","MRS")</f>
        <v>MRS</v>
      </c>
      <c r="Q747" s="8" t="str">
        <f>IFERROR(VLOOKUP(L747,#REF!,4,0),"0,00")</f>
        <v>0,00</v>
      </c>
      <c r="R747" s="9" t="s">
        <v>30</v>
      </c>
      <c r="S747" s="9">
        <f>COUNTIF(D747,"*_SEG_*")</f>
        <v>1</v>
      </c>
      <c r="T747" s="9">
        <f>COUNTIF(D747,"*_MAN_*")</f>
        <v>0</v>
      </c>
      <c r="U747" s="9">
        <f>(RIGHT(D747,4))*1</f>
        <v>30</v>
      </c>
      <c r="V747" s="9" t="str">
        <f>IFERROR(VLOOKUP(I747,#REF!,2,0),"Sinalização")</f>
        <v>Sinalização</v>
      </c>
    </row>
    <row r="748" spans="1:22" x14ac:dyDescent="0.25">
      <c r="A748" s="3" t="s">
        <v>22</v>
      </c>
      <c r="B748" s="4">
        <v>23510056</v>
      </c>
      <c r="C748" s="5" t="s">
        <v>23</v>
      </c>
      <c r="D748" s="6" t="s">
        <v>814</v>
      </c>
      <c r="E748" s="6" t="s">
        <v>25</v>
      </c>
      <c r="F748" s="11">
        <v>46165</v>
      </c>
      <c r="G748" s="6" t="s">
        <v>1079</v>
      </c>
      <c r="H748" s="7" t="s">
        <v>26</v>
      </c>
      <c r="I748" s="7" t="s">
        <v>214</v>
      </c>
      <c r="J748" s="7" t="s">
        <v>816</v>
      </c>
      <c r="K748" s="7" t="s">
        <v>29</v>
      </c>
      <c r="L748" s="3" t="str">
        <f>E748&amp;D748</f>
        <v>E.SP.IPAEE_INS_SEG_C_I_CIRCUITO VIA CA_0030</v>
      </c>
      <c r="M748" s="3" t="str">
        <f>IFERROR(MID(D748,SEARCH("S_I_",D748,1),3),"")</f>
        <v/>
      </c>
      <c r="N748" s="3" t="str">
        <f>IFERROR(MID(D748,SEARCH("C_I_",D748,1),3),"")</f>
        <v>C_I</v>
      </c>
      <c r="O748" s="3" t="str">
        <f>IF(AND(M748="",N748=""),"Extra","")</f>
        <v/>
      </c>
      <c r="P748" s="3" t="str">
        <f>IF(Q748=0,"TERCEIRO","MRS")</f>
        <v>MRS</v>
      </c>
      <c r="Q748" s="8" t="str">
        <f>IFERROR(VLOOKUP(L748,#REF!,4,0),"0,00")</f>
        <v>0,00</v>
      </c>
      <c r="R748" s="9" t="s">
        <v>30</v>
      </c>
      <c r="S748" s="9">
        <f>COUNTIF(D748,"*_SEG_*")</f>
        <v>1</v>
      </c>
      <c r="T748" s="9">
        <f>COUNTIF(D748,"*_MAN_*")</f>
        <v>0</v>
      </c>
      <c r="U748" s="9">
        <f>(RIGHT(D748,4))*1</f>
        <v>30</v>
      </c>
      <c r="V748" s="9" t="str">
        <f>IFERROR(VLOOKUP(I748,#REF!,2,0),"Sinalização")</f>
        <v>Sinalização</v>
      </c>
    </row>
    <row r="749" spans="1:22" x14ac:dyDescent="0.25">
      <c r="A749" s="3" t="s">
        <v>22</v>
      </c>
      <c r="B749" s="4">
        <v>23510057</v>
      </c>
      <c r="C749" s="5" t="s">
        <v>23</v>
      </c>
      <c r="D749" s="6" t="s">
        <v>814</v>
      </c>
      <c r="E749" s="6" t="s">
        <v>25</v>
      </c>
      <c r="F749" s="11">
        <v>46165</v>
      </c>
      <c r="G749" s="6" t="s">
        <v>1079</v>
      </c>
      <c r="H749" s="7" t="s">
        <v>32</v>
      </c>
      <c r="I749" s="7" t="s">
        <v>961</v>
      </c>
      <c r="J749" s="7" t="s">
        <v>816</v>
      </c>
      <c r="K749" s="7" t="s">
        <v>29</v>
      </c>
      <c r="L749" s="3" t="str">
        <f>E749&amp;D749</f>
        <v>E.SP.IPAEE_INS_SEG_C_I_CIRCUITO VIA CA_0030</v>
      </c>
      <c r="M749" s="3" t="str">
        <f>IFERROR(MID(D749,SEARCH("S_I_",D749,1),3),"")</f>
        <v/>
      </c>
      <c r="N749" s="3" t="str">
        <f>IFERROR(MID(D749,SEARCH("C_I_",D749,1),3),"")</f>
        <v>C_I</v>
      </c>
      <c r="O749" s="3" t="str">
        <f>IF(AND(M749="",N749=""),"Extra","")</f>
        <v/>
      </c>
      <c r="P749" s="3" t="str">
        <f>IF(Q749=0,"TERCEIRO","MRS")</f>
        <v>MRS</v>
      </c>
      <c r="Q749" s="8" t="str">
        <f>IFERROR(VLOOKUP(L749,#REF!,4,0),"0,00")</f>
        <v>0,00</v>
      </c>
      <c r="R749" s="9" t="s">
        <v>30</v>
      </c>
      <c r="S749" s="9">
        <f>COUNTIF(D749,"*_SEG_*")</f>
        <v>1</v>
      </c>
      <c r="T749" s="9">
        <f>COUNTIF(D749,"*_MAN_*")</f>
        <v>0</v>
      </c>
      <c r="U749" s="9">
        <f>(RIGHT(D749,4))*1</f>
        <v>30</v>
      </c>
      <c r="V749" s="9" t="str">
        <f>IFERROR(VLOOKUP(I749,#REF!,2,0),"Sinalização")</f>
        <v>Sinalização</v>
      </c>
    </row>
    <row r="750" spans="1:22" x14ac:dyDescent="0.25">
      <c r="A750" s="3" t="s">
        <v>22</v>
      </c>
      <c r="B750" s="4">
        <v>23510058</v>
      </c>
      <c r="C750" s="5" t="s">
        <v>23</v>
      </c>
      <c r="D750" s="6" t="s">
        <v>814</v>
      </c>
      <c r="E750" s="6" t="s">
        <v>25</v>
      </c>
      <c r="F750" s="11">
        <v>46165</v>
      </c>
      <c r="G750" s="6" t="s">
        <v>1079</v>
      </c>
      <c r="H750" s="7" t="s">
        <v>32</v>
      </c>
      <c r="I750" s="7" t="s">
        <v>962</v>
      </c>
      <c r="J750" s="7" t="s">
        <v>816</v>
      </c>
      <c r="K750" s="7" t="s">
        <v>29</v>
      </c>
      <c r="L750" s="3" t="str">
        <f>E750&amp;D750</f>
        <v>E.SP.IPAEE_INS_SEG_C_I_CIRCUITO VIA CA_0030</v>
      </c>
      <c r="M750" s="3" t="str">
        <f>IFERROR(MID(D750,SEARCH("S_I_",D750,1),3),"")</f>
        <v/>
      </c>
      <c r="N750" s="3" t="str">
        <f>IFERROR(MID(D750,SEARCH("C_I_",D750,1),3),"")</f>
        <v>C_I</v>
      </c>
      <c r="O750" s="3" t="str">
        <f>IF(AND(M750="",N750=""),"Extra","")</f>
        <v/>
      </c>
      <c r="P750" s="3" t="str">
        <f>IF(Q750=0,"TERCEIRO","MRS")</f>
        <v>MRS</v>
      </c>
      <c r="Q750" s="8" t="str">
        <f>IFERROR(VLOOKUP(L750,#REF!,4,0),"0,00")</f>
        <v>0,00</v>
      </c>
      <c r="R750" s="9" t="s">
        <v>30</v>
      </c>
      <c r="S750" s="9">
        <f>COUNTIF(D750,"*_SEG_*")</f>
        <v>1</v>
      </c>
      <c r="T750" s="9">
        <f>COUNTIF(D750,"*_MAN_*")</f>
        <v>0</v>
      </c>
      <c r="U750" s="9">
        <f>(RIGHT(D750,4))*1</f>
        <v>30</v>
      </c>
      <c r="V750" s="9" t="str">
        <f>IFERROR(VLOOKUP(I750,#REF!,2,0),"Sinalização")</f>
        <v>Sinalização</v>
      </c>
    </row>
    <row r="751" spans="1:22" x14ac:dyDescent="0.25">
      <c r="A751" s="3" t="s">
        <v>22</v>
      </c>
      <c r="B751" s="4">
        <v>23510059</v>
      </c>
      <c r="C751" s="5" t="s">
        <v>23</v>
      </c>
      <c r="D751" s="6" t="s">
        <v>814</v>
      </c>
      <c r="E751" s="6" t="s">
        <v>25</v>
      </c>
      <c r="F751" s="11">
        <v>46165</v>
      </c>
      <c r="G751" s="6" t="s">
        <v>1079</v>
      </c>
      <c r="H751" s="7" t="s">
        <v>26</v>
      </c>
      <c r="I751" s="7" t="s">
        <v>963</v>
      </c>
      <c r="J751" s="7" t="s">
        <v>816</v>
      </c>
      <c r="K751" s="7" t="s">
        <v>29</v>
      </c>
      <c r="L751" s="3" t="str">
        <f>E751&amp;D751</f>
        <v>E.SP.IPAEE_INS_SEG_C_I_CIRCUITO VIA CA_0030</v>
      </c>
      <c r="M751" s="3" t="str">
        <f>IFERROR(MID(D751,SEARCH("S_I_",D751,1),3),"")</f>
        <v/>
      </c>
      <c r="N751" s="3" t="str">
        <f>IFERROR(MID(D751,SEARCH("C_I_",D751,1),3),"")</f>
        <v>C_I</v>
      </c>
      <c r="O751" s="3" t="str">
        <f>IF(AND(M751="",N751=""),"Extra","")</f>
        <v/>
      </c>
      <c r="P751" s="3" t="str">
        <f>IF(Q751=0,"TERCEIRO","MRS")</f>
        <v>MRS</v>
      </c>
      <c r="Q751" s="8" t="str">
        <f>IFERROR(VLOOKUP(L751,#REF!,4,0),"0,00")</f>
        <v>0,00</v>
      </c>
      <c r="R751" s="9" t="s">
        <v>30</v>
      </c>
      <c r="S751" s="9">
        <f>COUNTIF(D751,"*_SEG_*")</f>
        <v>1</v>
      </c>
      <c r="T751" s="9">
        <f>COUNTIF(D751,"*_MAN_*")</f>
        <v>0</v>
      </c>
      <c r="U751" s="9">
        <f>(RIGHT(D751,4))*1</f>
        <v>30</v>
      </c>
      <c r="V751" s="9" t="str">
        <f>IFERROR(VLOOKUP(I751,#REF!,2,0),"Sinalização")</f>
        <v>Sinalização</v>
      </c>
    </row>
    <row r="752" spans="1:22" x14ac:dyDescent="0.25">
      <c r="A752" s="3" t="s">
        <v>22</v>
      </c>
      <c r="B752" s="4">
        <v>23510080</v>
      </c>
      <c r="C752" s="5" t="s">
        <v>23</v>
      </c>
      <c r="D752" s="6" t="s">
        <v>814</v>
      </c>
      <c r="E752" s="6" t="s">
        <v>25</v>
      </c>
      <c r="F752" s="11">
        <v>46165</v>
      </c>
      <c r="G752" s="6" t="s">
        <v>1079</v>
      </c>
      <c r="H752" s="7" t="s">
        <v>26</v>
      </c>
      <c r="I752" s="7" t="s">
        <v>964</v>
      </c>
      <c r="J752" s="7" t="s">
        <v>816</v>
      </c>
      <c r="K752" s="7" t="s">
        <v>29</v>
      </c>
      <c r="L752" s="3" t="str">
        <f>E752&amp;D752</f>
        <v>E.SP.IPAEE_INS_SEG_C_I_CIRCUITO VIA CA_0030</v>
      </c>
      <c r="M752" s="3" t="str">
        <f>IFERROR(MID(D752,SEARCH("S_I_",D752,1),3),"")</f>
        <v/>
      </c>
      <c r="N752" s="3" t="str">
        <f>IFERROR(MID(D752,SEARCH("C_I_",D752,1),3),"")</f>
        <v>C_I</v>
      </c>
      <c r="O752" s="3" t="str">
        <f>IF(AND(M752="",N752=""),"Extra","")</f>
        <v/>
      </c>
      <c r="P752" s="3" t="str">
        <f>IF(Q752=0,"TERCEIRO","MRS")</f>
        <v>MRS</v>
      </c>
      <c r="Q752" s="8" t="str">
        <f>IFERROR(VLOOKUP(L752,#REF!,4,0),"0,00")</f>
        <v>0,00</v>
      </c>
      <c r="R752" s="9" t="s">
        <v>30</v>
      </c>
      <c r="S752" s="9">
        <f>COUNTIF(D752,"*_SEG_*")</f>
        <v>1</v>
      </c>
      <c r="T752" s="9">
        <f>COUNTIF(D752,"*_MAN_*")</f>
        <v>0</v>
      </c>
      <c r="U752" s="9">
        <f>(RIGHT(D752,4))*1</f>
        <v>30</v>
      </c>
      <c r="V752" s="9" t="str">
        <f>IFERROR(VLOOKUP(I752,#REF!,2,0),"Sinalização")</f>
        <v>Sinalização</v>
      </c>
    </row>
    <row r="753" spans="1:22" x14ac:dyDescent="0.25">
      <c r="A753" s="3" t="s">
        <v>22</v>
      </c>
      <c r="B753" s="4">
        <v>23510081</v>
      </c>
      <c r="C753" s="5" t="s">
        <v>23</v>
      </c>
      <c r="D753" s="6" t="s">
        <v>814</v>
      </c>
      <c r="E753" s="6" t="s">
        <v>25</v>
      </c>
      <c r="F753" s="11">
        <v>46165</v>
      </c>
      <c r="G753" s="6" t="s">
        <v>1079</v>
      </c>
      <c r="H753" s="7" t="s">
        <v>32</v>
      </c>
      <c r="I753" s="7" t="s">
        <v>768</v>
      </c>
      <c r="J753" s="7" t="s">
        <v>816</v>
      </c>
      <c r="K753" s="7" t="s">
        <v>29</v>
      </c>
      <c r="L753" s="3" t="str">
        <f>E753&amp;D753</f>
        <v>E.SP.IPAEE_INS_SEG_C_I_CIRCUITO VIA CA_0030</v>
      </c>
      <c r="M753" s="3" t="str">
        <f>IFERROR(MID(D753,SEARCH("S_I_",D753,1),3),"")</f>
        <v/>
      </c>
      <c r="N753" s="3" t="str">
        <f>IFERROR(MID(D753,SEARCH("C_I_",D753,1),3),"")</f>
        <v>C_I</v>
      </c>
      <c r="O753" s="3" t="str">
        <f>IF(AND(M753="",N753=""),"Extra","")</f>
        <v/>
      </c>
      <c r="P753" s="3" t="str">
        <f>IF(Q753=0,"TERCEIRO","MRS")</f>
        <v>MRS</v>
      </c>
      <c r="Q753" s="8" t="str">
        <f>IFERROR(VLOOKUP(L753,#REF!,4,0),"0,00")</f>
        <v>0,00</v>
      </c>
      <c r="R753" s="9" t="s">
        <v>30</v>
      </c>
      <c r="S753" s="9">
        <f>COUNTIF(D753,"*_SEG_*")</f>
        <v>1</v>
      </c>
      <c r="T753" s="9">
        <f>COUNTIF(D753,"*_MAN_*")</f>
        <v>0</v>
      </c>
      <c r="U753" s="9">
        <f>(RIGHT(D753,4))*1</f>
        <v>30</v>
      </c>
      <c r="V753" s="9" t="str">
        <f>IFERROR(VLOOKUP(I753,#REF!,2,0),"Sinalização")</f>
        <v>Sinalização</v>
      </c>
    </row>
    <row r="754" spans="1:22" x14ac:dyDescent="0.25">
      <c r="A754" s="3" t="s">
        <v>22</v>
      </c>
      <c r="B754" s="4">
        <v>23510082</v>
      </c>
      <c r="C754" s="5" t="s">
        <v>23</v>
      </c>
      <c r="D754" s="6" t="s">
        <v>814</v>
      </c>
      <c r="E754" s="6" t="s">
        <v>25</v>
      </c>
      <c r="F754" s="11">
        <v>46165</v>
      </c>
      <c r="G754" s="6" t="s">
        <v>1079</v>
      </c>
      <c r="H754" s="7" t="s">
        <v>32</v>
      </c>
      <c r="I754" s="7" t="s">
        <v>756</v>
      </c>
      <c r="J754" s="7" t="s">
        <v>816</v>
      </c>
      <c r="K754" s="7" t="s">
        <v>29</v>
      </c>
      <c r="L754" s="3" t="str">
        <f>E754&amp;D754</f>
        <v>E.SP.IPAEE_INS_SEG_C_I_CIRCUITO VIA CA_0030</v>
      </c>
      <c r="M754" s="3" t="str">
        <f>IFERROR(MID(D754,SEARCH("S_I_",D754,1),3),"")</f>
        <v/>
      </c>
      <c r="N754" s="3" t="str">
        <f>IFERROR(MID(D754,SEARCH("C_I_",D754,1),3),"")</f>
        <v>C_I</v>
      </c>
      <c r="O754" s="3" t="str">
        <f>IF(AND(M754="",N754=""),"Extra","")</f>
        <v/>
      </c>
      <c r="P754" s="3" t="str">
        <f>IF(Q754=0,"TERCEIRO","MRS")</f>
        <v>MRS</v>
      </c>
      <c r="Q754" s="8" t="str">
        <f>IFERROR(VLOOKUP(L754,#REF!,4,0),"0,00")</f>
        <v>0,00</v>
      </c>
      <c r="R754" s="9" t="s">
        <v>30</v>
      </c>
      <c r="S754" s="9">
        <f>COUNTIF(D754,"*_SEG_*")</f>
        <v>1</v>
      </c>
      <c r="T754" s="9">
        <f>COUNTIF(D754,"*_MAN_*")</f>
        <v>0</v>
      </c>
      <c r="U754" s="9">
        <f>(RIGHT(D754,4))*1</f>
        <v>30</v>
      </c>
      <c r="V754" s="9" t="str">
        <f>IFERROR(VLOOKUP(I754,#REF!,2,0),"Sinalização")</f>
        <v>Sinalização</v>
      </c>
    </row>
    <row r="755" spans="1:22" x14ac:dyDescent="0.25">
      <c r="A755" s="3" t="s">
        <v>22</v>
      </c>
      <c r="B755" s="4">
        <v>23510083</v>
      </c>
      <c r="C755" s="5" t="s">
        <v>23</v>
      </c>
      <c r="D755" s="6" t="s">
        <v>814</v>
      </c>
      <c r="E755" s="6" t="s">
        <v>25</v>
      </c>
      <c r="F755" s="11">
        <v>46165</v>
      </c>
      <c r="G755" s="6" t="s">
        <v>1079</v>
      </c>
      <c r="H755" s="7" t="s">
        <v>26</v>
      </c>
      <c r="I755" s="7" t="s">
        <v>757</v>
      </c>
      <c r="J755" s="7" t="s">
        <v>816</v>
      </c>
      <c r="K755" s="7" t="s">
        <v>29</v>
      </c>
      <c r="L755" s="3" t="str">
        <f>E755&amp;D755</f>
        <v>E.SP.IPAEE_INS_SEG_C_I_CIRCUITO VIA CA_0030</v>
      </c>
      <c r="M755" s="3" t="str">
        <f>IFERROR(MID(D755,SEARCH("S_I_",D755,1),3),"")</f>
        <v/>
      </c>
      <c r="N755" s="3" t="str">
        <f>IFERROR(MID(D755,SEARCH("C_I_",D755,1),3),"")</f>
        <v>C_I</v>
      </c>
      <c r="O755" s="3" t="str">
        <f>IF(AND(M755="",N755=""),"Extra","")</f>
        <v/>
      </c>
      <c r="P755" s="3" t="str">
        <f>IF(Q755=0,"TERCEIRO","MRS")</f>
        <v>MRS</v>
      </c>
      <c r="Q755" s="8" t="str">
        <f>IFERROR(VLOOKUP(L755,#REF!,4,0),"0,00")</f>
        <v>0,00</v>
      </c>
      <c r="R755" s="9" t="s">
        <v>30</v>
      </c>
      <c r="S755" s="9">
        <f>COUNTIF(D755,"*_SEG_*")</f>
        <v>1</v>
      </c>
      <c r="T755" s="9">
        <f>COUNTIF(D755,"*_MAN_*")</f>
        <v>0</v>
      </c>
      <c r="U755" s="9">
        <f>(RIGHT(D755,4))*1</f>
        <v>30</v>
      </c>
      <c r="V755" s="9" t="str">
        <f>IFERROR(VLOOKUP(I755,#REF!,2,0),"Sinalização")</f>
        <v>Sinalização</v>
      </c>
    </row>
    <row r="756" spans="1:22" x14ac:dyDescent="0.25">
      <c r="A756" s="3" t="s">
        <v>22</v>
      </c>
      <c r="B756" s="4">
        <v>23510084</v>
      </c>
      <c r="C756" s="5" t="s">
        <v>23</v>
      </c>
      <c r="D756" s="6" t="s">
        <v>814</v>
      </c>
      <c r="E756" s="6" t="s">
        <v>25</v>
      </c>
      <c r="F756" s="11">
        <v>46165</v>
      </c>
      <c r="G756" s="6" t="s">
        <v>1079</v>
      </c>
      <c r="H756" s="7" t="s">
        <v>26</v>
      </c>
      <c r="I756" s="7" t="s">
        <v>758</v>
      </c>
      <c r="J756" s="7" t="s">
        <v>816</v>
      </c>
      <c r="K756" s="7" t="s">
        <v>29</v>
      </c>
      <c r="L756" s="3" t="str">
        <f>E756&amp;D756</f>
        <v>E.SP.IPAEE_INS_SEG_C_I_CIRCUITO VIA CA_0030</v>
      </c>
      <c r="M756" s="3" t="str">
        <f>IFERROR(MID(D756,SEARCH("S_I_",D756,1),3),"")</f>
        <v/>
      </c>
      <c r="N756" s="3" t="str">
        <f>IFERROR(MID(D756,SEARCH("C_I_",D756,1),3),"")</f>
        <v>C_I</v>
      </c>
      <c r="O756" s="3" t="str">
        <f>IF(AND(M756="",N756=""),"Extra","")</f>
        <v/>
      </c>
      <c r="P756" s="3" t="str">
        <f>IF(Q756=0,"TERCEIRO","MRS")</f>
        <v>MRS</v>
      </c>
      <c r="Q756" s="8" t="str">
        <f>IFERROR(VLOOKUP(L756,#REF!,4,0),"0,00")</f>
        <v>0,00</v>
      </c>
      <c r="R756" s="9" t="s">
        <v>30</v>
      </c>
      <c r="S756" s="9">
        <f>COUNTIF(D756,"*_SEG_*")</f>
        <v>1</v>
      </c>
      <c r="T756" s="9">
        <f>COUNTIF(D756,"*_MAN_*")</f>
        <v>0</v>
      </c>
      <c r="U756" s="9">
        <f>(RIGHT(D756,4))*1</f>
        <v>30</v>
      </c>
      <c r="V756" s="9" t="str">
        <f>IFERROR(VLOOKUP(I756,#REF!,2,0),"Sinalização")</f>
        <v>Sinalização</v>
      </c>
    </row>
    <row r="757" spans="1:22" x14ac:dyDescent="0.25">
      <c r="A757" s="3" t="s">
        <v>22</v>
      </c>
      <c r="B757" s="4">
        <v>23510085</v>
      </c>
      <c r="C757" s="5" t="s">
        <v>23</v>
      </c>
      <c r="D757" s="6" t="s">
        <v>814</v>
      </c>
      <c r="E757" s="6" t="s">
        <v>25</v>
      </c>
      <c r="F757" s="11">
        <v>46165</v>
      </c>
      <c r="G757" s="6" t="s">
        <v>1079</v>
      </c>
      <c r="H757" s="7" t="s">
        <v>32</v>
      </c>
      <c r="I757" s="7" t="s">
        <v>759</v>
      </c>
      <c r="J757" s="7" t="s">
        <v>816</v>
      </c>
      <c r="K757" s="7" t="s">
        <v>29</v>
      </c>
      <c r="L757" s="3" t="str">
        <f>E757&amp;D757</f>
        <v>E.SP.IPAEE_INS_SEG_C_I_CIRCUITO VIA CA_0030</v>
      </c>
      <c r="M757" s="3" t="str">
        <f>IFERROR(MID(D757,SEARCH("S_I_",D757,1),3),"")</f>
        <v/>
      </c>
      <c r="N757" s="3" t="str">
        <f>IFERROR(MID(D757,SEARCH("C_I_",D757,1),3),"")</f>
        <v>C_I</v>
      </c>
      <c r="O757" s="3" t="str">
        <f>IF(AND(M757="",N757=""),"Extra","")</f>
        <v/>
      </c>
      <c r="P757" s="3" t="str">
        <f>IF(Q757=0,"TERCEIRO","MRS")</f>
        <v>MRS</v>
      </c>
      <c r="Q757" s="8" t="str">
        <f>IFERROR(VLOOKUP(L757,#REF!,4,0),"0,00")</f>
        <v>0,00</v>
      </c>
      <c r="R757" s="9" t="s">
        <v>30</v>
      </c>
      <c r="S757" s="9">
        <f>COUNTIF(D757,"*_SEG_*")</f>
        <v>1</v>
      </c>
      <c r="T757" s="9">
        <f>COUNTIF(D757,"*_MAN_*")</f>
        <v>0</v>
      </c>
      <c r="U757" s="9">
        <f>(RIGHT(D757,4))*1</f>
        <v>30</v>
      </c>
      <c r="V757" s="9" t="str">
        <f>IFERROR(VLOOKUP(I757,#REF!,2,0),"Sinalização")</f>
        <v>Sinalização</v>
      </c>
    </row>
    <row r="758" spans="1:22" x14ac:dyDescent="0.25">
      <c r="A758" s="3" t="s">
        <v>22</v>
      </c>
      <c r="B758" s="4">
        <v>23510086</v>
      </c>
      <c r="C758" s="5" t="s">
        <v>23</v>
      </c>
      <c r="D758" s="6" t="s">
        <v>814</v>
      </c>
      <c r="E758" s="6" t="s">
        <v>25</v>
      </c>
      <c r="F758" s="11">
        <v>46165</v>
      </c>
      <c r="G758" s="6" t="s">
        <v>1079</v>
      </c>
      <c r="H758" s="7" t="s">
        <v>32</v>
      </c>
      <c r="I758" s="7" t="s">
        <v>761</v>
      </c>
      <c r="J758" s="7" t="s">
        <v>816</v>
      </c>
      <c r="K758" s="7" t="s">
        <v>29</v>
      </c>
      <c r="L758" s="3" t="str">
        <f>E758&amp;D758</f>
        <v>E.SP.IPAEE_INS_SEG_C_I_CIRCUITO VIA CA_0030</v>
      </c>
      <c r="M758" s="3" t="str">
        <f>IFERROR(MID(D758,SEARCH("S_I_",D758,1),3),"")</f>
        <v/>
      </c>
      <c r="N758" s="3" t="str">
        <f>IFERROR(MID(D758,SEARCH("C_I_",D758,1),3),"")</f>
        <v>C_I</v>
      </c>
      <c r="O758" s="3" t="str">
        <f>IF(AND(M758="",N758=""),"Extra","")</f>
        <v/>
      </c>
      <c r="P758" s="3" t="str">
        <f>IF(Q758=0,"TERCEIRO","MRS")</f>
        <v>MRS</v>
      </c>
      <c r="Q758" s="8" t="str">
        <f>IFERROR(VLOOKUP(L758,#REF!,4,0),"0,00")</f>
        <v>0,00</v>
      </c>
      <c r="R758" s="9" t="s">
        <v>30</v>
      </c>
      <c r="S758" s="9">
        <f>COUNTIF(D758,"*_SEG_*")</f>
        <v>1</v>
      </c>
      <c r="T758" s="9">
        <f>COUNTIF(D758,"*_MAN_*")</f>
        <v>0</v>
      </c>
      <c r="U758" s="9">
        <f>(RIGHT(D758,4))*1</f>
        <v>30</v>
      </c>
      <c r="V758" s="9" t="str">
        <f>IFERROR(VLOOKUP(I758,#REF!,2,0),"Sinalização")</f>
        <v>Sinalização</v>
      </c>
    </row>
    <row r="759" spans="1:22" x14ac:dyDescent="0.25">
      <c r="A759" s="3" t="s">
        <v>22</v>
      </c>
      <c r="B759" s="4">
        <v>23510087</v>
      </c>
      <c r="C759" s="5" t="s">
        <v>23</v>
      </c>
      <c r="D759" s="6" t="s">
        <v>814</v>
      </c>
      <c r="E759" s="6" t="s">
        <v>25</v>
      </c>
      <c r="F759" s="11">
        <v>46165</v>
      </c>
      <c r="G759" s="6" t="s">
        <v>1079</v>
      </c>
      <c r="H759" s="7" t="s">
        <v>26</v>
      </c>
      <c r="I759" s="7" t="s">
        <v>406</v>
      </c>
      <c r="J759" s="7" t="s">
        <v>816</v>
      </c>
      <c r="K759" s="7" t="s">
        <v>29</v>
      </c>
      <c r="L759" s="3" t="str">
        <f>E759&amp;D759</f>
        <v>E.SP.IPAEE_INS_SEG_C_I_CIRCUITO VIA CA_0030</v>
      </c>
      <c r="M759" s="3" t="str">
        <f>IFERROR(MID(D759,SEARCH("S_I_",D759,1),3),"")</f>
        <v/>
      </c>
      <c r="N759" s="3" t="str">
        <f>IFERROR(MID(D759,SEARCH("C_I_",D759,1),3),"")</f>
        <v>C_I</v>
      </c>
      <c r="O759" s="3" t="str">
        <f>IF(AND(M759="",N759=""),"Extra","")</f>
        <v/>
      </c>
      <c r="P759" s="3" t="str">
        <f>IF(Q759=0,"TERCEIRO","MRS")</f>
        <v>MRS</v>
      </c>
      <c r="Q759" s="8" t="str">
        <f>IFERROR(VLOOKUP(L759,#REF!,4,0),"0,00")</f>
        <v>0,00</v>
      </c>
      <c r="R759" s="9" t="s">
        <v>30</v>
      </c>
      <c r="S759" s="9">
        <f>COUNTIF(D759,"*_SEG_*")</f>
        <v>1</v>
      </c>
      <c r="T759" s="9">
        <f>COUNTIF(D759,"*_MAN_*")</f>
        <v>0</v>
      </c>
      <c r="U759" s="9">
        <f>(RIGHT(D759,4))*1</f>
        <v>30</v>
      </c>
      <c r="V759" s="9" t="str">
        <f>IFERROR(VLOOKUP(I759,#REF!,2,0),"Sinalização")</f>
        <v>Sinalização</v>
      </c>
    </row>
    <row r="760" spans="1:22" x14ac:dyDescent="0.25">
      <c r="A760" s="3" t="s">
        <v>22</v>
      </c>
      <c r="B760" s="4">
        <v>23510088</v>
      </c>
      <c r="C760" s="5" t="s">
        <v>23</v>
      </c>
      <c r="D760" s="6" t="s">
        <v>814</v>
      </c>
      <c r="E760" s="6" t="s">
        <v>25</v>
      </c>
      <c r="F760" s="11">
        <v>46165</v>
      </c>
      <c r="G760" s="6" t="s">
        <v>1079</v>
      </c>
      <c r="H760" s="7" t="s">
        <v>26</v>
      </c>
      <c r="I760" s="7" t="s">
        <v>733</v>
      </c>
      <c r="J760" s="7" t="s">
        <v>816</v>
      </c>
      <c r="K760" s="7" t="s">
        <v>29</v>
      </c>
      <c r="L760" s="3" t="str">
        <f>E760&amp;D760</f>
        <v>E.SP.IPAEE_INS_SEG_C_I_CIRCUITO VIA CA_0030</v>
      </c>
      <c r="M760" s="3" t="str">
        <f>IFERROR(MID(D760,SEARCH("S_I_",D760,1),3),"")</f>
        <v/>
      </c>
      <c r="N760" s="3" t="str">
        <f>IFERROR(MID(D760,SEARCH("C_I_",D760,1),3),"")</f>
        <v>C_I</v>
      </c>
      <c r="O760" s="3" t="str">
        <f>IF(AND(M760="",N760=""),"Extra","")</f>
        <v/>
      </c>
      <c r="P760" s="3" t="str">
        <f>IF(Q760=0,"TERCEIRO","MRS")</f>
        <v>MRS</v>
      </c>
      <c r="Q760" s="8" t="str">
        <f>IFERROR(VLOOKUP(L760,#REF!,4,0),"0,00")</f>
        <v>0,00</v>
      </c>
      <c r="R760" s="9" t="s">
        <v>30</v>
      </c>
      <c r="S760" s="9">
        <f>COUNTIF(D760,"*_SEG_*")</f>
        <v>1</v>
      </c>
      <c r="T760" s="9">
        <f>COUNTIF(D760,"*_MAN_*")</f>
        <v>0</v>
      </c>
      <c r="U760" s="9">
        <f>(RIGHT(D760,4))*1</f>
        <v>30</v>
      </c>
      <c r="V760" s="9" t="str">
        <f>IFERROR(VLOOKUP(I760,#REF!,2,0),"Sinalização")</f>
        <v>Sinalização</v>
      </c>
    </row>
    <row r="761" spans="1:22" x14ac:dyDescent="0.25">
      <c r="A761" s="3" t="s">
        <v>22</v>
      </c>
      <c r="B761" s="4">
        <v>23510089</v>
      </c>
      <c r="C761" s="5" t="s">
        <v>23</v>
      </c>
      <c r="D761" s="6" t="s">
        <v>814</v>
      </c>
      <c r="E761" s="6" t="s">
        <v>25</v>
      </c>
      <c r="F761" s="11">
        <v>46165</v>
      </c>
      <c r="G761" s="6" t="s">
        <v>1079</v>
      </c>
      <c r="H761" s="7" t="s">
        <v>32</v>
      </c>
      <c r="I761" s="7" t="s">
        <v>740</v>
      </c>
      <c r="J761" s="7" t="s">
        <v>816</v>
      </c>
      <c r="K761" s="7" t="s">
        <v>29</v>
      </c>
      <c r="L761" s="3" t="str">
        <f>E761&amp;D761</f>
        <v>E.SP.IPAEE_INS_SEG_C_I_CIRCUITO VIA CA_0030</v>
      </c>
      <c r="M761" s="3" t="str">
        <f>IFERROR(MID(D761,SEARCH("S_I_",D761,1),3),"")</f>
        <v/>
      </c>
      <c r="N761" s="3" t="str">
        <f>IFERROR(MID(D761,SEARCH("C_I_",D761,1),3),"")</f>
        <v>C_I</v>
      </c>
      <c r="O761" s="3" t="str">
        <f>IF(AND(M761="",N761=""),"Extra","")</f>
        <v/>
      </c>
      <c r="P761" s="3" t="str">
        <f>IF(Q761=0,"TERCEIRO","MRS")</f>
        <v>MRS</v>
      </c>
      <c r="Q761" s="8" t="str">
        <f>IFERROR(VLOOKUP(L761,#REF!,4,0),"0,00")</f>
        <v>0,00</v>
      </c>
      <c r="R761" s="9" t="s">
        <v>30</v>
      </c>
      <c r="S761" s="9">
        <f>COUNTIF(D761,"*_SEG_*")</f>
        <v>1</v>
      </c>
      <c r="T761" s="9">
        <f>COUNTIF(D761,"*_MAN_*")</f>
        <v>0</v>
      </c>
      <c r="U761" s="9">
        <f>(RIGHT(D761,4))*1</f>
        <v>30</v>
      </c>
      <c r="V761" s="9" t="str">
        <f>IFERROR(VLOOKUP(I761,#REF!,2,0),"Sinalização")</f>
        <v>Sinalização</v>
      </c>
    </row>
    <row r="762" spans="1:22" x14ac:dyDescent="0.25">
      <c r="A762" s="3" t="s">
        <v>22</v>
      </c>
      <c r="B762" s="4">
        <v>23510090</v>
      </c>
      <c r="C762" s="5" t="s">
        <v>23</v>
      </c>
      <c r="D762" s="6" t="s">
        <v>814</v>
      </c>
      <c r="E762" s="6" t="s">
        <v>25</v>
      </c>
      <c r="F762" s="11">
        <v>46165</v>
      </c>
      <c r="G762" s="6" t="s">
        <v>1079</v>
      </c>
      <c r="H762" s="7" t="s">
        <v>32</v>
      </c>
      <c r="I762" s="7" t="s">
        <v>734</v>
      </c>
      <c r="J762" s="7" t="s">
        <v>816</v>
      </c>
      <c r="K762" s="7" t="s">
        <v>29</v>
      </c>
      <c r="L762" s="3" t="str">
        <f>E762&amp;D762</f>
        <v>E.SP.IPAEE_INS_SEG_C_I_CIRCUITO VIA CA_0030</v>
      </c>
      <c r="M762" s="3" t="str">
        <f>IFERROR(MID(D762,SEARCH("S_I_",D762,1),3),"")</f>
        <v/>
      </c>
      <c r="N762" s="3" t="str">
        <f>IFERROR(MID(D762,SEARCH("C_I_",D762,1),3),"")</f>
        <v>C_I</v>
      </c>
      <c r="O762" s="3" t="str">
        <f>IF(AND(M762="",N762=""),"Extra","")</f>
        <v/>
      </c>
      <c r="P762" s="3" t="str">
        <f>IF(Q762=0,"TERCEIRO","MRS")</f>
        <v>MRS</v>
      </c>
      <c r="Q762" s="8" t="str">
        <f>IFERROR(VLOOKUP(L762,#REF!,4,0),"0,00")</f>
        <v>0,00</v>
      </c>
      <c r="R762" s="9" t="s">
        <v>30</v>
      </c>
      <c r="S762" s="9">
        <f>COUNTIF(D762,"*_SEG_*")</f>
        <v>1</v>
      </c>
      <c r="T762" s="9">
        <f>COUNTIF(D762,"*_MAN_*")</f>
        <v>0</v>
      </c>
      <c r="U762" s="9">
        <f>(RIGHT(D762,4))*1</f>
        <v>30</v>
      </c>
      <c r="V762" s="9" t="str">
        <f>IFERROR(VLOOKUP(I762,#REF!,2,0),"Sinalização")</f>
        <v>Sinalização</v>
      </c>
    </row>
    <row r="763" spans="1:22" x14ac:dyDescent="0.25">
      <c r="A763" s="3" t="s">
        <v>22</v>
      </c>
      <c r="B763" s="4">
        <v>23510091</v>
      </c>
      <c r="C763" s="5" t="s">
        <v>23</v>
      </c>
      <c r="D763" s="6" t="s">
        <v>814</v>
      </c>
      <c r="E763" s="6" t="s">
        <v>25</v>
      </c>
      <c r="F763" s="11">
        <v>46165</v>
      </c>
      <c r="G763" s="6" t="s">
        <v>1079</v>
      </c>
      <c r="H763" s="7" t="s">
        <v>26</v>
      </c>
      <c r="I763" s="7" t="s">
        <v>571</v>
      </c>
      <c r="J763" s="7" t="s">
        <v>816</v>
      </c>
      <c r="K763" s="7" t="s">
        <v>29</v>
      </c>
      <c r="L763" s="3" t="str">
        <f>E763&amp;D763</f>
        <v>E.SP.IPAEE_INS_SEG_C_I_CIRCUITO VIA CA_0030</v>
      </c>
      <c r="M763" s="3" t="str">
        <f>IFERROR(MID(D763,SEARCH("S_I_",D763,1),3),"")</f>
        <v/>
      </c>
      <c r="N763" s="3" t="str">
        <f>IFERROR(MID(D763,SEARCH("C_I_",D763,1),3),"")</f>
        <v>C_I</v>
      </c>
      <c r="O763" s="3" t="str">
        <f>IF(AND(M763="",N763=""),"Extra","")</f>
        <v/>
      </c>
      <c r="P763" s="3" t="str">
        <f>IF(Q763=0,"TERCEIRO","MRS")</f>
        <v>MRS</v>
      </c>
      <c r="Q763" s="8" t="str">
        <f>IFERROR(VLOOKUP(L763,#REF!,4,0),"0,00")</f>
        <v>0,00</v>
      </c>
      <c r="R763" s="9" t="s">
        <v>30</v>
      </c>
      <c r="S763" s="9">
        <f>COUNTIF(D763,"*_SEG_*")</f>
        <v>1</v>
      </c>
      <c r="T763" s="9">
        <f>COUNTIF(D763,"*_MAN_*")</f>
        <v>0</v>
      </c>
      <c r="U763" s="9">
        <f>(RIGHT(D763,4))*1</f>
        <v>30</v>
      </c>
      <c r="V763" s="9" t="str">
        <f>IFERROR(VLOOKUP(I763,#REF!,2,0),"Sinalização")</f>
        <v>Sinalização</v>
      </c>
    </row>
    <row r="764" spans="1:22" x14ac:dyDescent="0.25">
      <c r="A764" s="3" t="s">
        <v>22</v>
      </c>
      <c r="B764" s="4">
        <v>23510093</v>
      </c>
      <c r="C764" s="5" t="s">
        <v>23</v>
      </c>
      <c r="D764" s="6" t="s">
        <v>814</v>
      </c>
      <c r="E764" s="6" t="s">
        <v>25</v>
      </c>
      <c r="F764" s="11">
        <v>46165</v>
      </c>
      <c r="G764" s="6" t="s">
        <v>1079</v>
      </c>
      <c r="H764" s="7" t="s">
        <v>26</v>
      </c>
      <c r="I764" s="7" t="s">
        <v>760</v>
      </c>
      <c r="J764" s="7" t="s">
        <v>816</v>
      </c>
      <c r="K764" s="7" t="s">
        <v>29</v>
      </c>
      <c r="L764" s="3" t="str">
        <f>E764&amp;D764</f>
        <v>E.SP.IPAEE_INS_SEG_C_I_CIRCUITO VIA CA_0030</v>
      </c>
      <c r="M764" s="3" t="str">
        <f>IFERROR(MID(D764,SEARCH("S_I_",D764,1),3),"")</f>
        <v/>
      </c>
      <c r="N764" s="3" t="str">
        <f>IFERROR(MID(D764,SEARCH("C_I_",D764,1),3),"")</f>
        <v>C_I</v>
      </c>
      <c r="O764" s="3" t="str">
        <f>IF(AND(M764="",N764=""),"Extra","")</f>
        <v/>
      </c>
      <c r="P764" s="3" t="str">
        <f>IF(Q764=0,"TERCEIRO","MRS")</f>
        <v>MRS</v>
      </c>
      <c r="Q764" s="8" t="str">
        <f>IFERROR(VLOOKUP(L764,#REF!,4,0),"0,00")</f>
        <v>0,00</v>
      </c>
      <c r="R764" s="9" t="s">
        <v>30</v>
      </c>
      <c r="S764" s="9">
        <f>COUNTIF(D764,"*_SEG_*")</f>
        <v>1</v>
      </c>
      <c r="T764" s="9">
        <f>COUNTIF(D764,"*_MAN_*")</f>
        <v>0</v>
      </c>
      <c r="U764" s="9">
        <f>(RIGHT(D764,4))*1</f>
        <v>30</v>
      </c>
      <c r="V764" s="9" t="str">
        <f>IFERROR(VLOOKUP(I764,#REF!,2,0),"Sinalização")</f>
        <v>Sinalização</v>
      </c>
    </row>
    <row r="765" spans="1:22" x14ac:dyDescent="0.25">
      <c r="A765" s="3" t="s">
        <v>22</v>
      </c>
      <c r="B765" s="4">
        <v>23510094</v>
      </c>
      <c r="C765" s="5" t="s">
        <v>23</v>
      </c>
      <c r="D765" s="6" t="s">
        <v>814</v>
      </c>
      <c r="E765" s="6" t="s">
        <v>25</v>
      </c>
      <c r="F765" s="11">
        <v>46165</v>
      </c>
      <c r="G765" s="6" t="s">
        <v>1079</v>
      </c>
      <c r="H765" s="7" t="s">
        <v>32</v>
      </c>
      <c r="I765" s="7" t="s">
        <v>570</v>
      </c>
      <c r="J765" s="7" t="s">
        <v>816</v>
      </c>
      <c r="K765" s="7" t="s">
        <v>29</v>
      </c>
      <c r="L765" s="3" t="str">
        <f>E765&amp;D765</f>
        <v>E.SP.IPAEE_INS_SEG_C_I_CIRCUITO VIA CA_0030</v>
      </c>
      <c r="M765" s="3" t="str">
        <f>IFERROR(MID(D765,SEARCH("S_I_",D765,1),3),"")</f>
        <v/>
      </c>
      <c r="N765" s="3" t="str">
        <f>IFERROR(MID(D765,SEARCH("C_I_",D765,1),3),"")</f>
        <v>C_I</v>
      </c>
      <c r="O765" s="3" t="str">
        <f>IF(AND(M765="",N765=""),"Extra","")</f>
        <v/>
      </c>
      <c r="P765" s="3" t="str">
        <f>IF(Q765=0,"TERCEIRO","MRS")</f>
        <v>MRS</v>
      </c>
      <c r="Q765" s="8" t="str">
        <f>IFERROR(VLOOKUP(L765,#REF!,4,0),"0,00")</f>
        <v>0,00</v>
      </c>
      <c r="R765" s="9" t="s">
        <v>30</v>
      </c>
      <c r="S765" s="9">
        <f>COUNTIF(D765,"*_SEG_*")</f>
        <v>1</v>
      </c>
      <c r="T765" s="9">
        <f>COUNTIF(D765,"*_MAN_*")</f>
        <v>0</v>
      </c>
      <c r="U765" s="9">
        <f>(RIGHT(D765,4))*1</f>
        <v>30</v>
      </c>
      <c r="V765" s="9" t="str">
        <f>IFERROR(VLOOKUP(I765,#REF!,2,0),"Sinalização")</f>
        <v>Sinalização</v>
      </c>
    </row>
    <row r="766" spans="1:22" x14ac:dyDescent="0.25">
      <c r="A766" s="3" t="s">
        <v>22</v>
      </c>
      <c r="B766" s="4">
        <v>23510095</v>
      </c>
      <c r="C766" s="5" t="s">
        <v>23</v>
      </c>
      <c r="D766" s="6" t="s">
        <v>814</v>
      </c>
      <c r="E766" s="6" t="s">
        <v>25</v>
      </c>
      <c r="F766" s="11">
        <v>46165</v>
      </c>
      <c r="G766" s="6" t="s">
        <v>1079</v>
      </c>
      <c r="H766" s="7" t="s">
        <v>32</v>
      </c>
      <c r="I766" s="7" t="s">
        <v>572</v>
      </c>
      <c r="J766" s="7" t="s">
        <v>816</v>
      </c>
      <c r="K766" s="7" t="s">
        <v>29</v>
      </c>
      <c r="L766" s="3" t="str">
        <f>E766&amp;D766</f>
        <v>E.SP.IPAEE_INS_SEG_C_I_CIRCUITO VIA CA_0030</v>
      </c>
      <c r="M766" s="3" t="str">
        <f>IFERROR(MID(D766,SEARCH("S_I_",D766,1),3),"")</f>
        <v/>
      </c>
      <c r="N766" s="3" t="str">
        <f>IFERROR(MID(D766,SEARCH("C_I_",D766,1),3),"")</f>
        <v>C_I</v>
      </c>
      <c r="O766" s="3" t="str">
        <f>IF(AND(M766="",N766=""),"Extra","")</f>
        <v/>
      </c>
      <c r="P766" s="3" t="str">
        <f>IF(Q766=0,"TERCEIRO","MRS")</f>
        <v>MRS</v>
      </c>
      <c r="Q766" s="8" t="str">
        <f>IFERROR(VLOOKUP(L766,#REF!,4,0),"0,00")</f>
        <v>0,00</v>
      </c>
      <c r="R766" s="9" t="s">
        <v>30</v>
      </c>
      <c r="S766" s="9">
        <f>COUNTIF(D766,"*_SEG_*")</f>
        <v>1</v>
      </c>
      <c r="T766" s="9">
        <f>COUNTIF(D766,"*_MAN_*")</f>
        <v>0</v>
      </c>
      <c r="U766" s="9">
        <f>(RIGHT(D766,4))*1</f>
        <v>30</v>
      </c>
      <c r="V766" s="9" t="str">
        <f>IFERROR(VLOOKUP(I766,#REF!,2,0),"Sinalização")</f>
        <v>Sinalização</v>
      </c>
    </row>
    <row r="767" spans="1:22" x14ac:dyDescent="0.25">
      <c r="A767" s="3" t="s">
        <v>22</v>
      </c>
      <c r="B767" s="4">
        <v>23510097</v>
      </c>
      <c r="C767" s="5" t="s">
        <v>23</v>
      </c>
      <c r="D767" s="6" t="s">
        <v>814</v>
      </c>
      <c r="E767" s="6" t="s">
        <v>25</v>
      </c>
      <c r="F767" s="11">
        <v>46165</v>
      </c>
      <c r="G767" s="6" t="s">
        <v>1079</v>
      </c>
      <c r="H767" s="7" t="s">
        <v>26</v>
      </c>
      <c r="I767" s="7" t="s">
        <v>341</v>
      </c>
      <c r="J767" s="7" t="s">
        <v>816</v>
      </c>
      <c r="K767" s="7" t="s">
        <v>29</v>
      </c>
      <c r="L767" s="3" t="str">
        <f>E767&amp;D767</f>
        <v>E.SP.IPAEE_INS_SEG_C_I_CIRCUITO VIA CA_0030</v>
      </c>
      <c r="M767" s="3" t="str">
        <f>IFERROR(MID(D767,SEARCH("S_I_",D767,1),3),"")</f>
        <v/>
      </c>
      <c r="N767" s="3" t="str">
        <f>IFERROR(MID(D767,SEARCH("C_I_",D767,1),3),"")</f>
        <v>C_I</v>
      </c>
      <c r="O767" s="3" t="str">
        <f>IF(AND(M767="",N767=""),"Extra","")</f>
        <v/>
      </c>
      <c r="P767" s="3" t="str">
        <f>IF(Q767=0,"TERCEIRO","MRS")</f>
        <v>MRS</v>
      </c>
      <c r="Q767" s="8" t="str">
        <f>IFERROR(VLOOKUP(L767,#REF!,4,0),"0,00")</f>
        <v>0,00</v>
      </c>
      <c r="R767" s="9" t="s">
        <v>30</v>
      </c>
      <c r="S767" s="9">
        <f>COUNTIF(D767,"*_SEG_*")</f>
        <v>1</v>
      </c>
      <c r="T767" s="9">
        <f>COUNTIF(D767,"*_MAN_*")</f>
        <v>0</v>
      </c>
      <c r="U767" s="9">
        <f>(RIGHT(D767,4))*1</f>
        <v>30</v>
      </c>
      <c r="V767" s="9" t="str">
        <f>IFERROR(VLOOKUP(I767,#REF!,2,0),"Sinalização")</f>
        <v>Sinalização</v>
      </c>
    </row>
    <row r="768" spans="1:22" x14ac:dyDescent="0.25">
      <c r="A768" s="3" t="s">
        <v>22</v>
      </c>
      <c r="B768" s="4">
        <v>23510098</v>
      </c>
      <c r="C768" s="5" t="s">
        <v>23</v>
      </c>
      <c r="D768" s="6" t="s">
        <v>814</v>
      </c>
      <c r="E768" s="6" t="s">
        <v>25</v>
      </c>
      <c r="F768" s="11">
        <v>46165</v>
      </c>
      <c r="G768" s="6" t="s">
        <v>1079</v>
      </c>
      <c r="H768" s="7" t="s">
        <v>26</v>
      </c>
      <c r="I768" s="7" t="s">
        <v>767</v>
      </c>
      <c r="J768" s="7" t="s">
        <v>816</v>
      </c>
      <c r="K768" s="7" t="s">
        <v>29</v>
      </c>
      <c r="L768" s="3" t="str">
        <f>E768&amp;D768</f>
        <v>E.SP.IPAEE_INS_SEG_C_I_CIRCUITO VIA CA_0030</v>
      </c>
      <c r="M768" s="3" t="str">
        <f>IFERROR(MID(D768,SEARCH("S_I_",D768,1),3),"")</f>
        <v/>
      </c>
      <c r="N768" s="3" t="str">
        <f>IFERROR(MID(D768,SEARCH("C_I_",D768,1),3),"")</f>
        <v>C_I</v>
      </c>
      <c r="O768" s="3" t="str">
        <f>IF(AND(M768="",N768=""),"Extra","")</f>
        <v/>
      </c>
      <c r="P768" s="3" t="str">
        <f>IF(Q768=0,"TERCEIRO","MRS")</f>
        <v>MRS</v>
      </c>
      <c r="Q768" s="8" t="str">
        <f>IFERROR(VLOOKUP(L768,#REF!,4,0),"0,00")</f>
        <v>0,00</v>
      </c>
      <c r="R768" s="9" t="s">
        <v>30</v>
      </c>
      <c r="S768" s="9">
        <f>COUNTIF(D768,"*_SEG_*")</f>
        <v>1</v>
      </c>
      <c r="T768" s="9">
        <f>COUNTIF(D768,"*_MAN_*")</f>
        <v>0</v>
      </c>
      <c r="U768" s="9">
        <f>(RIGHT(D768,4))*1</f>
        <v>30</v>
      </c>
      <c r="V768" s="9" t="str">
        <f>IFERROR(VLOOKUP(I768,#REF!,2,0),"Sinalização")</f>
        <v>Sinalização</v>
      </c>
    </row>
    <row r="769" spans="1:22" x14ac:dyDescent="0.25">
      <c r="A769" s="3" t="s">
        <v>22</v>
      </c>
      <c r="B769" s="4">
        <v>23510135</v>
      </c>
      <c r="C769" s="5" t="s">
        <v>23</v>
      </c>
      <c r="D769" s="6" t="s">
        <v>820</v>
      </c>
      <c r="E769" s="6" t="s">
        <v>25</v>
      </c>
      <c r="F769" s="11">
        <v>46165</v>
      </c>
      <c r="G769" s="6" t="s">
        <v>1079</v>
      </c>
      <c r="H769" s="7" t="s">
        <v>32</v>
      </c>
      <c r="I769" s="7" t="s">
        <v>965</v>
      </c>
      <c r="J769" s="7" t="s">
        <v>822</v>
      </c>
      <c r="K769" s="7" t="s">
        <v>29</v>
      </c>
      <c r="L769" s="3" t="str">
        <f>E769&amp;D769</f>
        <v>E.SP.IPAEE_INS_CONF_S_I_BL INT RELÉ S/ BAT_0030</v>
      </c>
      <c r="M769" s="3" t="str">
        <f>IFERROR(MID(D769,SEARCH("S_I_",D769,1),3),"")</f>
        <v>S_I</v>
      </c>
      <c r="N769" s="3" t="str">
        <f>IFERROR(MID(D769,SEARCH("C_I_",D769,1),3),"")</f>
        <v/>
      </c>
      <c r="O769" s="3" t="str">
        <f>IF(AND(M769="",N769=""),"Extra","")</f>
        <v/>
      </c>
      <c r="P769" s="3" t="str">
        <f>IF(Q769=0,"TERCEIRO","MRS")</f>
        <v>MRS</v>
      </c>
      <c r="Q769" s="8" t="str">
        <f>IFERROR(VLOOKUP(L769,#REF!,4,0),"0,00")</f>
        <v>0,00</v>
      </c>
      <c r="R769" s="9" t="s">
        <v>42</v>
      </c>
      <c r="S769" s="9">
        <f>COUNTIF(D769,"*_SEG_*")</f>
        <v>0</v>
      </c>
      <c r="T769" s="9">
        <f>COUNTIF(D769,"*_MAN_*")</f>
        <v>0</v>
      </c>
      <c r="U769" s="9">
        <f>(RIGHT(D769,4))*1</f>
        <v>30</v>
      </c>
      <c r="V769" s="9" t="str">
        <f>IFERROR(VLOOKUP(I769,#REF!,2,0),"Sinalização")</f>
        <v>Sinalização</v>
      </c>
    </row>
    <row r="770" spans="1:22" x14ac:dyDescent="0.25">
      <c r="A770" s="3" t="s">
        <v>22</v>
      </c>
      <c r="B770" s="4">
        <v>23510136</v>
      </c>
      <c r="C770" s="5" t="s">
        <v>23</v>
      </c>
      <c r="D770" s="6" t="s">
        <v>820</v>
      </c>
      <c r="E770" s="6" t="s">
        <v>25</v>
      </c>
      <c r="F770" s="11">
        <v>46165</v>
      </c>
      <c r="G770" s="6" t="s">
        <v>1079</v>
      </c>
      <c r="H770" s="7" t="s">
        <v>32</v>
      </c>
      <c r="I770" s="7" t="s">
        <v>260</v>
      </c>
      <c r="J770" s="7" t="s">
        <v>822</v>
      </c>
      <c r="K770" s="7" t="s">
        <v>29</v>
      </c>
      <c r="L770" s="3" t="str">
        <f>E770&amp;D770</f>
        <v>E.SP.IPAEE_INS_CONF_S_I_BL INT RELÉ S/ BAT_0030</v>
      </c>
      <c r="M770" s="3" t="str">
        <f>IFERROR(MID(D770,SEARCH("S_I_",D770,1),3),"")</f>
        <v>S_I</v>
      </c>
      <c r="N770" s="3" t="str">
        <f>IFERROR(MID(D770,SEARCH("C_I_",D770,1),3),"")</f>
        <v/>
      </c>
      <c r="O770" s="3" t="str">
        <f>IF(AND(M770="",N770=""),"Extra","")</f>
        <v/>
      </c>
      <c r="P770" s="3" t="str">
        <f>IF(Q770=0,"TERCEIRO","MRS")</f>
        <v>MRS</v>
      </c>
      <c r="Q770" s="8" t="str">
        <f>IFERROR(VLOOKUP(L770,#REF!,4,0),"0,00")</f>
        <v>0,00</v>
      </c>
      <c r="R770" s="9" t="s">
        <v>42</v>
      </c>
      <c r="S770" s="9">
        <f>COUNTIF(D770,"*_SEG_*")</f>
        <v>0</v>
      </c>
      <c r="T770" s="9">
        <f>COUNTIF(D770,"*_MAN_*")</f>
        <v>0</v>
      </c>
      <c r="U770" s="9">
        <f>(RIGHT(D770,4))*1</f>
        <v>30</v>
      </c>
      <c r="V770" s="9" t="str">
        <f>IFERROR(VLOOKUP(I770,#REF!,2,0),"Sinalização")</f>
        <v>Sinalização</v>
      </c>
    </row>
    <row r="771" spans="1:22" x14ac:dyDescent="0.25">
      <c r="A771" s="3" t="s">
        <v>22</v>
      </c>
      <c r="B771" s="4">
        <v>23510137</v>
      </c>
      <c r="C771" s="5" t="s">
        <v>23</v>
      </c>
      <c r="D771" s="6" t="s">
        <v>820</v>
      </c>
      <c r="E771" s="6" t="s">
        <v>25</v>
      </c>
      <c r="F771" s="11">
        <v>46165</v>
      </c>
      <c r="G771" s="6" t="s">
        <v>1079</v>
      </c>
      <c r="H771" s="7" t="s">
        <v>26</v>
      </c>
      <c r="I771" s="7" t="s">
        <v>379</v>
      </c>
      <c r="J771" s="7" t="s">
        <v>822</v>
      </c>
      <c r="K771" s="7" t="s">
        <v>29</v>
      </c>
      <c r="L771" s="3" t="str">
        <f>E771&amp;D771</f>
        <v>E.SP.IPAEE_INS_CONF_S_I_BL INT RELÉ S/ BAT_0030</v>
      </c>
      <c r="M771" s="3" t="str">
        <f>IFERROR(MID(D771,SEARCH("S_I_",D771,1),3),"")</f>
        <v>S_I</v>
      </c>
      <c r="N771" s="3" t="str">
        <f>IFERROR(MID(D771,SEARCH("C_I_",D771,1),3),"")</f>
        <v/>
      </c>
      <c r="O771" s="3" t="str">
        <f>IF(AND(M771="",N771=""),"Extra","")</f>
        <v/>
      </c>
      <c r="P771" s="3" t="str">
        <f>IF(Q771=0,"TERCEIRO","MRS")</f>
        <v>MRS</v>
      </c>
      <c r="Q771" s="8" t="str">
        <f>IFERROR(VLOOKUP(L771,#REF!,4,0),"0,00")</f>
        <v>0,00</v>
      </c>
      <c r="R771" s="9" t="s">
        <v>42</v>
      </c>
      <c r="S771" s="9">
        <f>COUNTIF(D771,"*_SEG_*")</f>
        <v>0</v>
      </c>
      <c r="T771" s="9">
        <f>COUNTIF(D771,"*_MAN_*")</f>
        <v>0</v>
      </c>
      <c r="U771" s="9">
        <f>(RIGHT(D771,4))*1</f>
        <v>30</v>
      </c>
      <c r="V771" s="9" t="str">
        <f>IFERROR(VLOOKUP(I771,#REF!,2,0),"Sinalização")</f>
        <v>Sinalização</v>
      </c>
    </row>
    <row r="772" spans="1:22" x14ac:dyDescent="0.25">
      <c r="A772" s="3" t="s">
        <v>22</v>
      </c>
      <c r="B772" s="4">
        <v>23510138</v>
      </c>
      <c r="C772" s="5" t="s">
        <v>23</v>
      </c>
      <c r="D772" s="6" t="s">
        <v>820</v>
      </c>
      <c r="E772" s="6" t="s">
        <v>25</v>
      </c>
      <c r="F772" s="11">
        <v>46165</v>
      </c>
      <c r="G772" s="6" t="s">
        <v>1079</v>
      </c>
      <c r="H772" s="7" t="s">
        <v>26</v>
      </c>
      <c r="I772" s="7" t="s">
        <v>378</v>
      </c>
      <c r="J772" s="7" t="s">
        <v>822</v>
      </c>
      <c r="K772" s="7" t="s">
        <v>29</v>
      </c>
      <c r="L772" s="3" t="str">
        <f>E772&amp;D772</f>
        <v>E.SP.IPAEE_INS_CONF_S_I_BL INT RELÉ S/ BAT_0030</v>
      </c>
      <c r="M772" s="3" t="str">
        <f>IFERROR(MID(D772,SEARCH("S_I_",D772,1),3),"")</f>
        <v>S_I</v>
      </c>
      <c r="N772" s="3" t="str">
        <f>IFERROR(MID(D772,SEARCH("C_I_",D772,1),3),"")</f>
        <v/>
      </c>
      <c r="O772" s="3" t="str">
        <f>IF(AND(M772="",N772=""),"Extra","")</f>
        <v/>
      </c>
      <c r="P772" s="3" t="str">
        <f>IF(Q772=0,"TERCEIRO","MRS")</f>
        <v>MRS</v>
      </c>
      <c r="Q772" s="8" t="str">
        <f>IFERROR(VLOOKUP(L772,#REF!,4,0),"0,00")</f>
        <v>0,00</v>
      </c>
      <c r="R772" s="9" t="s">
        <v>42</v>
      </c>
      <c r="S772" s="9">
        <f>COUNTIF(D772,"*_SEG_*")</f>
        <v>0</v>
      </c>
      <c r="T772" s="9">
        <f>COUNTIF(D772,"*_MAN_*")</f>
        <v>0</v>
      </c>
      <c r="U772" s="9">
        <f>(RIGHT(D772,4))*1</f>
        <v>30</v>
      </c>
      <c r="V772" s="9" t="str">
        <f>IFERROR(VLOOKUP(I772,#REF!,2,0),"Sinalização")</f>
        <v>Sinalização</v>
      </c>
    </row>
    <row r="773" spans="1:22" x14ac:dyDescent="0.25">
      <c r="A773" s="3" t="s">
        <v>22</v>
      </c>
      <c r="B773" s="4">
        <v>23510139</v>
      </c>
      <c r="C773" s="5" t="s">
        <v>23</v>
      </c>
      <c r="D773" s="6" t="s">
        <v>820</v>
      </c>
      <c r="E773" s="6" t="s">
        <v>25</v>
      </c>
      <c r="F773" s="11">
        <v>46165</v>
      </c>
      <c r="G773" s="6" t="s">
        <v>1079</v>
      </c>
      <c r="H773" s="7" t="s">
        <v>32</v>
      </c>
      <c r="I773" s="7" t="s">
        <v>377</v>
      </c>
      <c r="J773" s="7" t="s">
        <v>822</v>
      </c>
      <c r="K773" s="7" t="s">
        <v>29</v>
      </c>
      <c r="L773" s="3" t="str">
        <f>E773&amp;D773</f>
        <v>E.SP.IPAEE_INS_CONF_S_I_BL INT RELÉ S/ BAT_0030</v>
      </c>
      <c r="M773" s="3" t="str">
        <f>IFERROR(MID(D773,SEARCH("S_I_",D773,1),3),"")</f>
        <v>S_I</v>
      </c>
      <c r="N773" s="3" t="str">
        <f>IFERROR(MID(D773,SEARCH("C_I_",D773,1),3),"")</f>
        <v/>
      </c>
      <c r="O773" s="3" t="str">
        <f>IF(AND(M773="",N773=""),"Extra","")</f>
        <v/>
      </c>
      <c r="P773" s="3" t="str">
        <f>IF(Q773=0,"TERCEIRO","MRS")</f>
        <v>MRS</v>
      </c>
      <c r="Q773" s="8" t="str">
        <f>IFERROR(VLOOKUP(L773,#REF!,4,0),"0,00")</f>
        <v>0,00</v>
      </c>
      <c r="R773" s="9" t="s">
        <v>42</v>
      </c>
      <c r="S773" s="9">
        <f>COUNTIF(D773,"*_SEG_*")</f>
        <v>0</v>
      </c>
      <c r="T773" s="9">
        <f>COUNTIF(D773,"*_MAN_*")</f>
        <v>0</v>
      </c>
      <c r="U773" s="9">
        <f>(RIGHT(D773,4))*1</f>
        <v>30</v>
      </c>
      <c r="V773" s="9" t="str">
        <f>IFERROR(VLOOKUP(I773,#REF!,2,0),"Sinalização")</f>
        <v>Sinalização</v>
      </c>
    </row>
    <row r="774" spans="1:22" x14ac:dyDescent="0.25">
      <c r="A774" s="3" t="s">
        <v>22</v>
      </c>
      <c r="B774" s="4">
        <v>23510140</v>
      </c>
      <c r="C774" s="5" t="s">
        <v>23</v>
      </c>
      <c r="D774" s="6" t="s">
        <v>820</v>
      </c>
      <c r="E774" s="6" t="s">
        <v>25</v>
      </c>
      <c r="F774" s="11">
        <v>46165</v>
      </c>
      <c r="G774" s="6" t="s">
        <v>1079</v>
      </c>
      <c r="H774" s="7" t="s">
        <v>32</v>
      </c>
      <c r="I774" s="7" t="s">
        <v>417</v>
      </c>
      <c r="J774" s="7" t="s">
        <v>822</v>
      </c>
      <c r="K774" s="7" t="s">
        <v>29</v>
      </c>
      <c r="L774" s="3" t="str">
        <f>E774&amp;D774</f>
        <v>E.SP.IPAEE_INS_CONF_S_I_BL INT RELÉ S/ BAT_0030</v>
      </c>
      <c r="M774" s="3" t="str">
        <f>IFERROR(MID(D774,SEARCH("S_I_",D774,1),3),"")</f>
        <v>S_I</v>
      </c>
      <c r="N774" s="3" t="str">
        <f>IFERROR(MID(D774,SEARCH("C_I_",D774,1),3),"")</f>
        <v/>
      </c>
      <c r="O774" s="3" t="str">
        <f>IF(AND(M774="",N774=""),"Extra","")</f>
        <v/>
      </c>
      <c r="P774" s="3" t="str">
        <f>IF(Q774=0,"TERCEIRO","MRS")</f>
        <v>MRS</v>
      </c>
      <c r="Q774" s="8" t="str">
        <f>IFERROR(VLOOKUP(L774,#REF!,4,0),"0,00")</f>
        <v>0,00</v>
      </c>
      <c r="R774" s="9" t="s">
        <v>42</v>
      </c>
      <c r="S774" s="9">
        <f>COUNTIF(D774,"*_SEG_*")</f>
        <v>0</v>
      </c>
      <c r="T774" s="9">
        <f>COUNTIF(D774,"*_MAN_*")</f>
        <v>0</v>
      </c>
      <c r="U774" s="9">
        <f>(RIGHT(D774,4))*1</f>
        <v>30</v>
      </c>
      <c r="V774" s="9" t="str">
        <f>IFERROR(VLOOKUP(I774,#REF!,2,0),"Sinalização")</f>
        <v>Sinalização</v>
      </c>
    </row>
    <row r="775" spans="1:22" x14ac:dyDescent="0.25">
      <c r="A775" s="3" t="s">
        <v>22</v>
      </c>
      <c r="B775" s="4">
        <v>23510141</v>
      </c>
      <c r="C775" s="5" t="s">
        <v>23</v>
      </c>
      <c r="D775" s="6" t="s">
        <v>820</v>
      </c>
      <c r="E775" s="6" t="s">
        <v>25</v>
      </c>
      <c r="F775" s="11">
        <v>46165</v>
      </c>
      <c r="G775" s="6" t="s">
        <v>1079</v>
      </c>
      <c r="H775" s="7" t="s">
        <v>26</v>
      </c>
      <c r="I775" s="7" t="s">
        <v>426</v>
      </c>
      <c r="J775" s="7" t="s">
        <v>822</v>
      </c>
      <c r="K775" s="7" t="s">
        <v>29</v>
      </c>
      <c r="L775" s="3" t="str">
        <f>E775&amp;D775</f>
        <v>E.SP.IPAEE_INS_CONF_S_I_BL INT RELÉ S/ BAT_0030</v>
      </c>
      <c r="M775" s="3" t="str">
        <f>IFERROR(MID(D775,SEARCH("S_I_",D775,1),3),"")</f>
        <v>S_I</v>
      </c>
      <c r="N775" s="3" t="str">
        <f>IFERROR(MID(D775,SEARCH("C_I_",D775,1),3),"")</f>
        <v/>
      </c>
      <c r="O775" s="3" t="str">
        <f>IF(AND(M775="",N775=""),"Extra","")</f>
        <v/>
      </c>
      <c r="P775" s="3" t="str">
        <f>IF(Q775=0,"TERCEIRO","MRS")</f>
        <v>MRS</v>
      </c>
      <c r="Q775" s="8" t="str">
        <f>IFERROR(VLOOKUP(L775,#REF!,4,0),"0,00")</f>
        <v>0,00</v>
      </c>
      <c r="R775" s="9" t="s">
        <v>42</v>
      </c>
      <c r="S775" s="9">
        <f>COUNTIF(D775,"*_SEG_*")</f>
        <v>0</v>
      </c>
      <c r="T775" s="9">
        <f>COUNTIF(D775,"*_MAN_*")</f>
        <v>0</v>
      </c>
      <c r="U775" s="9">
        <f>(RIGHT(D775,4))*1</f>
        <v>30</v>
      </c>
      <c r="V775" s="9" t="str">
        <f>IFERROR(VLOOKUP(I775,#REF!,2,0),"Sinalização")</f>
        <v>Sinalização</v>
      </c>
    </row>
    <row r="776" spans="1:22" x14ac:dyDescent="0.25">
      <c r="A776" s="3" t="s">
        <v>22</v>
      </c>
      <c r="B776" s="4">
        <v>23510142</v>
      </c>
      <c r="C776" s="5" t="s">
        <v>23</v>
      </c>
      <c r="D776" s="6" t="s">
        <v>820</v>
      </c>
      <c r="E776" s="6" t="s">
        <v>25</v>
      </c>
      <c r="F776" s="11">
        <v>46165</v>
      </c>
      <c r="G776" s="6" t="s">
        <v>1079</v>
      </c>
      <c r="H776" s="7" t="s">
        <v>26</v>
      </c>
      <c r="I776" s="7" t="s">
        <v>506</v>
      </c>
      <c r="J776" s="7" t="s">
        <v>822</v>
      </c>
      <c r="K776" s="7" t="s">
        <v>29</v>
      </c>
      <c r="L776" s="3" t="str">
        <f>E776&amp;D776</f>
        <v>E.SP.IPAEE_INS_CONF_S_I_BL INT RELÉ S/ BAT_0030</v>
      </c>
      <c r="M776" s="3" t="str">
        <f>IFERROR(MID(D776,SEARCH("S_I_",D776,1),3),"")</f>
        <v>S_I</v>
      </c>
      <c r="N776" s="3" t="str">
        <f>IFERROR(MID(D776,SEARCH("C_I_",D776,1),3),"")</f>
        <v/>
      </c>
      <c r="O776" s="3" t="str">
        <f>IF(AND(M776="",N776=""),"Extra","")</f>
        <v/>
      </c>
      <c r="P776" s="3" t="str">
        <f>IF(Q776=0,"TERCEIRO","MRS")</f>
        <v>MRS</v>
      </c>
      <c r="Q776" s="8" t="str">
        <f>IFERROR(VLOOKUP(L776,#REF!,4,0),"0,00")</f>
        <v>0,00</v>
      </c>
      <c r="R776" s="9" t="s">
        <v>42</v>
      </c>
      <c r="S776" s="9">
        <f>COUNTIF(D776,"*_SEG_*")</f>
        <v>0</v>
      </c>
      <c r="T776" s="9">
        <f>COUNTIF(D776,"*_MAN_*")</f>
        <v>0</v>
      </c>
      <c r="U776" s="9">
        <f>(RIGHT(D776,4))*1</f>
        <v>30</v>
      </c>
      <c r="V776" s="9" t="str">
        <f>IFERROR(VLOOKUP(I776,#REF!,2,0),"Sinalização")</f>
        <v>Sinalização</v>
      </c>
    </row>
    <row r="777" spans="1:22" x14ac:dyDescent="0.25">
      <c r="A777" s="3" t="s">
        <v>22</v>
      </c>
      <c r="B777" s="4">
        <v>23510143</v>
      </c>
      <c r="C777" s="5" t="s">
        <v>23</v>
      </c>
      <c r="D777" s="6" t="s">
        <v>820</v>
      </c>
      <c r="E777" s="6" t="s">
        <v>25</v>
      </c>
      <c r="F777" s="11">
        <v>46165</v>
      </c>
      <c r="G777" s="6" t="s">
        <v>1079</v>
      </c>
      <c r="H777" s="7" t="s">
        <v>32</v>
      </c>
      <c r="I777" s="7" t="s">
        <v>399</v>
      </c>
      <c r="J777" s="7" t="s">
        <v>822</v>
      </c>
      <c r="K777" s="7" t="s">
        <v>29</v>
      </c>
      <c r="L777" s="3" t="str">
        <f>E777&amp;D777</f>
        <v>E.SP.IPAEE_INS_CONF_S_I_BL INT RELÉ S/ BAT_0030</v>
      </c>
      <c r="M777" s="3" t="str">
        <f>IFERROR(MID(D777,SEARCH("S_I_",D777,1),3),"")</f>
        <v>S_I</v>
      </c>
      <c r="N777" s="3" t="str">
        <f>IFERROR(MID(D777,SEARCH("C_I_",D777,1),3),"")</f>
        <v/>
      </c>
      <c r="O777" s="3" t="str">
        <f>IF(AND(M777="",N777=""),"Extra","")</f>
        <v/>
      </c>
      <c r="P777" s="3" t="str">
        <f>IF(Q777=0,"TERCEIRO","MRS")</f>
        <v>MRS</v>
      </c>
      <c r="Q777" s="8" t="str">
        <f>IFERROR(VLOOKUP(L777,#REF!,4,0),"0,00")</f>
        <v>0,00</v>
      </c>
      <c r="R777" s="9" t="s">
        <v>42</v>
      </c>
      <c r="S777" s="9">
        <f>COUNTIF(D777,"*_SEG_*")</f>
        <v>0</v>
      </c>
      <c r="T777" s="9">
        <f>COUNTIF(D777,"*_MAN_*")</f>
        <v>0</v>
      </c>
      <c r="U777" s="9">
        <f>(RIGHT(D777,4))*1</f>
        <v>30</v>
      </c>
      <c r="V777" s="9" t="str">
        <f>IFERROR(VLOOKUP(I777,#REF!,2,0),"Sinalização")</f>
        <v>Sinalização</v>
      </c>
    </row>
    <row r="778" spans="1:22" x14ac:dyDescent="0.25">
      <c r="A778" s="3" t="s">
        <v>22</v>
      </c>
      <c r="B778" s="4">
        <v>23510144</v>
      </c>
      <c r="C778" s="5" t="s">
        <v>23</v>
      </c>
      <c r="D778" s="6" t="s">
        <v>820</v>
      </c>
      <c r="E778" s="6" t="s">
        <v>25</v>
      </c>
      <c r="F778" s="11">
        <v>46165</v>
      </c>
      <c r="G778" s="6" t="s">
        <v>1079</v>
      </c>
      <c r="H778" s="7" t="s">
        <v>32</v>
      </c>
      <c r="I778" s="7" t="s">
        <v>966</v>
      </c>
      <c r="J778" s="7" t="s">
        <v>822</v>
      </c>
      <c r="K778" s="7" t="s">
        <v>29</v>
      </c>
      <c r="L778" s="3" t="str">
        <f>E778&amp;D778</f>
        <v>E.SP.IPAEE_INS_CONF_S_I_BL INT RELÉ S/ BAT_0030</v>
      </c>
      <c r="M778" s="3" t="str">
        <f>IFERROR(MID(D778,SEARCH("S_I_",D778,1),3),"")</f>
        <v>S_I</v>
      </c>
      <c r="N778" s="3" t="str">
        <f>IFERROR(MID(D778,SEARCH("C_I_",D778,1),3),"")</f>
        <v/>
      </c>
      <c r="O778" s="3" t="str">
        <f>IF(AND(M778="",N778=""),"Extra","")</f>
        <v/>
      </c>
      <c r="P778" s="3" t="str">
        <f>IF(Q778=0,"TERCEIRO","MRS")</f>
        <v>MRS</v>
      </c>
      <c r="Q778" s="8" t="str">
        <f>IFERROR(VLOOKUP(L778,#REF!,4,0),"0,00")</f>
        <v>0,00</v>
      </c>
      <c r="R778" s="9" t="s">
        <v>42</v>
      </c>
      <c r="S778" s="9">
        <f>COUNTIF(D778,"*_SEG_*")</f>
        <v>0</v>
      </c>
      <c r="T778" s="9">
        <f>COUNTIF(D778,"*_MAN_*")</f>
        <v>0</v>
      </c>
      <c r="U778" s="9">
        <f>(RIGHT(D778,4))*1</f>
        <v>30</v>
      </c>
      <c r="V778" s="9" t="str">
        <f>IFERROR(VLOOKUP(I778,#REF!,2,0),"Sinalização")</f>
        <v>Sinalização</v>
      </c>
    </row>
    <row r="779" spans="1:22" x14ac:dyDescent="0.25">
      <c r="A779" s="3" t="s">
        <v>22</v>
      </c>
      <c r="B779" s="4">
        <v>23510145</v>
      </c>
      <c r="C779" s="5" t="s">
        <v>23</v>
      </c>
      <c r="D779" s="6" t="s">
        <v>820</v>
      </c>
      <c r="E779" s="6" t="s">
        <v>25</v>
      </c>
      <c r="F779" s="11">
        <v>46165</v>
      </c>
      <c r="G779" s="6" t="s">
        <v>1079</v>
      </c>
      <c r="H779" s="7" t="s">
        <v>26</v>
      </c>
      <c r="I779" s="7" t="s">
        <v>388</v>
      </c>
      <c r="J779" s="7" t="s">
        <v>822</v>
      </c>
      <c r="K779" s="7" t="s">
        <v>29</v>
      </c>
      <c r="L779" s="3" t="str">
        <f>E779&amp;D779</f>
        <v>E.SP.IPAEE_INS_CONF_S_I_BL INT RELÉ S/ BAT_0030</v>
      </c>
      <c r="M779" s="3" t="str">
        <f>IFERROR(MID(D779,SEARCH("S_I_",D779,1),3),"")</f>
        <v>S_I</v>
      </c>
      <c r="N779" s="3" t="str">
        <f>IFERROR(MID(D779,SEARCH("C_I_",D779,1),3),"")</f>
        <v/>
      </c>
      <c r="O779" s="3" t="str">
        <f>IF(AND(M779="",N779=""),"Extra","")</f>
        <v/>
      </c>
      <c r="P779" s="3" t="str">
        <f>IF(Q779=0,"TERCEIRO","MRS")</f>
        <v>MRS</v>
      </c>
      <c r="Q779" s="8" t="str">
        <f>IFERROR(VLOOKUP(L779,#REF!,4,0),"0,00")</f>
        <v>0,00</v>
      </c>
      <c r="R779" s="9" t="s">
        <v>42</v>
      </c>
      <c r="S779" s="9">
        <f>COUNTIF(D779,"*_SEG_*")</f>
        <v>0</v>
      </c>
      <c r="T779" s="9">
        <f>COUNTIF(D779,"*_MAN_*")</f>
        <v>0</v>
      </c>
      <c r="U779" s="9">
        <f>(RIGHT(D779,4))*1</f>
        <v>30</v>
      </c>
      <c r="V779" s="9" t="str">
        <f>IFERROR(VLOOKUP(I779,#REF!,2,0),"Sinalização")</f>
        <v>Sinalização</v>
      </c>
    </row>
    <row r="780" spans="1:22" x14ac:dyDescent="0.25">
      <c r="A780" s="3" t="s">
        <v>22</v>
      </c>
      <c r="B780" s="4">
        <v>23510146</v>
      </c>
      <c r="C780" s="5" t="s">
        <v>23</v>
      </c>
      <c r="D780" s="6" t="s">
        <v>820</v>
      </c>
      <c r="E780" s="6" t="s">
        <v>25</v>
      </c>
      <c r="F780" s="11">
        <v>46165</v>
      </c>
      <c r="G780" s="6" t="s">
        <v>1079</v>
      </c>
      <c r="H780" s="7" t="s">
        <v>26</v>
      </c>
      <c r="I780" s="7" t="s">
        <v>148</v>
      </c>
      <c r="J780" s="7" t="s">
        <v>822</v>
      </c>
      <c r="K780" s="7" t="s">
        <v>29</v>
      </c>
      <c r="L780" s="3" t="str">
        <f>E780&amp;D780</f>
        <v>E.SP.IPAEE_INS_CONF_S_I_BL INT RELÉ S/ BAT_0030</v>
      </c>
      <c r="M780" s="3" t="str">
        <f>IFERROR(MID(D780,SEARCH("S_I_",D780,1),3),"")</f>
        <v>S_I</v>
      </c>
      <c r="N780" s="3" t="str">
        <f>IFERROR(MID(D780,SEARCH("C_I_",D780,1),3),"")</f>
        <v/>
      </c>
      <c r="O780" s="3" t="str">
        <f>IF(AND(M780="",N780=""),"Extra","")</f>
        <v/>
      </c>
      <c r="P780" s="3" t="str">
        <f>IF(Q780=0,"TERCEIRO","MRS")</f>
        <v>MRS</v>
      </c>
      <c r="Q780" s="8" t="str">
        <f>IFERROR(VLOOKUP(L780,#REF!,4,0),"0,00")</f>
        <v>0,00</v>
      </c>
      <c r="R780" s="9" t="s">
        <v>42</v>
      </c>
      <c r="S780" s="9">
        <f>COUNTIF(D780,"*_SEG_*")</f>
        <v>0</v>
      </c>
      <c r="T780" s="9">
        <f>COUNTIF(D780,"*_MAN_*")</f>
        <v>0</v>
      </c>
      <c r="U780" s="9">
        <f>(RIGHT(D780,4))*1</f>
        <v>30</v>
      </c>
      <c r="V780" s="9" t="str">
        <f>IFERROR(VLOOKUP(I780,#REF!,2,0),"Sinalização")</f>
        <v>Sinalização</v>
      </c>
    </row>
    <row r="781" spans="1:22" x14ac:dyDescent="0.25">
      <c r="A781" s="3" t="s">
        <v>22</v>
      </c>
      <c r="B781" s="4">
        <v>23510147</v>
      </c>
      <c r="C781" s="5" t="s">
        <v>23</v>
      </c>
      <c r="D781" s="6" t="s">
        <v>820</v>
      </c>
      <c r="E781" s="6" t="s">
        <v>25</v>
      </c>
      <c r="F781" s="11">
        <v>46165</v>
      </c>
      <c r="G781" s="6" t="s">
        <v>1079</v>
      </c>
      <c r="H781" s="7" t="s">
        <v>32</v>
      </c>
      <c r="I781" s="7" t="s">
        <v>967</v>
      </c>
      <c r="J781" s="7" t="s">
        <v>822</v>
      </c>
      <c r="K781" s="7" t="s">
        <v>29</v>
      </c>
      <c r="L781" s="3" t="str">
        <f>E781&amp;D781</f>
        <v>E.SP.IPAEE_INS_CONF_S_I_BL INT RELÉ S/ BAT_0030</v>
      </c>
      <c r="M781" s="3" t="str">
        <f>IFERROR(MID(D781,SEARCH("S_I_",D781,1),3),"")</f>
        <v>S_I</v>
      </c>
      <c r="N781" s="3" t="str">
        <f>IFERROR(MID(D781,SEARCH("C_I_",D781,1),3),"")</f>
        <v/>
      </c>
      <c r="O781" s="3" t="str">
        <f>IF(AND(M781="",N781=""),"Extra","")</f>
        <v/>
      </c>
      <c r="P781" s="3" t="str">
        <f>IF(Q781=0,"TERCEIRO","MRS")</f>
        <v>MRS</v>
      </c>
      <c r="Q781" s="8" t="str">
        <f>IFERROR(VLOOKUP(L781,#REF!,4,0),"0,00")</f>
        <v>0,00</v>
      </c>
      <c r="R781" s="9" t="s">
        <v>42</v>
      </c>
      <c r="S781" s="9">
        <f>COUNTIF(D781,"*_SEG_*")</f>
        <v>0</v>
      </c>
      <c r="T781" s="9">
        <f>COUNTIF(D781,"*_MAN_*")</f>
        <v>0</v>
      </c>
      <c r="U781" s="9">
        <f>(RIGHT(D781,4))*1</f>
        <v>30</v>
      </c>
      <c r="V781" s="9" t="str">
        <f>IFERROR(VLOOKUP(I781,#REF!,2,0),"Sinalização")</f>
        <v>Sinalização</v>
      </c>
    </row>
    <row r="782" spans="1:22" x14ac:dyDescent="0.25">
      <c r="A782" s="3" t="s">
        <v>22</v>
      </c>
      <c r="B782" s="4">
        <v>23510148</v>
      </c>
      <c r="C782" s="5" t="s">
        <v>23</v>
      </c>
      <c r="D782" s="6" t="s">
        <v>820</v>
      </c>
      <c r="E782" s="6" t="s">
        <v>25</v>
      </c>
      <c r="F782" s="11">
        <v>46165</v>
      </c>
      <c r="G782" s="6" t="s">
        <v>1079</v>
      </c>
      <c r="H782" s="7" t="s">
        <v>32</v>
      </c>
      <c r="I782" s="7" t="s">
        <v>968</v>
      </c>
      <c r="J782" s="7" t="s">
        <v>822</v>
      </c>
      <c r="K782" s="7" t="s">
        <v>29</v>
      </c>
      <c r="L782" s="3" t="str">
        <f>E782&amp;D782</f>
        <v>E.SP.IPAEE_INS_CONF_S_I_BL INT RELÉ S/ BAT_0030</v>
      </c>
      <c r="M782" s="3" t="str">
        <f>IFERROR(MID(D782,SEARCH("S_I_",D782,1),3),"")</f>
        <v>S_I</v>
      </c>
      <c r="N782" s="3" t="str">
        <f>IFERROR(MID(D782,SEARCH("C_I_",D782,1),3),"")</f>
        <v/>
      </c>
      <c r="O782" s="3" t="str">
        <f>IF(AND(M782="",N782=""),"Extra","")</f>
        <v/>
      </c>
      <c r="P782" s="3" t="str">
        <f>IF(Q782=0,"TERCEIRO","MRS")</f>
        <v>MRS</v>
      </c>
      <c r="Q782" s="8" t="str">
        <f>IFERROR(VLOOKUP(L782,#REF!,4,0),"0,00")</f>
        <v>0,00</v>
      </c>
      <c r="R782" s="9" t="s">
        <v>42</v>
      </c>
      <c r="S782" s="9">
        <f>COUNTIF(D782,"*_SEG_*")</f>
        <v>0</v>
      </c>
      <c r="T782" s="9">
        <f>COUNTIF(D782,"*_MAN_*")</f>
        <v>0</v>
      </c>
      <c r="U782" s="9">
        <f>(RIGHT(D782,4))*1</f>
        <v>30</v>
      </c>
      <c r="V782" s="9" t="str">
        <f>IFERROR(VLOOKUP(I782,#REF!,2,0),"Sinalização")</f>
        <v>Sinalização</v>
      </c>
    </row>
    <row r="783" spans="1:22" x14ac:dyDescent="0.25">
      <c r="A783" s="3" t="s">
        <v>22</v>
      </c>
      <c r="B783" s="4">
        <v>23510149</v>
      </c>
      <c r="C783" s="5" t="s">
        <v>23</v>
      </c>
      <c r="D783" s="6" t="s">
        <v>820</v>
      </c>
      <c r="E783" s="6" t="s">
        <v>25</v>
      </c>
      <c r="F783" s="11">
        <v>46165</v>
      </c>
      <c r="G783" s="6" t="s">
        <v>1079</v>
      </c>
      <c r="H783" s="7" t="s">
        <v>26</v>
      </c>
      <c r="I783" s="7" t="s">
        <v>147</v>
      </c>
      <c r="J783" s="7" t="s">
        <v>822</v>
      </c>
      <c r="K783" s="7" t="s">
        <v>29</v>
      </c>
      <c r="L783" s="3" t="str">
        <f>E783&amp;D783</f>
        <v>E.SP.IPAEE_INS_CONF_S_I_BL INT RELÉ S/ BAT_0030</v>
      </c>
      <c r="M783" s="3" t="str">
        <f>IFERROR(MID(D783,SEARCH("S_I_",D783,1),3),"")</f>
        <v>S_I</v>
      </c>
      <c r="N783" s="3" t="str">
        <f>IFERROR(MID(D783,SEARCH("C_I_",D783,1),3),"")</f>
        <v/>
      </c>
      <c r="O783" s="3" t="str">
        <f>IF(AND(M783="",N783=""),"Extra","")</f>
        <v/>
      </c>
      <c r="P783" s="3" t="str">
        <f>IF(Q783=0,"TERCEIRO","MRS")</f>
        <v>MRS</v>
      </c>
      <c r="Q783" s="8" t="str">
        <f>IFERROR(VLOOKUP(L783,#REF!,4,0),"0,00")</f>
        <v>0,00</v>
      </c>
      <c r="R783" s="9" t="s">
        <v>42</v>
      </c>
      <c r="S783" s="9">
        <f>COUNTIF(D783,"*_SEG_*")</f>
        <v>0</v>
      </c>
      <c r="T783" s="9">
        <f>COUNTIF(D783,"*_MAN_*")</f>
        <v>0</v>
      </c>
      <c r="U783" s="9">
        <f>(RIGHT(D783,4))*1</f>
        <v>30</v>
      </c>
      <c r="V783" s="9" t="str">
        <f>IFERROR(VLOOKUP(I783,#REF!,2,0),"Sinalização")</f>
        <v>Sinalização</v>
      </c>
    </row>
    <row r="784" spans="1:22" x14ac:dyDescent="0.25">
      <c r="A784" s="3" t="s">
        <v>22</v>
      </c>
      <c r="B784" s="4">
        <v>23510150</v>
      </c>
      <c r="C784" s="5" t="s">
        <v>23</v>
      </c>
      <c r="D784" s="6" t="s">
        <v>820</v>
      </c>
      <c r="E784" s="6" t="s">
        <v>25</v>
      </c>
      <c r="F784" s="11">
        <v>46165</v>
      </c>
      <c r="G784" s="6" t="s">
        <v>1079</v>
      </c>
      <c r="H784" s="7" t="s">
        <v>26</v>
      </c>
      <c r="I784" s="7" t="s">
        <v>264</v>
      </c>
      <c r="J784" s="7" t="s">
        <v>822</v>
      </c>
      <c r="K784" s="7" t="s">
        <v>29</v>
      </c>
      <c r="L784" s="3" t="str">
        <f>E784&amp;D784</f>
        <v>E.SP.IPAEE_INS_CONF_S_I_BL INT RELÉ S/ BAT_0030</v>
      </c>
      <c r="M784" s="3" t="str">
        <f>IFERROR(MID(D784,SEARCH("S_I_",D784,1),3),"")</f>
        <v>S_I</v>
      </c>
      <c r="N784" s="3" t="str">
        <f>IFERROR(MID(D784,SEARCH("C_I_",D784,1),3),"")</f>
        <v/>
      </c>
      <c r="O784" s="3" t="str">
        <f>IF(AND(M784="",N784=""),"Extra","")</f>
        <v/>
      </c>
      <c r="P784" s="3" t="str">
        <f>IF(Q784=0,"TERCEIRO","MRS")</f>
        <v>MRS</v>
      </c>
      <c r="Q784" s="8" t="str">
        <f>IFERROR(VLOOKUP(L784,#REF!,4,0),"0,00")</f>
        <v>0,00</v>
      </c>
      <c r="R784" s="9" t="s">
        <v>42</v>
      </c>
      <c r="S784" s="9">
        <f>COUNTIF(D784,"*_SEG_*")</f>
        <v>0</v>
      </c>
      <c r="T784" s="9">
        <f>COUNTIF(D784,"*_MAN_*")</f>
        <v>0</v>
      </c>
      <c r="U784" s="9">
        <f>(RIGHT(D784,4))*1</f>
        <v>30</v>
      </c>
      <c r="V784" s="9" t="str">
        <f>IFERROR(VLOOKUP(I784,#REF!,2,0),"Sinalização")</f>
        <v>Sinalização</v>
      </c>
    </row>
    <row r="785" spans="1:22" x14ac:dyDescent="0.25">
      <c r="A785" s="3" t="s">
        <v>22</v>
      </c>
      <c r="B785" s="4">
        <v>23510151</v>
      </c>
      <c r="C785" s="5" t="s">
        <v>23</v>
      </c>
      <c r="D785" s="6" t="s">
        <v>820</v>
      </c>
      <c r="E785" s="6" t="s">
        <v>25</v>
      </c>
      <c r="F785" s="11">
        <v>46165</v>
      </c>
      <c r="G785" s="6" t="s">
        <v>1079</v>
      </c>
      <c r="H785" s="7" t="s">
        <v>32</v>
      </c>
      <c r="I785" s="7" t="s">
        <v>263</v>
      </c>
      <c r="J785" s="7" t="s">
        <v>822</v>
      </c>
      <c r="K785" s="7" t="s">
        <v>29</v>
      </c>
      <c r="L785" s="3" t="str">
        <f>E785&amp;D785</f>
        <v>E.SP.IPAEE_INS_CONF_S_I_BL INT RELÉ S/ BAT_0030</v>
      </c>
      <c r="M785" s="3" t="str">
        <f>IFERROR(MID(D785,SEARCH("S_I_",D785,1),3),"")</f>
        <v>S_I</v>
      </c>
      <c r="N785" s="3" t="str">
        <f>IFERROR(MID(D785,SEARCH("C_I_",D785,1),3),"")</f>
        <v/>
      </c>
      <c r="O785" s="3" t="str">
        <f>IF(AND(M785="",N785=""),"Extra","")</f>
        <v/>
      </c>
      <c r="P785" s="3" t="str">
        <f>IF(Q785=0,"TERCEIRO","MRS")</f>
        <v>MRS</v>
      </c>
      <c r="Q785" s="8" t="str">
        <f>IFERROR(VLOOKUP(L785,#REF!,4,0),"0,00")</f>
        <v>0,00</v>
      </c>
      <c r="R785" s="9" t="s">
        <v>42</v>
      </c>
      <c r="S785" s="9">
        <f>COUNTIF(D785,"*_SEG_*")</f>
        <v>0</v>
      </c>
      <c r="T785" s="9">
        <f>COUNTIF(D785,"*_MAN_*")</f>
        <v>0</v>
      </c>
      <c r="U785" s="9">
        <f>(RIGHT(D785,4))*1</f>
        <v>30</v>
      </c>
      <c r="V785" s="9" t="str">
        <f>IFERROR(VLOOKUP(I785,#REF!,2,0),"Sinalização")</f>
        <v>Sinalização</v>
      </c>
    </row>
    <row r="786" spans="1:22" x14ac:dyDescent="0.25">
      <c r="A786" s="3" t="s">
        <v>22</v>
      </c>
      <c r="B786" s="4">
        <v>23510152</v>
      </c>
      <c r="C786" s="5" t="s">
        <v>23</v>
      </c>
      <c r="D786" s="6" t="s">
        <v>820</v>
      </c>
      <c r="E786" s="6" t="s">
        <v>25</v>
      </c>
      <c r="F786" s="11">
        <v>46165</v>
      </c>
      <c r="G786" s="6" t="s">
        <v>1079</v>
      </c>
      <c r="H786" s="7" t="s">
        <v>32</v>
      </c>
      <c r="I786" s="7" t="s">
        <v>262</v>
      </c>
      <c r="J786" s="7" t="s">
        <v>822</v>
      </c>
      <c r="K786" s="7" t="s">
        <v>29</v>
      </c>
      <c r="L786" s="3" t="str">
        <f>E786&amp;D786</f>
        <v>E.SP.IPAEE_INS_CONF_S_I_BL INT RELÉ S/ BAT_0030</v>
      </c>
      <c r="M786" s="3" t="str">
        <f>IFERROR(MID(D786,SEARCH("S_I_",D786,1),3),"")</f>
        <v>S_I</v>
      </c>
      <c r="N786" s="3" t="str">
        <f>IFERROR(MID(D786,SEARCH("C_I_",D786,1),3),"")</f>
        <v/>
      </c>
      <c r="O786" s="3" t="str">
        <f>IF(AND(M786="",N786=""),"Extra","")</f>
        <v/>
      </c>
      <c r="P786" s="3" t="str">
        <f>IF(Q786=0,"TERCEIRO","MRS")</f>
        <v>MRS</v>
      </c>
      <c r="Q786" s="8" t="str">
        <f>IFERROR(VLOOKUP(L786,#REF!,4,0),"0,00")</f>
        <v>0,00</v>
      </c>
      <c r="R786" s="9" t="s">
        <v>42</v>
      </c>
      <c r="S786" s="9">
        <f>COUNTIF(D786,"*_SEG_*")</f>
        <v>0</v>
      </c>
      <c r="T786" s="9">
        <f>COUNTIF(D786,"*_MAN_*")</f>
        <v>0</v>
      </c>
      <c r="U786" s="9">
        <f>(RIGHT(D786,4))*1</f>
        <v>30</v>
      </c>
      <c r="V786" s="9" t="str">
        <f>IFERROR(VLOOKUP(I786,#REF!,2,0),"Sinalização")</f>
        <v>Sinalização</v>
      </c>
    </row>
    <row r="787" spans="1:22" x14ac:dyDescent="0.25">
      <c r="A787" s="3" t="s">
        <v>22</v>
      </c>
      <c r="B787" s="4">
        <v>23510153</v>
      </c>
      <c r="C787" s="5" t="s">
        <v>23</v>
      </c>
      <c r="D787" s="6" t="s">
        <v>820</v>
      </c>
      <c r="E787" s="6" t="s">
        <v>25</v>
      </c>
      <c r="F787" s="11">
        <v>46165</v>
      </c>
      <c r="G787" s="6" t="s">
        <v>1079</v>
      </c>
      <c r="H787" s="7" t="s">
        <v>26</v>
      </c>
      <c r="I787" s="7" t="s">
        <v>579</v>
      </c>
      <c r="J787" s="7" t="s">
        <v>822</v>
      </c>
      <c r="K787" s="7" t="s">
        <v>29</v>
      </c>
      <c r="L787" s="3" t="str">
        <f>E787&amp;D787</f>
        <v>E.SP.IPAEE_INS_CONF_S_I_BL INT RELÉ S/ BAT_0030</v>
      </c>
      <c r="M787" s="3" t="str">
        <f>IFERROR(MID(D787,SEARCH("S_I_",D787,1),3),"")</f>
        <v>S_I</v>
      </c>
      <c r="N787" s="3" t="str">
        <f>IFERROR(MID(D787,SEARCH("C_I_",D787,1),3),"")</f>
        <v/>
      </c>
      <c r="O787" s="3" t="str">
        <f>IF(AND(M787="",N787=""),"Extra","")</f>
        <v/>
      </c>
      <c r="P787" s="3" t="str">
        <f>IF(Q787=0,"TERCEIRO","MRS")</f>
        <v>MRS</v>
      </c>
      <c r="Q787" s="8" t="str">
        <f>IFERROR(VLOOKUP(L787,#REF!,4,0),"0,00")</f>
        <v>0,00</v>
      </c>
      <c r="R787" s="9" t="s">
        <v>42</v>
      </c>
      <c r="S787" s="9">
        <f>COUNTIF(D787,"*_SEG_*")</f>
        <v>0</v>
      </c>
      <c r="T787" s="9">
        <f>COUNTIF(D787,"*_MAN_*")</f>
        <v>0</v>
      </c>
      <c r="U787" s="9">
        <f>(RIGHT(D787,4))*1</f>
        <v>30</v>
      </c>
      <c r="V787" s="9" t="str">
        <f>IFERROR(VLOOKUP(I787,#REF!,2,0),"Sinalização")</f>
        <v>Sinalização</v>
      </c>
    </row>
    <row r="788" spans="1:22" x14ac:dyDescent="0.25">
      <c r="A788" s="3" t="s">
        <v>22</v>
      </c>
      <c r="B788" s="4">
        <v>23510154</v>
      </c>
      <c r="C788" s="5" t="s">
        <v>23</v>
      </c>
      <c r="D788" s="6" t="s">
        <v>820</v>
      </c>
      <c r="E788" s="6" t="s">
        <v>25</v>
      </c>
      <c r="F788" s="11">
        <v>46165</v>
      </c>
      <c r="G788" s="6" t="s">
        <v>1079</v>
      </c>
      <c r="H788" s="7" t="s">
        <v>26</v>
      </c>
      <c r="I788" s="7" t="s">
        <v>577</v>
      </c>
      <c r="J788" s="7" t="s">
        <v>822</v>
      </c>
      <c r="K788" s="7" t="s">
        <v>29</v>
      </c>
      <c r="L788" s="3" t="str">
        <f>E788&amp;D788</f>
        <v>E.SP.IPAEE_INS_CONF_S_I_BL INT RELÉ S/ BAT_0030</v>
      </c>
      <c r="M788" s="3" t="str">
        <f>IFERROR(MID(D788,SEARCH("S_I_",D788,1),3),"")</f>
        <v>S_I</v>
      </c>
      <c r="N788" s="3" t="str">
        <f>IFERROR(MID(D788,SEARCH("C_I_",D788,1),3),"")</f>
        <v/>
      </c>
      <c r="O788" s="3" t="str">
        <f>IF(AND(M788="",N788=""),"Extra","")</f>
        <v/>
      </c>
      <c r="P788" s="3" t="str">
        <f>IF(Q788=0,"TERCEIRO","MRS")</f>
        <v>MRS</v>
      </c>
      <c r="Q788" s="8" t="str">
        <f>IFERROR(VLOOKUP(L788,#REF!,4,0),"0,00")</f>
        <v>0,00</v>
      </c>
      <c r="R788" s="9" t="s">
        <v>42</v>
      </c>
      <c r="S788" s="9">
        <f>COUNTIF(D788,"*_SEG_*")</f>
        <v>0</v>
      </c>
      <c r="T788" s="9">
        <f>COUNTIF(D788,"*_MAN_*")</f>
        <v>0</v>
      </c>
      <c r="U788" s="9">
        <f>(RIGHT(D788,4))*1</f>
        <v>30</v>
      </c>
      <c r="V788" s="9" t="str">
        <f>IFERROR(VLOOKUP(I788,#REF!,2,0),"Sinalização")</f>
        <v>Sinalização</v>
      </c>
    </row>
    <row r="789" spans="1:22" x14ac:dyDescent="0.25">
      <c r="A789" s="3" t="s">
        <v>22</v>
      </c>
      <c r="B789" s="4">
        <v>23510155</v>
      </c>
      <c r="C789" s="5" t="s">
        <v>23</v>
      </c>
      <c r="D789" s="6" t="s">
        <v>820</v>
      </c>
      <c r="E789" s="6" t="s">
        <v>25</v>
      </c>
      <c r="F789" s="11">
        <v>46165</v>
      </c>
      <c r="G789" s="6" t="s">
        <v>1079</v>
      </c>
      <c r="H789" s="7" t="s">
        <v>32</v>
      </c>
      <c r="I789" s="7" t="s">
        <v>580</v>
      </c>
      <c r="J789" s="7" t="s">
        <v>822</v>
      </c>
      <c r="K789" s="7" t="s">
        <v>29</v>
      </c>
      <c r="L789" s="3" t="str">
        <f>E789&amp;D789</f>
        <v>E.SP.IPAEE_INS_CONF_S_I_BL INT RELÉ S/ BAT_0030</v>
      </c>
      <c r="M789" s="3" t="str">
        <f>IFERROR(MID(D789,SEARCH("S_I_",D789,1),3),"")</f>
        <v>S_I</v>
      </c>
      <c r="N789" s="3" t="str">
        <f>IFERROR(MID(D789,SEARCH("C_I_",D789,1),3),"")</f>
        <v/>
      </c>
      <c r="O789" s="3" t="str">
        <f>IF(AND(M789="",N789=""),"Extra","")</f>
        <v/>
      </c>
      <c r="P789" s="3" t="str">
        <f>IF(Q789=0,"TERCEIRO","MRS")</f>
        <v>MRS</v>
      </c>
      <c r="Q789" s="8" t="str">
        <f>IFERROR(VLOOKUP(L789,#REF!,4,0),"0,00")</f>
        <v>0,00</v>
      </c>
      <c r="R789" s="9" t="s">
        <v>42</v>
      </c>
      <c r="S789" s="9">
        <f>COUNTIF(D789,"*_SEG_*")</f>
        <v>0</v>
      </c>
      <c r="T789" s="9">
        <f>COUNTIF(D789,"*_MAN_*")</f>
        <v>0</v>
      </c>
      <c r="U789" s="9">
        <f>(RIGHT(D789,4))*1</f>
        <v>30</v>
      </c>
      <c r="V789" s="9" t="str">
        <f>IFERROR(VLOOKUP(I789,#REF!,2,0),"Sinalização")</f>
        <v>Sinalização</v>
      </c>
    </row>
    <row r="790" spans="1:22" x14ac:dyDescent="0.25">
      <c r="A790" s="3" t="s">
        <v>22</v>
      </c>
      <c r="B790" s="4">
        <v>23510156</v>
      </c>
      <c r="C790" s="5" t="s">
        <v>23</v>
      </c>
      <c r="D790" s="6" t="s">
        <v>820</v>
      </c>
      <c r="E790" s="6" t="s">
        <v>25</v>
      </c>
      <c r="F790" s="11">
        <v>46165</v>
      </c>
      <c r="G790" s="6" t="s">
        <v>1079</v>
      </c>
      <c r="H790" s="7" t="s">
        <v>32</v>
      </c>
      <c r="I790" s="7" t="s">
        <v>581</v>
      </c>
      <c r="J790" s="7" t="s">
        <v>822</v>
      </c>
      <c r="K790" s="7" t="s">
        <v>29</v>
      </c>
      <c r="L790" s="3" t="str">
        <f>E790&amp;D790</f>
        <v>E.SP.IPAEE_INS_CONF_S_I_BL INT RELÉ S/ BAT_0030</v>
      </c>
      <c r="M790" s="3" t="str">
        <f>IFERROR(MID(D790,SEARCH("S_I_",D790,1),3),"")</f>
        <v>S_I</v>
      </c>
      <c r="N790" s="3" t="str">
        <f>IFERROR(MID(D790,SEARCH("C_I_",D790,1),3),"")</f>
        <v/>
      </c>
      <c r="O790" s="3" t="str">
        <f>IF(AND(M790="",N790=""),"Extra","")</f>
        <v/>
      </c>
      <c r="P790" s="3" t="str">
        <f>IF(Q790=0,"TERCEIRO","MRS")</f>
        <v>MRS</v>
      </c>
      <c r="Q790" s="8" t="str">
        <f>IFERROR(VLOOKUP(L790,#REF!,4,0),"0,00")</f>
        <v>0,00</v>
      </c>
      <c r="R790" s="9" t="s">
        <v>42</v>
      </c>
      <c r="S790" s="9">
        <f>COUNTIF(D790,"*_SEG_*")</f>
        <v>0</v>
      </c>
      <c r="T790" s="9">
        <f>COUNTIF(D790,"*_MAN_*")</f>
        <v>0</v>
      </c>
      <c r="U790" s="9">
        <f>(RIGHT(D790,4))*1</f>
        <v>30</v>
      </c>
      <c r="V790" s="9" t="str">
        <f>IFERROR(VLOOKUP(I790,#REF!,2,0),"Sinalização")</f>
        <v>Sinalização</v>
      </c>
    </row>
    <row r="791" spans="1:22" x14ac:dyDescent="0.25">
      <c r="A791" s="3" t="s">
        <v>22</v>
      </c>
      <c r="B791" s="4">
        <v>23510157</v>
      </c>
      <c r="C791" s="5" t="s">
        <v>23</v>
      </c>
      <c r="D791" s="6" t="s">
        <v>820</v>
      </c>
      <c r="E791" s="6" t="s">
        <v>25</v>
      </c>
      <c r="F791" s="11">
        <v>46165</v>
      </c>
      <c r="G791" s="6" t="s">
        <v>1079</v>
      </c>
      <c r="H791" s="7" t="s">
        <v>26</v>
      </c>
      <c r="I791" s="7" t="s">
        <v>969</v>
      </c>
      <c r="J791" s="7" t="s">
        <v>822</v>
      </c>
      <c r="K791" s="7" t="s">
        <v>29</v>
      </c>
      <c r="L791" s="3" t="str">
        <f>E791&amp;D791</f>
        <v>E.SP.IPAEE_INS_CONF_S_I_BL INT RELÉ S/ BAT_0030</v>
      </c>
      <c r="M791" s="3" t="str">
        <f>IFERROR(MID(D791,SEARCH("S_I_",D791,1),3),"")</f>
        <v>S_I</v>
      </c>
      <c r="N791" s="3" t="str">
        <f>IFERROR(MID(D791,SEARCH("C_I_",D791,1),3),"")</f>
        <v/>
      </c>
      <c r="O791" s="3" t="str">
        <f>IF(AND(M791="",N791=""),"Extra","")</f>
        <v/>
      </c>
      <c r="P791" s="3" t="str">
        <f>IF(Q791=0,"TERCEIRO","MRS")</f>
        <v>MRS</v>
      </c>
      <c r="Q791" s="8" t="str">
        <f>IFERROR(VLOOKUP(L791,#REF!,4,0),"0,00")</f>
        <v>0,00</v>
      </c>
      <c r="R791" s="9" t="s">
        <v>42</v>
      </c>
      <c r="S791" s="9">
        <f>COUNTIF(D791,"*_SEG_*")</f>
        <v>0</v>
      </c>
      <c r="T791" s="9">
        <f>COUNTIF(D791,"*_MAN_*")</f>
        <v>0</v>
      </c>
      <c r="U791" s="9">
        <f>(RIGHT(D791,4))*1</f>
        <v>30</v>
      </c>
      <c r="V791" s="9" t="str">
        <f>IFERROR(VLOOKUP(I791,#REF!,2,0),"Sinalização")</f>
        <v>Sinalização</v>
      </c>
    </row>
    <row r="792" spans="1:22" x14ac:dyDescent="0.25">
      <c r="A792" s="3" t="s">
        <v>22</v>
      </c>
      <c r="B792" s="4">
        <v>23510158</v>
      </c>
      <c r="C792" s="5" t="s">
        <v>23</v>
      </c>
      <c r="D792" s="6" t="s">
        <v>820</v>
      </c>
      <c r="E792" s="6" t="s">
        <v>25</v>
      </c>
      <c r="F792" s="11">
        <v>46165</v>
      </c>
      <c r="G792" s="6" t="s">
        <v>1079</v>
      </c>
      <c r="H792" s="7" t="s">
        <v>26</v>
      </c>
      <c r="I792" s="7" t="s">
        <v>970</v>
      </c>
      <c r="J792" s="7" t="s">
        <v>822</v>
      </c>
      <c r="K792" s="7" t="s">
        <v>29</v>
      </c>
      <c r="L792" s="3" t="str">
        <f>E792&amp;D792</f>
        <v>E.SP.IPAEE_INS_CONF_S_I_BL INT RELÉ S/ BAT_0030</v>
      </c>
      <c r="M792" s="3" t="str">
        <f>IFERROR(MID(D792,SEARCH("S_I_",D792,1),3),"")</f>
        <v>S_I</v>
      </c>
      <c r="N792" s="3" t="str">
        <f>IFERROR(MID(D792,SEARCH("C_I_",D792,1),3),"")</f>
        <v/>
      </c>
      <c r="O792" s="3" t="str">
        <f>IF(AND(M792="",N792=""),"Extra","")</f>
        <v/>
      </c>
      <c r="P792" s="3" t="str">
        <f>IF(Q792=0,"TERCEIRO","MRS")</f>
        <v>MRS</v>
      </c>
      <c r="Q792" s="8" t="str">
        <f>IFERROR(VLOOKUP(L792,#REF!,4,0),"0,00")</f>
        <v>0,00</v>
      </c>
      <c r="R792" s="9" t="s">
        <v>42</v>
      </c>
      <c r="S792" s="9">
        <f>COUNTIF(D792,"*_SEG_*")</f>
        <v>0</v>
      </c>
      <c r="T792" s="9">
        <f>COUNTIF(D792,"*_MAN_*")</f>
        <v>0</v>
      </c>
      <c r="U792" s="9">
        <f>(RIGHT(D792,4))*1</f>
        <v>30</v>
      </c>
      <c r="V792" s="9" t="str">
        <f>IFERROR(VLOOKUP(I792,#REF!,2,0),"Sinalização")</f>
        <v>Sinalização</v>
      </c>
    </row>
    <row r="793" spans="1:22" x14ac:dyDescent="0.25">
      <c r="A793" s="3" t="s">
        <v>22</v>
      </c>
      <c r="B793" s="4">
        <v>23510159</v>
      </c>
      <c r="C793" s="5" t="s">
        <v>23</v>
      </c>
      <c r="D793" s="6" t="s">
        <v>820</v>
      </c>
      <c r="E793" s="6" t="s">
        <v>25</v>
      </c>
      <c r="F793" s="11">
        <v>46165</v>
      </c>
      <c r="G793" s="6" t="s">
        <v>1079</v>
      </c>
      <c r="H793" s="7" t="s">
        <v>32</v>
      </c>
      <c r="I793" s="7" t="s">
        <v>971</v>
      </c>
      <c r="J793" s="7" t="s">
        <v>822</v>
      </c>
      <c r="K793" s="7" t="s">
        <v>29</v>
      </c>
      <c r="L793" s="3" t="str">
        <f>E793&amp;D793</f>
        <v>E.SP.IPAEE_INS_CONF_S_I_BL INT RELÉ S/ BAT_0030</v>
      </c>
      <c r="M793" s="3" t="str">
        <f>IFERROR(MID(D793,SEARCH("S_I_",D793,1),3),"")</f>
        <v>S_I</v>
      </c>
      <c r="N793" s="3" t="str">
        <f>IFERROR(MID(D793,SEARCH("C_I_",D793,1),3),"")</f>
        <v/>
      </c>
      <c r="O793" s="3" t="str">
        <f>IF(AND(M793="",N793=""),"Extra","")</f>
        <v/>
      </c>
      <c r="P793" s="3" t="str">
        <f>IF(Q793=0,"TERCEIRO","MRS")</f>
        <v>MRS</v>
      </c>
      <c r="Q793" s="8" t="str">
        <f>IFERROR(VLOOKUP(L793,#REF!,4,0),"0,00")</f>
        <v>0,00</v>
      </c>
      <c r="R793" s="9" t="s">
        <v>42</v>
      </c>
      <c r="S793" s="9">
        <f>COUNTIF(D793,"*_SEG_*")</f>
        <v>0</v>
      </c>
      <c r="T793" s="9">
        <f>COUNTIF(D793,"*_MAN_*")</f>
        <v>0</v>
      </c>
      <c r="U793" s="9">
        <f>(RIGHT(D793,4))*1</f>
        <v>30</v>
      </c>
      <c r="V793" s="9" t="str">
        <f>IFERROR(VLOOKUP(I793,#REF!,2,0),"Sinalização")</f>
        <v>Sinalização</v>
      </c>
    </row>
    <row r="794" spans="1:22" x14ac:dyDescent="0.25">
      <c r="A794" s="3" t="s">
        <v>22</v>
      </c>
      <c r="B794" s="4">
        <v>23510160</v>
      </c>
      <c r="C794" s="5" t="s">
        <v>23</v>
      </c>
      <c r="D794" s="6" t="s">
        <v>820</v>
      </c>
      <c r="E794" s="6" t="s">
        <v>25</v>
      </c>
      <c r="F794" s="11">
        <v>46165</v>
      </c>
      <c r="G794" s="6" t="s">
        <v>1079</v>
      </c>
      <c r="H794" s="7" t="s">
        <v>32</v>
      </c>
      <c r="I794" s="7" t="s">
        <v>459</v>
      </c>
      <c r="J794" s="7" t="s">
        <v>822</v>
      </c>
      <c r="K794" s="7" t="s">
        <v>29</v>
      </c>
      <c r="L794" s="3" t="str">
        <f>E794&amp;D794</f>
        <v>E.SP.IPAEE_INS_CONF_S_I_BL INT RELÉ S/ BAT_0030</v>
      </c>
      <c r="M794" s="3" t="str">
        <f>IFERROR(MID(D794,SEARCH("S_I_",D794,1),3),"")</f>
        <v>S_I</v>
      </c>
      <c r="N794" s="3" t="str">
        <f>IFERROR(MID(D794,SEARCH("C_I_",D794,1),3),"")</f>
        <v/>
      </c>
      <c r="O794" s="3" t="str">
        <f>IF(AND(M794="",N794=""),"Extra","")</f>
        <v/>
      </c>
      <c r="P794" s="3" t="str">
        <f>IF(Q794=0,"TERCEIRO","MRS")</f>
        <v>MRS</v>
      </c>
      <c r="Q794" s="8" t="str">
        <f>IFERROR(VLOOKUP(L794,#REF!,4,0),"0,00")</f>
        <v>0,00</v>
      </c>
      <c r="R794" s="9" t="s">
        <v>42</v>
      </c>
      <c r="S794" s="9">
        <f>COUNTIF(D794,"*_SEG_*")</f>
        <v>0</v>
      </c>
      <c r="T794" s="9">
        <f>COUNTIF(D794,"*_MAN_*")</f>
        <v>0</v>
      </c>
      <c r="U794" s="9">
        <f>(RIGHT(D794,4))*1</f>
        <v>30</v>
      </c>
      <c r="V794" s="9" t="str">
        <f>IFERROR(VLOOKUP(I794,#REF!,2,0),"Sinalização")</f>
        <v>Sinalização</v>
      </c>
    </row>
    <row r="795" spans="1:22" x14ac:dyDescent="0.25">
      <c r="A795" s="3" t="s">
        <v>22</v>
      </c>
      <c r="B795" s="4">
        <v>23510161</v>
      </c>
      <c r="C795" s="5" t="s">
        <v>23</v>
      </c>
      <c r="D795" s="6" t="s">
        <v>820</v>
      </c>
      <c r="E795" s="6" t="s">
        <v>25</v>
      </c>
      <c r="F795" s="11">
        <v>46165</v>
      </c>
      <c r="G795" s="6" t="s">
        <v>1079</v>
      </c>
      <c r="H795" s="7" t="s">
        <v>26</v>
      </c>
      <c r="I795" s="7" t="s">
        <v>458</v>
      </c>
      <c r="J795" s="7" t="s">
        <v>822</v>
      </c>
      <c r="K795" s="7" t="s">
        <v>29</v>
      </c>
      <c r="L795" s="3" t="str">
        <f>E795&amp;D795</f>
        <v>E.SP.IPAEE_INS_CONF_S_I_BL INT RELÉ S/ BAT_0030</v>
      </c>
      <c r="M795" s="3" t="str">
        <f>IFERROR(MID(D795,SEARCH("S_I_",D795,1),3),"")</f>
        <v>S_I</v>
      </c>
      <c r="N795" s="3" t="str">
        <f>IFERROR(MID(D795,SEARCH("C_I_",D795,1),3),"")</f>
        <v/>
      </c>
      <c r="O795" s="3" t="str">
        <f>IF(AND(M795="",N795=""),"Extra","")</f>
        <v/>
      </c>
      <c r="P795" s="3" t="str">
        <f>IF(Q795=0,"TERCEIRO","MRS")</f>
        <v>MRS</v>
      </c>
      <c r="Q795" s="8" t="str">
        <f>IFERROR(VLOOKUP(L795,#REF!,4,0),"0,00")</f>
        <v>0,00</v>
      </c>
      <c r="R795" s="9" t="s">
        <v>42</v>
      </c>
      <c r="S795" s="9">
        <f>COUNTIF(D795,"*_SEG_*")</f>
        <v>0</v>
      </c>
      <c r="T795" s="9">
        <f>COUNTIF(D795,"*_MAN_*")</f>
        <v>0</v>
      </c>
      <c r="U795" s="9">
        <f>(RIGHT(D795,4))*1</f>
        <v>30</v>
      </c>
      <c r="V795" s="9" t="str">
        <f>IFERROR(VLOOKUP(I795,#REF!,2,0),"Sinalização")</f>
        <v>Sinalização</v>
      </c>
    </row>
    <row r="796" spans="1:22" x14ac:dyDescent="0.25">
      <c r="A796" s="3" t="s">
        <v>22</v>
      </c>
      <c r="B796" s="4">
        <v>23510162</v>
      </c>
      <c r="C796" s="5" t="s">
        <v>23</v>
      </c>
      <c r="D796" s="6" t="s">
        <v>820</v>
      </c>
      <c r="E796" s="6" t="s">
        <v>25</v>
      </c>
      <c r="F796" s="11">
        <v>46165</v>
      </c>
      <c r="G796" s="6" t="s">
        <v>1079</v>
      </c>
      <c r="H796" s="7" t="s">
        <v>26</v>
      </c>
      <c r="I796" s="7" t="s">
        <v>457</v>
      </c>
      <c r="J796" s="7" t="s">
        <v>822</v>
      </c>
      <c r="K796" s="7" t="s">
        <v>29</v>
      </c>
      <c r="L796" s="3" t="str">
        <f>E796&amp;D796</f>
        <v>E.SP.IPAEE_INS_CONF_S_I_BL INT RELÉ S/ BAT_0030</v>
      </c>
      <c r="M796" s="3" t="str">
        <f>IFERROR(MID(D796,SEARCH("S_I_",D796,1),3),"")</f>
        <v>S_I</v>
      </c>
      <c r="N796" s="3" t="str">
        <f>IFERROR(MID(D796,SEARCH("C_I_",D796,1),3),"")</f>
        <v/>
      </c>
      <c r="O796" s="3" t="str">
        <f>IF(AND(M796="",N796=""),"Extra","")</f>
        <v/>
      </c>
      <c r="P796" s="3" t="str">
        <f>IF(Q796=0,"TERCEIRO","MRS")</f>
        <v>MRS</v>
      </c>
      <c r="Q796" s="8" t="str">
        <f>IFERROR(VLOOKUP(L796,#REF!,4,0),"0,00")</f>
        <v>0,00</v>
      </c>
      <c r="R796" s="9" t="s">
        <v>42</v>
      </c>
      <c r="S796" s="9">
        <f>COUNTIF(D796,"*_SEG_*")</f>
        <v>0</v>
      </c>
      <c r="T796" s="9">
        <f>COUNTIF(D796,"*_MAN_*")</f>
        <v>0</v>
      </c>
      <c r="U796" s="9">
        <f>(RIGHT(D796,4))*1</f>
        <v>30</v>
      </c>
      <c r="V796" s="9" t="str">
        <f>IFERROR(VLOOKUP(I796,#REF!,2,0),"Sinalização")</f>
        <v>Sinalização</v>
      </c>
    </row>
    <row r="797" spans="1:22" x14ac:dyDescent="0.25">
      <c r="A797" s="3" t="s">
        <v>22</v>
      </c>
      <c r="B797" s="4">
        <v>23510163</v>
      </c>
      <c r="C797" s="5" t="s">
        <v>23</v>
      </c>
      <c r="D797" s="6" t="s">
        <v>820</v>
      </c>
      <c r="E797" s="6" t="s">
        <v>25</v>
      </c>
      <c r="F797" s="11">
        <v>46165</v>
      </c>
      <c r="G797" s="6" t="s">
        <v>1079</v>
      </c>
      <c r="H797" s="7" t="s">
        <v>32</v>
      </c>
      <c r="I797" s="7" t="s">
        <v>448</v>
      </c>
      <c r="J797" s="7" t="s">
        <v>822</v>
      </c>
      <c r="K797" s="7" t="s">
        <v>29</v>
      </c>
      <c r="L797" s="3" t="str">
        <f>E797&amp;D797</f>
        <v>E.SP.IPAEE_INS_CONF_S_I_BL INT RELÉ S/ BAT_0030</v>
      </c>
      <c r="M797" s="3" t="str">
        <f>IFERROR(MID(D797,SEARCH("S_I_",D797,1),3),"")</f>
        <v>S_I</v>
      </c>
      <c r="N797" s="3" t="str">
        <f>IFERROR(MID(D797,SEARCH("C_I_",D797,1),3),"")</f>
        <v/>
      </c>
      <c r="O797" s="3" t="str">
        <f>IF(AND(M797="",N797=""),"Extra","")</f>
        <v/>
      </c>
      <c r="P797" s="3" t="str">
        <f>IF(Q797=0,"TERCEIRO","MRS")</f>
        <v>MRS</v>
      </c>
      <c r="Q797" s="8" t="str">
        <f>IFERROR(VLOOKUP(L797,#REF!,4,0),"0,00")</f>
        <v>0,00</v>
      </c>
      <c r="R797" s="9" t="s">
        <v>42</v>
      </c>
      <c r="S797" s="9">
        <f>COUNTIF(D797,"*_SEG_*")</f>
        <v>0</v>
      </c>
      <c r="T797" s="9">
        <f>COUNTIF(D797,"*_MAN_*")</f>
        <v>0</v>
      </c>
      <c r="U797" s="9">
        <f>(RIGHT(D797,4))*1</f>
        <v>30</v>
      </c>
      <c r="V797" s="9" t="str">
        <f>IFERROR(VLOOKUP(I797,#REF!,2,0),"Sinalização")</f>
        <v>Sinalização</v>
      </c>
    </row>
    <row r="798" spans="1:22" x14ac:dyDescent="0.25">
      <c r="A798" s="3" t="s">
        <v>22</v>
      </c>
      <c r="B798" s="4">
        <v>23510164</v>
      </c>
      <c r="C798" s="5" t="s">
        <v>23</v>
      </c>
      <c r="D798" s="6" t="s">
        <v>820</v>
      </c>
      <c r="E798" s="6" t="s">
        <v>25</v>
      </c>
      <c r="F798" s="11">
        <v>46165</v>
      </c>
      <c r="G798" s="6" t="s">
        <v>1079</v>
      </c>
      <c r="H798" s="7" t="s">
        <v>32</v>
      </c>
      <c r="I798" s="7" t="s">
        <v>125</v>
      </c>
      <c r="J798" s="7" t="s">
        <v>822</v>
      </c>
      <c r="K798" s="7" t="s">
        <v>29</v>
      </c>
      <c r="L798" s="3" t="str">
        <f>E798&amp;D798</f>
        <v>E.SP.IPAEE_INS_CONF_S_I_BL INT RELÉ S/ BAT_0030</v>
      </c>
      <c r="M798" s="3" t="str">
        <f>IFERROR(MID(D798,SEARCH("S_I_",D798,1),3),"")</f>
        <v>S_I</v>
      </c>
      <c r="N798" s="3" t="str">
        <f>IFERROR(MID(D798,SEARCH("C_I_",D798,1),3),"")</f>
        <v/>
      </c>
      <c r="O798" s="3" t="str">
        <f>IF(AND(M798="",N798=""),"Extra","")</f>
        <v/>
      </c>
      <c r="P798" s="3" t="str">
        <f>IF(Q798=0,"TERCEIRO","MRS")</f>
        <v>MRS</v>
      </c>
      <c r="Q798" s="8" t="str">
        <f>IFERROR(VLOOKUP(L798,#REF!,4,0),"0,00")</f>
        <v>0,00</v>
      </c>
      <c r="R798" s="9" t="s">
        <v>42</v>
      </c>
      <c r="S798" s="9">
        <f>COUNTIF(D798,"*_SEG_*")</f>
        <v>0</v>
      </c>
      <c r="T798" s="9">
        <f>COUNTIF(D798,"*_MAN_*")</f>
        <v>0</v>
      </c>
      <c r="U798" s="9">
        <f>(RIGHT(D798,4))*1</f>
        <v>30</v>
      </c>
      <c r="V798" s="9" t="str">
        <f>IFERROR(VLOOKUP(I798,#REF!,2,0),"Sinalização")</f>
        <v>Sinalização</v>
      </c>
    </row>
    <row r="799" spans="1:22" x14ac:dyDescent="0.25">
      <c r="A799" s="3" t="s">
        <v>22</v>
      </c>
      <c r="B799" s="4">
        <v>23510165</v>
      </c>
      <c r="C799" s="5" t="s">
        <v>23</v>
      </c>
      <c r="D799" s="6" t="s">
        <v>820</v>
      </c>
      <c r="E799" s="6" t="s">
        <v>25</v>
      </c>
      <c r="F799" s="11">
        <v>46165</v>
      </c>
      <c r="G799" s="6" t="s">
        <v>1079</v>
      </c>
      <c r="H799" s="7" t="s">
        <v>26</v>
      </c>
      <c r="I799" s="7" t="s">
        <v>494</v>
      </c>
      <c r="J799" s="7" t="s">
        <v>822</v>
      </c>
      <c r="K799" s="7" t="s">
        <v>29</v>
      </c>
      <c r="L799" s="3" t="str">
        <f>E799&amp;D799</f>
        <v>E.SP.IPAEE_INS_CONF_S_I_BL INT RELÉ S/ BAT_0030</v>
      </c>
      <c r="M799" s="3" t="str">
        <f>IFERROR(MID(D799,SEARCH("S_I_",D799,1),3),"")</f>
        <v>S_I</v>
      </c>
      <c r="N799" s="3" t="str">
        <f>IFERROR(MID(D799,SEARCH("C_I_",D799,1),3),"")</f>
        <v/>
      </c>
      <c r="O799" s="3" t="str">
        <f>IF(AND(M799="",N799=""),"Extra","")</f>
        <v/>
      </c>
      <c r="P799" s="3" t="str">
        <f>IF(Q799=0,"TERCEIRO","MRS")</f>
        <v>MRS</v>
      </c>
      <c r="Q799" s="8" t="str">
        <f>IFERROR(VLOOKUP(L799,#REF!,4,0),"0,00")</f>
        <v>0,00</v>
      </c>
      <c r="R799" s="9" t="s">
        <v>42</v>
      </c>
      <c r="S799" s="9">
        <f>COUNTIF(D799,"*_SEG_*")</f>
        <v>0</v>
      </c>
      <c r="T799" s="9">
        <f>COUNTIF(D799,"*_MAN_*")</f>
        <v>0</v>
      </c>
      <c r="U799" s="9">
        <f>(RIGHT(D799,4))*1</f>
        <v>30</v>
      </c>
      <c r="V799" s="9" t="str">
        <f>IFERROR(VLOOKUP(I799,#REF!,2,0),"Sinalização")</f>
        <v>Sinalização</v>
      </c>
    </row>
    <row r="800" spans="1:22" x14ac:dyDescent="0.25">
      <c r="A800" s="3" t="s">
        <v>22</v>
      </c>
      <c r="B800" s="4">
        <v>23510220</v>
      </c>
      <c r="C800" s="5" t="s">
        <v>23</v>
      </c>
      <c r="D800" s="6" t="s">
        <v>972</v>
      </c>
      <c r="E800" s="6" t="s">
        <v>25</v>
      </c>
      <c r="F800" s="11">
        <v>46165</v>
      </c>
      <c r="G800" s="6" t="s">
        <v>1079</v>
      </c>
      <c r="H800" s="7" t="s">
        <v>26</v>
      </c>
      <c r="I800" s="7" t="s">
        <v>973</v>
      </c>
      <c r="J800" s="7" t="s">
        <v>974</v>
      </c>
      <c r="K800" s="7" t="s">
        <v>29</v>
      </c>
      <c r="L800" s="3" t="str">
        <f>E800&amp;D800</f>
        <v>E.SP.IPAEE_INS_SEG_S_I_CAMPAINHA DE P.N._0030</v>
      </c>
      <c r="M800" s="3" t="str">
        <f>IFERROR(MID(D800,SEARCH("S_I_",D800,1),3),"")</f>
        <v>S_I</v>
      </c>
      <c r="N800" s="3" t="str">
        <f>IFERROR(MID(D800,SEARCH("C_I_",D800,1),3),"")</f>
        <v/>
      </c>
      <c r="O800" s="3" t="str">
        <f>IF(AND(M800="",N800=""),"Extra","")</f>
        <v/>
      </c>
      <c r="P800" s="3" t="str">
        <f>IF(Q800=0,"TERCEIRO","MRS")</f>
        <v>MRS</v>
      </c>
      <c r="Q800" s="8" t="str">
        <f>IFERROR(VLOOKUP(L800,#REF!,4,0),"0,00")</f>
        <v>0,00</v>
      </c>
      <c r="R800" s="9" t="s">
        <v>30</v>
      </c>
      <c r="S800" s="9">
        <f>COUNTIF(D800,"*_SEG_*")</f>
        <v>1</v>
      </c>
      <c r="T800" s="9">
        <f>COUNTIF(D800,"*_MAN_*")</f>
        <v>0</v>
      </c>
      <c r="U800" s="9">
        <f>(RIGHT(D800,4))*1</f>
        <v>30</v>
      </c>
      <c r="V800" s="9" t="str">
        <f>IFERROR(VLOOKUP(I800,#REF!,2,0),"Sinalização")</f>
        <v>Sinalização</v>
      </c>
    </row>
    <row r="801" spans="1:22" x14ac:dyDescent="0.25">
      <c r="A801" s="3" t="s">
        <v>22</v>
      </c>
      <c r="B801" s="4">
        <v>23510221</v>
      </c>
      <c r="C801" s="5" t="s">
        <v>23</v>
      </c>
      <c r="D801" s="6" t="s">
        <v>972</v>
      </c>
      <c r="E801" s="6" t="s">
        <v>25</v>
      </c>
      <c r="F801" s="11">
        <v>46165</v>
      </c>
      <c r="G801" s="6" t="s">
        <v>1079</v>
      </c>
      <c r="H801" s="7" t="s">
        <v>32</v>
      </c>
      <c r="I801" s="7" t="s">
        <v>975</v>
      </c>
      <c r="J801" s="7" t="s">
        <v>974</v>
      </c>
      <c r="K801" s="7" t="s">
        <v>29</v>
      </c>
      <c r="L801" s="3" t="str">
        <f>E801&amp;D801</f>
        <v>E.SP.IPAEE_INS_SEG_S_I_CAMPAINHA DE P.N._0030</v>
      </c>
      <c r="M801" s="3" t="str">
        <f>IFERROR(MID(D801,SEARCH("S_I_",D801,1),3),"")</f>
        <v>S_I</v>
      </c>
      <c r="N801" s="3" t="str">
        <f>IFERROR(MID(D801,SEARCH("C_I_",D801,1),3),"")</f>
        <v/>
      </c>
      <c r="O801" s="3" t="str">
        <f>IF(AND(M801="",N801=""),"Extra","")</f>
        <v/>
      </c>
      <c r="P801" s="3" t="str">
        <f>IF(Q801=0,"TERCEIRO","MRS")</f>
        <v>MRS</v>
      </c>
      <c r="Q801" s="8" t="str">
        <f>IFERROR(VLOOKUP(L801,#REF!,4,0),"0,00")</f>
        <v>0,00</v>
      </c>
      <c r="R801" s="9" t="s">
        <v>30</v>
      </c>
      <c r="S801" s="9">
        <f>COUNTIF(D801,"*_SEG_*")</f>
        <v>1</v>
      </c>
      <c r="T801" s="9">
        <f>COUNTIF(D801,"*_MAN_*")</f>
        <v>0</v>
      </c>
      <c r="U801" s="9">
        <f>(RIGHT(D801,4))*1</f>
        <v>30</v>
      </c>
      <c r="V801" s="9" t="str">
        <f>IFERROR(VLOOKUP(I801,#REF!,2,0),"Sinalização")</f>
        <v>Sinalização</v>
      </c>
    </row>
    <row r="802" spans="1:22" x14ac:dyDescent="0.25">
      <c r="A802" s="3" t="s">
        <v>22</v>
      </c>
      <c r="B802" s="4">
        <v>23510222</v>
      </c>
      <c r="C802" s="5" t="s">
        <v>23</v>
      </c>
      <c r="D802" s="6" t="s">
        <v>972</v>
      </c>
      <c r="E802" s="6" t="s">
        <v>25</v>
      </c>
      <c r="F802" s="11">
        <v>46165</v>
      </c>
      <c r="G802" s="6" t="s">
        <v>1079</v>
      </c>
      <c r="H802" s="7" t="s">
        <v>32</v>
      </c>
      <c r="I802" s="7" t="s">
        <v>976</v>
      </c>
      <c r="J802" s="7" t="s">
        <v>974</v>
      </c>
      <c r="K802" s="7" t="s">
        <v>29</v>
      </c>
      <c r="L802" s="3" t="str">
        <f>E802&amp;D802</f>
        <v>E.SP.IPAEE_INS_SEG_S_I_CAMPAINHA DE P.N._0030</v>
      </c>
      <c r="M802" s="3" t="str">
        <f>IFERROR(MID(D802,SEARCH("S_I_",D802,1),3),"")</f>
        <v>S_I</v>
      </c>
      <c r="N802" s="3" t="str">
        <f>IFERROR(MID(D802,SEARCH("C_I_",D802,1),3),"")</f>
        <v/>
      </c>
      <c r="O802" s="3" t="str">
        <f>IF(AND(M802="",N802=""),"Extra","")</f>
        <v/>
      </c>
      <c r="P802" s="3" t="str">
        <f>IF(Q802=0,"TERCEIRO","MRS")</f>
        <v>MRS</v>
      </c>
      <c r="Q802" s="8" t="str">
        <f>IFERROR(VLOOKUP(L802,#REF!,4,0),"0,00")</f>
        <v>0,00</v>
      </c>
      <c r="R802" s="9" t="s">
        <v>30</v>
      </c>
      <c r="S802" s="9">
        <f>COUNTIF(D802,"*_SEG_*")</f>
        <v>1</v>
      </c>
      <c r="T802" s="9">
        <f>COUNTIF(D802,"*_MAN_*")</f>
        <v>0</v>
      </c>
      <c r="U802" s="9">
        <f>(RIGHT(D802,4))*1</f>
        <v>30</v>
      </c>
      <c r="V802" s="9" t="str">
        <f>IFERROR(VLOOKUP(I802,#REF!,2,0),"Sinalização")</f>
        <v>Sinalização</v>
      </c>
    </row>
    <row r="803" spans="1:22" x14ac:dyDescent="0.25">
      <c r="A803" s="3" t="s">
        <v>22</v>
      </c>
      <c r="B803" s="4">
        <v>23510223</v>
      </c>
      <c r="C803" s="5" t="s">
        <v>23</v>
      </c>
      <c r="D803" s="6" t="s">
        <v>972</v>
      </c>
      <c r="E803" s="6" t="s">
        <v>25</v>
      </c>
      <c r="F803" s="11">
        <v>46165</v>
      </c>
      <c r="G803" s="6" t="s">
        <v>1079</v>
      </c>
      <c r="H803" s="7" t="s">
        <v>26</v>
      </c>
      <c r="I803" s="7" t="s">
        <v>977</v>
      </c>
      <c r="J803" s="7" t="s">
        <v>974</v>
      </c>
      <c r="K803" s="7" t="s">
        <v>29</v>
      </c>
      <c r="L803" s="3" t="str">
        <f>E803&amp;D803</f>
        <v>E.SP.IPAEE_INS_SEG_S_I_CAMPAINHA DE P.N._0030</v>
      </c>
      <c r="M803" s="3" t="str">
        <f>IFERROR(MID(D803,SEARCH("S_I_",D803,1),3),"")</f>
        <v>S_I</v>
      </c>
      <c r="N803" s="3" t="str">
        <f>IFERROR(MID(D803,SEARCH("C_I_",D803,1),3),"")</f>
        <v/>
      </c>
      <c r="O803" s="3" t="str">
        <f>IF(AND(M803="",N803=""),"Extra","")</f>
        <v/>
      </c>
      <c r="P803" s="3" t="str">
        <f>IF(Q803=0,"TERCEIRO","MRS")</f>
        <v>MRS</v>
      </c>
      <c r="Q803" s="8" t="str">
        <f>IFERROR(VLOOKUP(L803,#REF!,4,0),"0,00")</f>
        <v>0,00</v>
      </c>
      <c r="R803" s="9" t="s">
        <v>30</v>
      </c>
      <c r="S803" s="9">
        <f>COUNTIF(D803,"*_SEG_*")</f>
        <v>1</v>
      </c>
      <c r="T803" s="9">
        <f>COUNTIF(D803,"*_MAN_*")</f>
        <v>0</v>
      </c>
      <c r="U803" s="9">
        <f>(RIGHT(D803,4))*1</f>
        <v>30</v>
      </c>
      <c r="V803" s="9" t="str">
        <f>IFERROR(VLOOKUP(I803,#REF!,2,0),"Sinalização")</f>
        <v>Sinalização</v>
      </c>
    </row>
    <row r="804" spans="1:22" x14ac:dyDescent="0.25">
      <c r="A804" s="3" t="s">
        <v>22</v>
      </c>
      <c r="B804" s="4">
        <v>23510224</v>
      </c>
      <c r="C804" s="5" t="s">
        <v>23</v>
      </c>
      <c r="D804" s="6" t="s">
        <v>972</v>
      </c>
      <c r="E804" s="6" t="s">
        <v>25</v>
      </c>
      <c r="F804" s="11">
        <v>46165</v>
      </c>
      <c r="G804" s="6" t="s">
        <v>1079</v>
      </c>
      <c r="H804" s="7" t="s">
        <v>26</v>
      </c>
      <c r="I804" s="7" t="s">
        <v>978</v>
      </c>
      <c r="J804" s="7" t="s">
        <v>974</v>
      </c>
      <c r="K804" s="7" t="s">
        <v>29</v>
      </c>
      <c r="L804" s="3" t="str">
        <f>E804&amp;D804</f>
        <v>E.SP.IPAEE_INS_SEG_S_I_CAMPAINHA DE P.N._0030</v>
      </c>
      <c r="M804" s="3" t="str">
        <f>IFERROR(MID(D804,SEARCH("S_I_",D804,1),3),"")</f>
        <v>S_I</v>
      </c>
      <c r="N804" s="3" t="str">
        <f>IFERROR(MID(D804,SEARCH("C_I_",D804,1),3),"")</f>
        <v/>
      </c>
      <c r="O804" s="3" t="str">
        <f>IF(AND(M804="",N804=""),"Extra","")</f>
        <v/>
      </c>
      <c r="P804" s="3" t="str">
        <f>IF(Q804=0,"TERCEIRO","MRS")</f>
        <v>MRS</v>
      </c>
      <c r="Q804" s="8" t="str">
        <f>IFERROR(VLOOKUP(L804,#REF!,4,0),"0,00")</f>
        <v>0,00</v>
      </c>
      <c r="R804" s="9" t="s">
        <v>30</v>
      </c>
      <c r="S804" s="9">
        <f>COUNTIF(D804,"*_SEG_*")</f>
        <v>1</v>
      </c>
      <c r="T804" s="9">
        <f>COUNTIF(D804,"*_MAN_*")</f>
        <v>0</v>
      </c>
      <c r="U804" s="9">
        <f>(RIGHT(D804,4))*1</f>
        <v>30</v>
      </c>
      <c r="V804" s="9" t="str">
        <f>IFERROR(VLOOKUP(I804,#REF!,2,0),"Sinalização")</f>
        <v>Sinalização</v>
      </c>
    </row>
    <row r="805" spans="1:22" x14ac:dyDescent="0.25">
      <c r="A805" s="3" t="s">
        <v>22</v>
      </c>
      <c r="B805" s="4">
        <v>23510225</v>
      </c>
      <c r="C805" s="5" t="s">
        <v>23</v>
      </c>
      <c r="D805" s="6" t="s">
        <v>972</v>
      </c>
      <c r="E805" s="6" t="s">
        <v>25</v>
      </c>
      <c r="F805" s="11">
        <v>46165</v>
      </c>
      <c r="G805" s="6" t="s">
        <v>1079</v>
      </c>
      <c r="H805" s="7" t="s">
        <v>32</v>
      </c>
      <c r="I805" s="7" t="s">
        <v>979</v>
      </c>
      <c r="J805" s="7" t="s">
        <v>974</v>
      </c>
      <c r="K805" s="7" t="s">
        <v>29</v>
      </c>
      <c r="L805" s="3" t="str">
        <f>E805&amp;D805</f>
        <v>E.SP.IPAEE_INS_SEG_S_I_CAMPAINHA DE P.N._0030</v>
      </c>
      <c r="M805" s="3" t="str">
        <f>IFERROR(MID(D805,SEARCH("S_I_",D805,1),3),"")</f>
        <v>S_I</v>
      </c>
      <c r="N805" s="3" t="str">
        <f>IFERROR(MID(D805,SEARCH("C_I_",D805,1),3),"")</f>
        <v/>
      </c>
      <c r="O805" s="3" t="str">
        <f>IF(AND(M805="",N805=""),"Extra","")</f>
        <v/>
      </c>
      <c r="P805" s="3" t="str">
        <f>IF(Q805=0,"TERCEIRO","MRS")</f>
        <v>MRS</v>
      </c>
      <c r="Q805" s="8" t="str">
        <f>IFERROR(VLOOKUP(L805,#REF!,4,0),"0,00")</f>
        <v>0,00</v>
      </c>
      <c r="R805" s="9" t="s">
        <v>30</v>
      </c>
      <c r="S805" s="9">
        <f>COUNTIF(D805,"*_SEG_*")</f>
        <v>1</v>
      </c>
      <c r="T805" s="9">
        <f>COUNTIF(D805,"*_MAN_*")</f>
        <v>0</v>
      </c>
      <c r="U805" s="9">
        <f>(RIGHT(D805,4))*1</f>
        <v>30</v>
      </c>
      <c r="V805" s="9" t="str">
        <f>IFERROR(VLOOKUP(I805,#REF!,2,0),"Sinalização")</f>
        <v>Sinalização</v>
      </c>
    </row>
    <row r="806" spans="1:22" x14ac:dyDescent="0.25">
      <c r="A806" s="3" t="s">
        <v>22</v>
      </c>
      <c r="B806" s="4">
        <v>23510226</v>
      </c>
      <c r="C806" s="5" t="s">
        <v>23</v>
      </c>
      <c r="D806" s="6" t="s">
        <v>972</v>
      </c>
      <c r="E806" s="6" t="s">
        <v>25</v>
      </c>
      <c r="F806" s="11">
        <v>46165</v>
      </c>
      <c r="G806" s="6" t="s">
        <v>1079</v>
      </c>
      <c r="H806" s="7" t="s">
        <v>32</v>
      </c>
      <c r="I806" s="7" t="s">
        <v>980</v>
      </c>
      <c r="J806" s="7" t="s">
        <v>974</v>
      </c>
      <c r="K806" s="7" t="s">
        <v>29</v>
      </c>
      <c r="L806" s="3" t="str">
        <f>E806&amp;D806</f>
        <v>E.SP.IPAEE_INS_SEG_S_I_CAMPAINHA DE P.N._0030</v>
      </c>
      <c r="M806" s="3" t="str">
        <f>IFERROR(MID(D806,SEARCH("S_I_",D806,1),3),"")</f>
        <v>S_I</v>
      </c>
      <c r="N806" s="3" t="str">
        <f>IFERROR(MID(D806,SEARCH("C_I_",D806,1),3),"")</f>
        <v/>
      </c>
      <c r="O806" s="3" t="str">
        <f>IF(AND(M806="",N806=""),"Extra","")</f>
        <v/>
      </c>
      <c r="P806" s="3" t="str">
        <f>IF(Q806=0,"TERCEIRO","MRS")</f>
        <v>MRS</v>
      </c>
      <c r="Q806" s="8" t="str">
        <f>IFERROR(VLOOKUP(L806,#REF!,4,0),"0,00")</f>
        <v>0,00</v>
      </c>
      <c r="R806" s="9" t="s">
        <v>30</v>
      </c>
      <c r="S806" s="9">
        <f>COUNTIF(D806,"*_SEG_*")</f>
        <v>1</v>
      </c>
      <c r="T806" s="9">
        <f>COUNTIF(D806,"*_MAN_*")</f>
        <v>0</v>
      </c>
      <c r="U806" s="9">
        <f>(RIGHT(D806,4))*1</f>
        <v>30</v>
      </c>
      <c r="V806" s="9" t="str">
        <f>IFERROR(VLOOKUP(I806,#REF!,2,0),"Sinalização")</f>
        <v>Sinalização</v>
      </c>
    </row>
    <row r="807" spans="1:22" x14ac:dyDescent="0.25">
      <c r="A807" s="3" t="s">
        <v>22</v>
      </c>
      <c r="B807" s="4">
        <v>23510227</v>
      </c>
      <c r="C807" s="5" t="s">
        <v>23</v>
      </c>
      <c r="D807" s="6" t="s">
        <v>972</v>
      </c>
      <c r="E807" s="6" t="s">
        <v>25</v>
      </c>
      <c r="F807" s="11">
        <v>46165</v>
      </c>
      <c r="G807" s="6" t="s">
        <v>1079</v>
      </c>
      <c r="H807" s="7" t="s">
        <v>26</v>
      </c>
      <c r="I807" s="7" t="s">
        <v>981</v>
      </c>
      <c r="J807" s="7" t="s">
        <v>974</v>
      </c>
      <c r="K807" s="7" t="s">
        <v>29</v>
      </c>
      <c r="L807" s="3" t="str">
        <f>E807&amp;D807</f>
        <v>E.SP.IPAEE_INS_SEG_S_I_CAMPAINHA DE P.N._0030</v>
      </c>
      <c r="M807" s="3" t="str">
        <f>IFERROR(MID(D807,SEARCH("S_I_",D807,1),3),"")</f>
        <v>S_I</v>
      </c>
      <c r="N807" s="3" t="str">
        <f>IFERROR(MID(D807,SEARCH("C_I_",D807,1),3),"")</f>
        <v/>
      </c>
      <c r="O807" s="3" t="str">
        <f>IF(AND(M807="",N807=""),"Extra","")</f>
        <v/>
      </c>
      <c r="P807" s="3" t="str">
        <f>IF(Q807=0,"TERCEIRO","MRS")</f>
        <v>MRS</v>
      </c>
      <c r="Q807" s="8" t="str">
        <f>IFERROR(VLOOKUP(L807,#REF!,4,0),"0,00")</f>
        <v>0,00</v>
      </c>
      <c r="R807" s="9" t="s">
        <v>30</v>
      </c>
      <c r="S807" s="9">
        <f>COUNTIF(D807,"*_SEG_*")</f>
        <v>1</v>
      </c>
      <c r="T807" s="9">
        <f>COUNTIF(D807,"*_MAN_*")</f>
        <v>0</v>
      </c>
      <c r="U807" s="9">
        <f>(RIGHT(D807,4))*1</f>
        <v>30</v>
      </c>
      <c r="V807" s="9" t="str">
        <f>IFERROR(VLOOKUP(I807,#REF!,2,0),"Sinalização")</f>
        <v>Sinalização</v>
      </c>
    </row>
    <row r="808" spans="1:22" x14ac:dyDescent="0.25">
      <c r="A808" s="3" t="s">
        <v>22</v>
      </c>
      <c r="B808" s="4">
        <v>23510228</v>
      </c>
      <c r="C808" s="5" t="s">
        <v>23</v>
      </c>
      <c r="D808" s="6" t="s">
        <v>972</v>
      </c>
      <c r="E808" s="6" t="s">
        <v>25</v>
      </c>
      <c r="F808" s="11">
        <v>46165</v>
      </c>
      <c r="G808" s="6" t="s">
        <v>1079</v>
      </c>
      <c r="H808" s="7" t="s">
        <v>26</v>
      </c>
      <c r="I808" s="7" t="s">
        <v>982</v>
      </c>
      <c r="J808" s="7" t="s">
        <v>974</v>
      </c>
      <c r="K808" s="7" t="s">
        <v>29</v>
      </c>
      <c r="L808" s="3" t="str">
        <f>E808&amp;D808</f>
        <v>E.SP.IPAEE_INS_SEG_S_I_CAMPAINHA DE P.N._0030</v>
      </c>
      <c r="M808" s="3" t="str">
        <f>IFERROR(MID(D808,SEARCH("S_I_",D808,1),3),"")</f>
        <v>S_I</v>
      </c>
      <c r="N808" s="3" t="str">
        <f>IFERROR(MID(D808,SEARCH("C_I_",D808,1),3),"")</f>
        <v/>
      </c>
      <c r="O808" s="3" t="str">
        <f>IF(AND(M808="",N808=""),"Extra","")</f>
        <v/>
      </c>
      <c r="P808" s="3" t="str">
        <f>IF(Q808=0,"TERCEIRO","MRS")</f>
        <v>MRS</v>
      </c>
      <c r="Q808" s="8" t="str">
        <f>IFERROR(VLOOKUP(L808,#REF!,4,0),"0,00")</f>
        <v>0,00</v>
      </c>
      <c r="R808" s="9" t="s">
        <v>30</v>
      </c>
      <c r="S808" s="9">
        <f>COUNTIF(D808,"*_SEG_*")</f>
        <v>1</v>
      </c>
      <c r="T808" s="9">
        <f>COUNTIF(D808,"*_MAN_*")</f>
        <v>0</v>
      </c>
      <c r="U808" s="9">
        <f>(RIGHT(D808,4))*1</f>
        <v>30</v>
      </c>
      <c r="V808" s="9" t="str">
        <f>IFERROR(VLOOKUP(I808,#REF!,2,0),"Sinalização")</f>
        <v>Sinalização</v>
      </c>
    </row>
    <row r="809" spans="1:22" x14ac:dyDescent="0.25">
      <c r="A809" s="3" t="s">
        <v>22</v>
      </c>
      <c r="B809" s="4">
        <v>23510229</v>
      </c>
      <c r="C809" s="5" t="s">
        <v>23</v>
      </c>
      <c r="D809" s="6" t="s">
        <v>972</v>
      </c>
      <c r="E809" s="6" t="s">
        <v>25</v>
      </c>
      <c r="F809" s="11">
        <v>46165</v>
      </c>
      <c r="G809" s="6" t="s">
        <v>1079</v>
      </c>
      <c r="H809" s="7" t="s">
        <v>32</v>
      </c>
      <c r="I809" s="7" t="s">
        <v>983</v>
      </c>
      <c r="J809" s="7" t="s">
        <v>974</v>
      </c>
      <c r="K809" s="7" t="s">
        <v>29</v>
      </c>
      <c r="L809" s="3" t="str">
        <f>E809&amp;D809</f>
        <v>E.SP.IPAEE_INS_SEG_S_I_CAMPAINHA DE P.N._0030</v>
      </c>
      <c r="M809" s="3" t="str">
        <f>IFERROR(MID(D809,SEARCH("S_I_",D809,1),3),"")</f>
        <v>S_I</v>
      </c>
      <c r="N809" s="3" t="str">
        <f>IFERROR(MID(D809,SEARCH("C_I_",D809,1),3),"")</f>
        <v/>
      </c>
      <c r="O809" s="3" t="str">
        <f>IF(AND(M809="",N809=""),"Extra","")</f>
        <v/>
      </c>
      <c r="P809" s="3" t="str">
        <f>IF(Q809=0,"TERCEIRO","MRS")</f>
        <v>MRS</v>
      </c>
      <c r="Q809" s="8" t="str">
        <f>IFERROR(VLOOKUP(L809,#REF!,4,0),"0,00")</f>
        <v>0,00</v>
      </c>
      <c r="R809" s="9" t="s">
        <v>30</v>
      </c>
      <c r="S809" s="9">
        <f>COUNTIF(D809,"*_SEG_*")</f>
        <v>1</v>
      </c>
      <c r="T809" s="9">
        <f>COUNTIF(D809,"*_MAN_*")</f>
        <v>0</v>
      </c>
      <c r="U809" s="9">
        <f>(RIGHT(D809,4))*1</f>
        <v>30</v>
      </c>
      <c r="V809" s="9" t="str">
        <f>IFERROR(VLOOKUP(I809,#REF!,2,0),"Sinalização")</f>
        <v>Sinalização</v>
      </c>
    </row>
    <row r="810" spans="1:22" x14ac:dyDescent="0.25">
      <c r="A810" s="3" t="s">
        <v>22</v>
      </c>
      <c r="B810" s="4">
        <v>23510235</v>
      </c>
      <c r="C810" s="5" t="s">
        <v>23</v>
      </c>
      <c r="D810" s="6" t="s">
        <v>984</v>
      </c>
      <c r="E810" s="6" t="s">
        <v>25</v>
      </c>
      <c r="F810" s="11">
        <v>46165</v>
      </c>
      <c r="G810" s="6" t="s">
        <v>1079</v>
      </c>
      <c r="H810" s="7" t="s">
        <v>32</v>
      </c>
      <c r="I810" s="7" t="s">
        <v>188</v>
      </c>
      <c r="J810" s="7" t="s">
        <v>958</v>
      </c>
      <c r="K810" s="7" t="s">
        <v>29</v>
      </c>
      <c r="L810" s="3" t="str">
        <f>E810&amp;D810</f>
        <v>E.SP.IPAEE_INS_SEG_C_I_MCH 110VCC GRS 55BR_0030</v>
      </c>
      <c r="M810" s="3" t="str">
        <f>IFERROR(MID(D810,SEARCH("S_I_",D810,1),3),"")</f>
        <v/>
      </c>
      <c r="N810" s="3" t="str">
        <f>IFERROR(MID(D810,SEARCH("C_I_",D810,1),3),"")</f>
        <v>C_I</v>
      </c>
      <c r="O810" s="3" t="str">
        <f>IF(AND(M810="",N810=""),"Extra","")</f>
        <v/>
      </c>
      <c r="P810" s="3" t="str">
        <f>IF(Q810=0,"TERCEIRO","MRS")</f>
        <v>MRS</v>
      </c>
      <c r="Q810" s="8" t="str">
        <f>IFERROR(VLOOKUP(L810,#REF!,4,0),"0,00")</f>
        <v>0,00</v>
      </c>
      <c r="R810" s="9" t="s">
        <v>30</v>
      </c>
      <c r="S810" s="9">
        <f>COUNTIF(D810,"*_SEG_*")</f>
        <v>1</v>
      </c>
      <c r="T810" s="9">
        <f>COUNTIF(D810,"*_MAN_*")</f>
        <v>0</v>
      </c>
      <c r="U810" s="9">
        <f>(RIGHT(D810,4))*1</f>
        <v>30</v>
      </c>
      <c r="V810" s="9" t="str">
        <f>IFERROR(VLOOKUP(I810,#REF!,2,0),"Sinalização")</f>
        <v>Sinalização</v>
      </c>
    </row>
    <row r="811" spans="1:22" x14ac:dyDescent="0.25">
      <c r="A811" s="3" t="s">
        <v>22</v>
      </c>
      <c r="B811" s="4">
        <v>23510236</v>
      </c>
      <c r="C811" s="5" t="s">
        <v>23</v>
      </c>
      <c r="D811" s="6" t="s">
        <v>984</v>
      </c>
      <c r="E811" s="6" t="s">
        <v>25</v>
      </c>
      <c r="F811" s="11">
        <v>46165</v>
      </c>
      <c r="G811" s="6" t="s">
        <v>1079</v>
      </c>
      <c r="H811" s="7" t="s">
        <v>26</v>
      </c>
      <c r="I811" s="7" t="s">
        <v>190</v>
      </c>
      <c r="J811" s="7" t="s">
        <v>958</v>
      </c>
      <c r="K811" s="7" t="s">
        <v>29</v>
      </c>
      <c r="L811" s="3" t="str">
        <f>E811&amp;D811</f>
        <v>E.SP.IPAEE_INS_SEG_C_I_MCH 110VCC GRS 55BR_0030</v>
      </c>
      <c r="M811" s="3" t="str">
        <f>IFERROR(MID(D811,SEARCH("S_I_",D811,1),3),"")</f>
        <v/>
      </c>
      <c r="N811" s="3" t="str">
        <f>IFERROR(MID(D811,SEARCH("C_I_",D811,1),3),"")</f>
        <v>C_I</v>
      </c>
      <c r="O811" s="3" t="str">
        <f>IF(AND(M811="",N811=""),"Extra","")</f>
        <v/>
      </c>
      <c r="P811" s="3" t="str">
        <f>IF(Q811=0,"TERCEIRO","MRS")</f>
        <v>MRS</v>
      </c>
      <c r="Q811" s="8" t="str">
        <f>IFERROR(VLOOKUP(L811,#REF!,4,0),"0,00")</f>
        <v>0,00</v>
      </c>
      <c r="R811" s="9" t="s">
        <v>30</v>
      </c>
      <c r="S811" s="9">
        <f>COUNTIF(D811,"*_SEG_*")</f>
        <v>1</v>
      </c>
      <c r="T811" s="9">
        <f>COUNTIF(D811,"*_MAN_*")</f>
        <v>0</v>
      </c>
      <c r="U811" s="9">
        <f>(RIGHT(D811,4))*1</f>
        <v>30</v>
      </c>
      <c r="V811" s="9" t="str">
        <f>IFERROR(VLOOKUP(I811,#REF!,2,0),"Sinalização")</f>
        <v>Sinalização</v>
      </c>
    </row>
    <row r="812" spans="1:22" x14ac:dyDescent="0.25">
      <c r="A812" s="3" t="s">
        <v>22</v>
      </c>
      <c r="B812" s="4">
        <v>23510237</v>
      </c>
      <c r="C812" s="5" t="s">
        <v>23</v>
      </c>
      <c r="D812" s="6" t="s">
        <v>984</v>
      </c>
      <c r="E812" s="6" t="s">
        <v>25</v>
      </c>
      <c r="F812" s="11">
        <v>46165</v>
      </c>
      <c r="G812" s="6" t="s">
        <v>1079</v>
      </c>
      <c r="H812" s="7" t="s">
        <v>26</v>
      </c>
      <c r="I812" s="7" t="s">
        <v>192</v>
      </c>
      <c r="J812" s="7" t="s">
        <v>958</v>
      </c>
      <c r="K812" s="7" t="s">
        <v>29</v>
      </c>
      <c r="L812" s="3" t="str">
        <f>E812&amp;D812</f>
        <v>E.SP.IPAEE_INS_SEG_C_I_MCH 110VCC GRS 55BR_0030</v>
      </c>
      <c r="M812" s="3" t="str">
        <f>IFERROR(MID(D812,SEARCH("S_I_",D812,1),3),"")</f>
        <v/>
      </c>
      <c r="N812" s="3" t="str">
        <f>IFERROR(MID(D812,SEARCH("C_I_",D812,1),3),"")</f>
        <v>C_I</v>
      </c>
      <c r="O812" s="3" t="str">
        <f>IF(AND(M812="",N812=""),"Extra","")</f>
        <v/>
      </c>
      <c r="P812" s="3" t="str">
        <f>IF(Q812=0,"TERCEIRO","MRS")</f>
        <v>MRS</v>
      </c>
      <c r="Q812" s="8" t="str">
        <f>IFERROR(VLOOKUP(L812,#REF!,4,0),"0,00")</f>
        <v>0,00</v>
      </c>
      <c r="R812" s="9" t="s">
        <v>30</v>
      </c>
      <c r="S812" s="9">
        <f>COUNTIF(D812,"*_SEG_*")</f>
        <v>1</v>
      </c>
      <c r="T812" s="9">
        <f>COUNTIF(D812,"*_MAN_*")</f>
        <v>0</v>
      </c>
      <c r="U812" s="9">
        <f>(RIGHT(D812,4))*1</f>
        <v>30</v>
      </c>
      <c r="V812" s="9" t="str">
        <f>IFERROR(VLOOKUP(I812,#REF!,2,0),"Sinalização")</f>
        <v>Sinalização</v>
      </c>
    </row>
    <row r="813" spans="1:22" x14ac:dyDescent="0.25">
      <c r="A813" s="3" t="s">
        <v>22</v>
      </c>
      <c r="B813" s="4">
        <v>23510238</v>
      </c>
      <c r="C813" s="5" t="s">
        <v>23</v>
      </c>
      <c r="D813" s="6" t="s">
        <v>984</v>
      </c>
      <c r="E813" s="6" t="s">
        <v>25</v>
      </c>
      <c r="F813" s="11">
        <v>46165</v>
      </c>
      <c r="G813" s="6" t="s">
        <v>1079</v>
      </c>
      <c r="H813" s="7" t="s">
        <v>32</v>
      </c>
      <c r="I813" s="7" t="s">
        <v>191</v>
      </c>
      <c r="J813" s="7" t="s">
        <v>958</v>
      </c>
      <c r="K813" s="7" t="s">
        <v>29</v>
      </c>
      <c r="L813" s="3" t="str">
        <f>E813&amp;D813</f>
        <v>E.SP.IPAEE_INS_SEG_C_I_MCH 110VCC GRS 55BR_0030</v>
      </c>
      <c r="M813" s="3" t="str">
        <f>IFERROR(MID(D813,SEARCH("S_I_",D813,1),3),"")</f>
        <v/>
      </c>
      <c r="N813" s="3" t="str">
        <f>IFERROR(MID(D813,SEARCH("C_I_",D813,1),3),"")</f>
        <v>C_I</v>
      </c>
      <c r="O813" s="3" t="str">
        <f>IF(AND(M813="",N813=""),"Extra","")</f>
        <v/>
      </c>
      <c r="P813" s="3" t="str">
        <f>IF(Q813=0,"TERCEIRO","MRS")</f>
        <v>MRS</v>
      </c>
      <c r="Q813" s="8" t="str">
        <f>IFERROR(VLOOKUP(L813,#REF!,4,0),"0,00")</f>
        <v>0,00</v>
      </c>
      <c r="R813" s="9" t="s">
        <v>30</v>
      </c>
      <c r="S813" s="9">
        <f>COUNTIF(D813,"*_SEG_*")</f>
        <v>1</v>
      </c>
      <c r="T813" s="9">
        <f>COUNTIF(D813,"*_MAN_*")</f>
        <v>0</v>
      </c>
      <c r="U813" s="9">
        <f>(RIGHT(D813,4))*1</f>
        <v>30</v>
      </c>
      <c r="V813" s="9" t="str">
        <f>IFERROR(VLOOKUP(I813,#REF!,2,0),"Sinalização")</f>
        <v>Sinalização</v>
      </c>
    </row>
    <row r="814" spans="1:22" x14ac:dyDescent="0.25">
      <c r="A814" s="3" t="s">
        <v>22</v>
      </c>
      <c r="B814" s="4">
        <v>23510239</v>
      </c>
      <c r="C814" s="5" t="s">
        <v>23</v>
      </c>
      <c r="D814" s="6" t="s">
        <v>985</v>
      </c>
      <c r="E814" s="6" t="s">
        <v>25</v>
      </c>
      <c r="F814" s="11">
        <v>46165</v>
      </c>
      <c r="G814" s="6" t="s">
        <v>1079</v>
      </c>
      <c r="H814" s="7" t="s">
        <v>32</v>
      </c>
      <c r="I814" s="7" t="s">
        <v>599</v>
      </c>
      <c r="J814" s="7" t="s">
        <v>958</v>
      </c>
      <c r="K814" s="7" t="s">
        <v>29</v>
      </c>
      <c r="L814" s="3" t="str">
        <f>E814&amp;D814</f>
        <v>E.SP.IPAEE_INS_SEG_C_I_MCH 110V GRS 55BR R_0030</v>
      </c>
      <c r="M814" s="3" t="str">
        <f>IFERROR(MID(D814,SEARCH("S_I_",D814,1),3),"")</f>
        <v/>
      </c>
      <c r="N814" s="3" t="str">
        <f>IFERROR(MID(D814,SEARCH("C_I_",D814,1),3),"")</f>
        <v>C_I</v>
      </c>
      <c r="O814" s="3" t="str">
        <f>IF(AND(M814="",N814=""),"Extra","")</f>
        <v/>
      </c>
      <c r="P814" s="3" t="str">
        <f>IF(Q814=0,"TERCEIRO","MRS")</f>
        <v>MRS</v>
      </c>
      <c r="Q814" s="8" t="str">
        <f>IFERROR(VLOOKUP(L814,#REF!,4,0),"0,00")</f>
        <v>0,00</v>
      </c>
      <c r="R814" s="9" t="s">
        <v>30</v>
      </c>
      <c r="S814" s="9">
        <f>COUNTIF(D814,"*_SEG_*")</f>
        <v>1</v>
      </c>
      <c r="T814" s="9">
        <f>COUNTIF(D814,"*_MAN_*")</f>
        <v>0</v>
      </c>
      <c r="U814" s="9">
        <f>(RIGHT(D814,4))*1</f>
        <v>30</v>
      </c>
      <c r="V814" s="9" t="str">
        <f>IFERROR(VLOOKUP(I814,#REF!,2,0),"Sinalização")</f>
        <v>Sinalização</v>
      </c>
    </row>
    <row r="815" spans="1:22" x14ac:dyDescent="0.25">
      <c r="A815" s="3" t="s">
        <v>22</v>
      </c>
      <c r="B815" s="4">
        <v>23510240</v>
      </c>
      <c r="C815" s="5" t="s">
        <v>23</v>
      </c>
      <c r="D815" s="6" t="s">
        <v>985</v>
      </c>
      <c r="E815" s="6" t="s">
        <v>25</v>
      </c>
      <c r="F815" s="11">
        <v>46165</v>
      </c>
      <c r="G815" s="6" t="s">
        <v>1079</v>
      </c>
      <c r="H815" s="7" t="s">
        <v>26</v>
      </c>
      <c r="I815" s="7" t="s">
        <v>456</v>
      </c>
      <c r="J815" s="7" t="s">
        <v>958</v>
      </c>
      <c r="K815" s="7" t="s">
        <v>29</v>
      </c>
      <c r="L815" s="3" t="str">
        <f>E815&amp;D815</f>
        <v>E.SP.IPAEE_INS_SEG_C_I_MCH 110V GRS 55BR R_0030</v>
      </c>
      <c r="M815" s="3" t="str">
        <f>IFERROR(MID(D815,SEARCH("S_I_",D815,1),3),"")</f>
        <v/>
      </c>
      <c r="N815" s="3" t="str">
        <f>IFERROR(MID(D815,SEARCH("C_I_",D815,1),3),"")</f>
        <v>C_I</v>
      </c>
      <c r="O815" s="3" t="str">
        <f>IF(AND(M815="",N815=""),"Extra","")</f>
        <v/>
      </c>
      <c r="P815" s="3" t="str">
        <f>IF(Q815=0,"TERCEIRO","MRS")</f>
        <v>MRS</v>
      </c>
      <c r="Q815" s="8" t="str">
        <f>IFERROR(VLOOKUP(L815,#REF!,4,0),"0,00")</f>
        <v>0,00</v>
      </c>
      <c r="R815" s="9" t="s">
        <v>30</v>
      </c>
      <c r="S815" s="9">
        <f>COUNTIF(D815,"*_SEG_*")</f>
        <v>1</v>
      </c>
      <c r="T815" s="9">
        <f>COUNTIF(D815,"*_MAN_*")</f>
        <v>0</v>
      </c>
      <c r="U815" s="9">
        <f>(RIGHT(D815,4))*1</f>
        <v>30</v>
      </c>
      <c r="V815" s="9" t="str">
        <f>IFERROR(VLOOKUP(I815,#REF!,2,0),"Sinalização")</f>
        <v>Sinalização</v>
      </c>
    </row>
    <row r="816" spans="1:22" x14ac:dyDescent="0.25">
      <c r="A816" s="3" t="s">
        <v>22</v>
      </c>
      <c r="B816" s="4">
        <v>23510241</v>
      </c>
      <c r="C816" s="5" t="s">
        <v>23</v>
      </c>
      <c r="D816" s="6" t="s">
        <v>985</v>
      </c>
      <c r="E816" s="6" t="s">
        <v>25</v>
      </c>
      <c r="F816" s="11">
        <v>46165</v>
      </c>
      <c r="G816" s="6" t="s">
        <v>1079</v>
      </c>
      <c r="H816" s="7" t="s">
        <v>26</v>
      </c>
      <c r="I816" s="7" t="s">
        <v>446</v>
      </c>
      <c r="J816" s="7" t="s">
        <v>958</v>
      </c>
      <c r="K816" s="7" t="s">
        <v>29</v>
      </c>
      <c r="L816" s="3" t="str">
        <f>E816&amp;D816</f>
        <v>E.SP.IPAEE_INS_SEG_C_I_MCH 110V GRS 55BR R_0030</v>
      </c>
      <c r="M816" s="3" t="str">
        <f>IFERROR(MID(D816,SEARCH("S_I_",D816,1),3),"")</f>
        <v/>
      </c>
      <c r="N816" s="3" t="str">
        <f>IFERROR(MID(D816,SEARCH("C_I_",D816,1),3),"")</f>
        <v>C_I</v>
      </c>
      <c r="O816" s="3" t="str">
        <f>IF(AND(M816="",N816=""),"Extra","")</f>
        <v/>
      </c>
      <c r="P816" s="3" t="str">
        <f>IF(Q816=0,"TERCEIRO","MRS")</f>
        <v>MRS</v>
      </c>
      <c r="Q816" s="8" t="str">
        <f>IFERROR(VLOOKUP(L816,#REF!,4,0),"0,00")</f>
        <v>0,00</v>
      </c>
      <c r="R816" s="9" t="s">
        <v>30</v>
      </c>
      <c r="S816" s="9">
        <f>COUNTIF(D816,"*_SEG_*")</f>
        <v>1</v>
      </c>
      <c r="T816" s="9">
        <f>COUNTIF(D816,"*_MAN_*")</f>
        <v>0</v>
      </c>
      <c r="U816" s="9">
        <f>(RIGHT(D816,4))*1</f>
        <v>30</v>
      </c>
      <c r="V816" s="9" t="str">
        <f>IFERROR(VLOOKUP(I816,#REF!,2,0),"Sinalização")</f>
        <v>Sinalização</v>
      </c>
    </row>
    <row r="817" spans="1:22" x14ac:dyDescent="0.25">
      <c r="A817" s="3" t="s">
        <v>22</v>
      </c>
      <c r="B817" s="4">
        <v>23510244</v>
      </c>
      <c r="C817" s="5" t="s">
        <v>23</v>
      </c>
      <c r="D817" s="6" t="s">
        <v>985</v>
      </c>
      <c r="E817" s="6" t="s">
        <v>25</v>
      </c>
      <c r="F817" s="11">
        <v>46165</v>
      </c>
      <c r="G817" s="6" t="s">
        <v>1079</v>
      </c>
      <c r="H817" s="7" t="s">
        <v>32</v>
      </c>
      <c r="I817" s="7" t="s">
        <v>247</v>
      </c>
      <c r="J817" s="7" t="s">
        <v>958</v>
      </c>
      <c r="K817" s="7" t="s">
        <v>29</v>
      </c>
      <c r="L817" s="3" t="str">
        <f>E817&amp;D817</f>
        <v>E.SP.IPAEE_INS_SEG_C_I_MCH 110V GRS 55BR R_0030</v>
      </c>
      <c r="M817" s="3" t="str">
        <f>IFERROR(MID(D817,SEARCH("S_I_",D817,1),3),"")</f>
        <v/>
      </c>
      <c r="N817" s="3" t="str">
        <f>IFERROR(MID(D817,SEARCH("C_I_",D817,1),3),"")</f>
        <v>C_I</v>
      </c>
      <c r="O817" s="3" t="str">
        <f>IF(AND(M817="",N817=""),"Extra","")</f>
        <v/>
      </c>
      <c r="P817" s="3" t="str">
        <f>IF(Q817=0,"TERCEIRO","MRS")</f>
        <v>MRS</v>
      </c>
      <c r="Q817" s="8" t="str">
        <f>IFERROR(VLOOKUP(L817,#REF!,4,0),"0,00")</f>
        <v>0,00</v>
      </c>
      <c r="R817" s="9" t="s">
        <v>30</v>
      </c>
      <c r="S817" s="9">
        <f>COUNTIF(D817,"*_SEG_*")</f>
        <v>1</v>
      </c>
      <c r="T817" s="9">
        <f>COUNTIF(D817,"*_MAN_*")</f>
        <v>0</v>
      </c>
      <c r="U817" s="9">
        <f>(RIGHT(D817,4))*1</f>
        <v>30</v>
      </c>
      <c r="V817" s="9" t="str">
        <f>IFERROR(VLOOKUP(I817,#REF!,2,0),"Sinalização")</f>
        <v>Sinalização</v>
      </c>
    </row>
    <row r="818" spans="1:22" x14ac:dyDescent="0.25">
      <c r="A818" s="3" t="s">
        <v>22</v>
      </c>
      <c r="B818" s="4">
        <v>23510245</v>
      </c>
      <c r="C818" s="5" t="s">
        <v>23</v>
      </c>
      <c r="D818" s="6" t="s">
        <v>985</v>
      </c>
      <c r="E818" s="6" t="s">
        <v>25</v>
      </c>
      <c r="F818" s="11">
        <v>46165</v>
      </c>
      <c r="G818" s="6" t="s">
        <v>1079</v>
      </c>
      <c r="H818" s="7" t="s">
        <v>32</v>
      </c>
      <c r="I818" s="7" t="s">
        <v>698</v>
      </c>
      <c r="J818" s="7" t="s">
        <v>958</v>
      </c>
      <c r="K818" s="7" t="s">
        <v>29</v>
      </c>
      <c r="L818" s="3" t="str">
        <f>E818&amp;D818</f>
        <v>E.SP.IPAEE_INS_SEG_C_I_MCH 110V GRS 55BR R_0030</v>
      </c>
      <c r="M818" s="3" t="str">
        <f>IFERROR(MID(D818,SEARCH("S_I_",D818,1),3),"")</f>
        <v/>
      </c>
      <c r="N818" s="3" t="str">
        <f>IFERROR(MID(D818,SEARCH("C_I_",D818,1),3),"")</f>
        <v>C_I</v>
      </c>
      <c r="O818" s="3" t="str">
        <f>IF(AND(M818="",N818=""),"Extra","")</f>
        <v/>
      </c>
      <c r="P818" s="3" t="str">
        <f>IF(Q818=0,"TERCEIRO","MRS")</f>
        <v>MRS</v>
      </c>
      <c r="Q818" s="8" t="str">
        <f>IFERROR(VLOOKUP(L818,#REF!,4,0),"0,00")</f>
        <v>0,00</v>
      </c>
      <c r="R818" s="9" t="s">
        <v>30</v>
      </c>
      <c r="S818" s="9">
        <f>COUNTIF(D818,"*_SEG_*")</f>
        <v>1</v>
      </c>
      <c r="T818" s="9">
        <f>COUNTIF(D818,"*_MAN_*")</f>
        <v>0</v>
      </c>
      <c r="U818" s="9">
        <f>(RIGHT(D818,4))*1</f>
        <v>30</v>
      </c>
      <c r="V818" s="9" t="str">
        <f>IFERROR(VLOOKUP(I818,#REF!,2,0),"Sinalização")</f>
        <v>Sinalização</v>
      </c>
    </row>
    <row r="819" spans="1:22" x14ac:dyDescent="0.25">
      <c r="A819" s="3" t="s">
        <v>22</v>
      </c>
      <c r="B819" s="4">
        <v>23510307</v>
      </c>
      <c r="C819" s="5" t="s">
        <v>23</v>
      </c>
      <c r="D819" s="6" t="s">
        <v>986</v>
      </c>
      <c r="E819" s="6" t="s">
        <v>25</v>
      </c>
      <c r="F819" s="11">
        <v>46165</v>
      </c>
      <c r="G819" s="6" t="s">
        <v>1079</v>
      </c>
      <c r="H819" s="7" t="s">
        <v>26</v>
      </c>
      <c r="I819" s="7" t="s">
        <v>987</v>
      </c>
      <c r="J819" s="7" t="s">
        <v>988</v>
      </c>
      <c r="K819" s="7" t="s">
        <v>29</v>
      </c>
      <c r="L819" s="3" t="str">
        <f>E819&amp;D819</f>
        <v>E.SP.IPAEE_INS_CONF_S_I_CONJUNTO MED ENER_0030</v>
      </c>
      <c r="M819" s="3" t="str">
        <f>IFERROR(MID(D819,SEARCH("S_I_",D819,1),3),"")</f>
        <v>S_I</v>
      </c>
      <c r="N819" s="3" t="str">
        <f>IFERROR(MID(D819,SEARCH("C_I_",D819,1),3),"")</f>
        <v/>
      </c>
      <c r="O819" s="3" t="str">
        <f>IF(AND(M819="",N819=""),"Extra","")</f>
        <v/>
      </c>
      <c r="P819" s="3" t="str">
        <f>IF(Q819=0,"TERCEIRO","MRS")</f>
        <v>MRS</v>
      </c>
      <c r="Q819" s="8" t="str">
        <f>IFERROR(VLOOKUP(L819,#REF!,4,0),"0,00")</f>
        <v>0,00</v>
      </c>
      <c r="R819" s="9" t="s">
        <v>57</v>
      </c>
      <c r="S819" s="9">
        <f>COUNTIF(D819,"*_SEG_*")</f>
        <v>0</v>
      </c>
      <c r="T819" s="9">
        <f>COUNTIF(D819,"*_MAN_*")</f>
        <v>0</v>
      </c>
      <c r="U819" s="9">
        <f>(RIGHT(D819,4))*1</f>
        <v>30</v>
      </c>
      <c r="V819" s="9" t="str">
        <f>IFERROR(VLOOKUP(I819,#REF!,2,0),"Sinalização")</f>
        <v>Sinalização</v>
      </c>
    </row>
    <row r="820" spans="1:22" x14ac:dyDescent="0.25">
      <c r="A820" s="3" t="s">
        <v>22</v>
      </c>
      <c r="B820" s="4">
        <v>23510329</v>
      </c>
      <c r="C820" s="5" t="s">
        <v>23</v>
      </c>
      <c r="D820" s="6" t="s">
        <v>828</v>
      </c>
      <c r="E820" s="6" t="s">
        <v>25</v>
      </c>
      <c r="F820" s="11">
        <v>46165</v>
      </c>
      <c r="G820" s="6" t="s">
        <v>1079</v>
      </c>
      <c r="H820" s="7" t="s">
        <v>26</v>
      </c>
      <c r="I820" s="7" t="s">
        <v>756</v>
      </c>
      <c r="J820" s="7" t="s">
        <v>822</v>
      </c>
      <c r="K820" s="7" t="s">
        <v>29</v>
      </c>
      <c r="L820" s="3" t="str">
        <f>E820&amp;D820</f>
        <v>E.SP.IPAEE_INS_SEG_S_I_CIRCUITO VIA CA_0030</v>
      </c>
      <c r="M820" s="3" t="str">
        <f>IFERROR(MID(D820,SEARCH("S_I_",D820,1),3),"")</f>
        <v>S_I</v>
      </c>
      <c r="N820" s="3" t="str">
        <f>IFERROR(MID(D820,SEARCH("C_I_",D820,1),3),"")</f>
        <v/>
      </c>
      <c r="O820" s="3" t="str">
        <f>IF(AND(M820="",N820=""),"Extra","")</f>
        <v/>
      </c>
      <c r="P820" s="3" t="str">
        <f>IF(Q820=0,"TERCEIRO","MRS")</f>
        <v>MRS</v>
      </c>
      <c r="Q820" s="8" t="str">
        <f>IFERROR(VLOOKUP(L820,#REF!,4,0),"0,00")</f>
        <v>0,00</v>
      </c>
      <c r="R820" s="9" t="s">
        <v>30</v>
      </c>
      <c r="S820" s="9">
        <f>COUNTIF(D820,"*_SEG_*")</f>
        <v>1</v>
      </c>
      <c r="T820" s="9">
        <f>COUNTIF(D820,"*_MAN_*")</f>
        <v>0</v>
      </c>
      <c r="U820" s="9">
        <f>(RIGHT(D820,4))*1</f>
        <v>30</v>
      </c>
      <c r="V820" s="9" t="str">
        <f>IFERROR(VLOOKUP(I820,#REF!,2,0),"Sinalização")</f>
        <v>Sinalização</v>
      </c>
    </row>
    <row r="821" spans="1:22" x14ac:dyDescent="0.25">
      <c r="A821" s="3" t="s">
        <v>22</v>
      </c>
      <c r="B821" s="4">
        <v>23510330</v>
      </c>
      <c r="C821" s="5" t="s">
        <v>23</v>
      </c>
      <c r="D821" s="6" t="s">
        <v>828</v>
      </c>
      <c r="E821" s="6" t="s">
        <v>25</v>
      </c>
      <c r="F821" s="11">
        <v>46165</v>
      </c>
      <c r="G821" s="6" t="s">
        <v>1079</v>
      </c>
      <c r="H821" s="7" t="s">
        <v>32</v>
      </c>
      <c r="I821" s="7" t="s">
        <v>757</v>
      </c>
      <c r="J821" s="7" t="s">
        <v>822</v>
      </c>
      <c r="K821" s="7" t="s">
        <v>29</v>
      </c>
      <c r="L821" s="3" t="str">
        <f>E821&amp;D821</f>
        <v>E.SP.IPAEE_INS_SEG_S_I_CIRCUITO VIA CA_0030</v>
      </c>
      <c r="M821" s="3" t="str">
        <f>IFERROR(MID(D821,SEARCH("S_I_",D821,1),3),"")</f>
        <v>S_I</v>
      </c>
      <c r="N821" s="3" t="str">
        <f>IFERROR(MID(D821,SEARCH("C_I_",D821,1),3),"")</f>
        <v/>
      </c>
      <c r="O821" s="3" t="str">
        <f>IF(AND(M821="",N821=""),"Extra","")</f>
        <v/>
      </c>
      <c r="P821" s="3" t="str">
        <f>IF(Q821=0,"TERCEIRO","MRS")</f>
        <v>MRS</v>
      </c>
      <c r="Q821" s="8" t="str">
        <f>IFERROR(VLOOKUP(L821,#REF!,4,0),"0,00")</f>
        <v>0,00</v>
      </c>
      <c r="R821" s="9" t="s">
        <v>30</v>
      </c>
      <c r="S821" s="9">
        <f>COUNTIF(D821,"*_SEG_*")</f>
        <v>1</v>
      </c>
      <c r="T821" s="9">
        <f>COUNTIF(D821,"*_MAN_*")</f>
        <v>0</v>
      </c>
      <c r="U821" s="9">
        <f>(RIGHT(D821,4))*1</f>
        <v>30</v>
      </c>
      <c r="V821" s="9" t="str">
        <f>IFERROR(VLOOKUP(I821,#REF!,2,0),"Sinalização")</f>
        <v>Sinalização</v>
      </c>
    </row>
    <row r="822" spans="1:22" x14ac:dyDescent="0.25">
      <c r="A822" s="3" t="s">
        <v>22</v>
      </c>
      <c r="B822" s="4">
        <v>23510331</v>
      </c>
      <c r="C822" s="5" t="s">
        <v>23</v>
      </c>
      <c r="D822" s="6" t="s">
        <v>828</v>
      </c>
      <c r="E822" s="6" t="s">
        <v>25</v>
      </c>
      <c r="F822" s="11">
        <v>46165</v>
      </c>
      <c r="G822" s="6" t="s">
        <v>1079</v>
      </c>
      <c r="H822" s="7" t="s">
        <v>32</v>
      </c>
      <c r="I822" s="7" t="s">
        <v>758</v>
      </c>
      <c r="J822" s="7" t="s">
        <v>822</v>
      </c>
      <c r="K822" s="7" t="s">
        <v>29</v>
      </c>
      <c r="L822" s="3" t="str">
        <f>E822&amp;D822</f>
        <v>E.SP.IPAEE_INS_SEG_S_I_CIRCUITO VIA CA_0030</v>
      </c>
      <c r="M822" s="3" t="str">
        <f>IFERROR(MID(D822,SEARCH("S_I_",D822,1),3),"")</f>
        <v>S_I</v>
      </c>
      <c r="N822" s="3" t="str">
        <f>IFERROR(MID(D822,SEARCH("C_I_",D822,1),3),"")</f>
        <v/>
      </c>
      <c r="O822" s="3" t="str">
        <f>IF(AND(M822="",N822=""),"Extra","")</f>
        <v/>
      </c>
      <c r="P822" s="3" t="str">
        <f>IF(Q822=0,"TERCEIRO","MRS")</f>
        <v>MRS</v>
      </c>
      <c r="Q822" s="8" t="str">
        <f>IFERROR(VLOOKUP(L822,#REF!,4,0),"0,00")</f>
        <v>0,00</v>
      </c>
      <c r="R822" s="9" t="s">
        <v>30</v>
      </c>
      <c r="S822" s="9">
        <f>COUNTIF(D822,"*_SEG_*")</f>
        <v>1</v>
      </c>
      <c r="T822" s="9">
        <f>COUNTIF(D822,"*_MAN_*")</f>
        <v>0</v>
      </c>
      <c r="U822" s="9">
        <f>(RIGHT(D822,4))*1</f>
        <v>30</v>
      </c>
      <c r="V822" s="9" t="str">
        <f>IFERROR(VLOOKUP(I822,#REF!,2,0),"Sinalização")</f>
        <v>Sinalização</v>
      </c>
    </row>
    <row r="823" spans="1:22" x14ac:dyDescent="0.25">
      <c r="A823" s="3" t="s">
        <v>22</v>
      </c>
      <c r="B823" s="4">
        <v>23510332</v>
      </c>
      <c r="C823" s="5" t="s">
        <v>23</v>
      </c>
      <c r="D823" s="6" t="s">
        <v>828</v>
      </c>
      <c r="E823" s="6" t="s">
        <v>25</v>
      </c>
      <c r="F823" s="11">
        <v>46165</v>
      </c>
      <c r="G823" s="6" t="s">
        <v>1079</v>
      </c>
      <c r="H823" s="7" t="s">
        <v>26</v>
      </c>
      <c r="I823" s="7" t="s">
        <v>768</v>
      </c>
      <c r="J823" s="7" t="s">
        <v>822</v>
      </c>
      <c r="K823" s="7" t="s">
        <v>29</v>
      </c>
      <c r="L823" s="3" t="str">
        <f>E823&amp;D823</f>
        <v>E.SP.IPAEE_INS_SEG_S_I_CIRCUITO VIA CA_0030</v>
      </c>
      <c r="M823" s="3" t="str">
        <f>IFERROR(MID(D823,SEARCH("S_I_",D823,1),3),"")</f>
        <v>S_I</v>
      </c>
      <c r="N823" s="3" t="str">
        <f>IFERROR(MID(D823,SEARCH("C_I_",D823,1),3),"")</f>
        <v/>
      </c>
      <c r="O823" s="3" t="str">
        <f>IF(AND(M823="",N823=""),"Extra","")</f>
        <v/>
      </c>
      <c r="P823" s="3" t="str">
        <f>IF(Q823=0,"TERCEIRO","MRS")</f>
        <v>MRS</v>
      </c>
      <c r="Q823" s="8" t="str">
        <f>IFERROR(VLOOKUP(L823,#REF!,4,0),"0,00")</f>
        <v>0,00</v>
      </c>
      <c r="R823" s="9" t="s">
        <v>30</v>
      </c>
      <c r="S823" s="9">
        <f>COUNTIF(D823,"*_SEG_*")</f>
        <v>1</v>
      </c>
      <c r="T823" s="9">
        <f>COUNTIF(D823,"*_MAN_*")</f>
        <v>0</v>
      </c>
      <c r="U823" s="9">
        <f>(RIGHT(D823,4))*1</f>
        <v>30</v>
      </c>
      <c r="V823" s="9" t="str">
        <f>IFERROR(VLOOKUP(I823,#REF!,2,0),"Sinalização")</f>
        <v>Sinalização</v>
      </c>
    </row>
    <row r="824" spans="1:22" x14ac:dyDescent="0.25">
      <c r="A824" s="3" t="s">
        <v>22</v>
      </c>
      <c r="B824" s="4">
        <v>23510333</v>
      </c>
      <c r="C824" s="5" t="s">
        <v>23</v>
      </c>
      <c r="D824" s="6" t="s">
        <v>828</v>
      </c>
      <c r="E824" s="6" t="s">
        <v>25</v>
      </c>
      <c r="F824" s="11">
        <v>46165</v>
      </c>
      <c r="G824" s="6" t="s">
        <v>1079</v>
      </c>
      <c r="H824" s="7" t="s">
        <v>26</v>
      </c>
      <c r="I824" s="7" t="s">
        <v>759</v>
      </c>
      <c r="J824" s="7" t="s">
        <v>822</v>
      </c>
      <c r="K824" s="7" t="s">
        <v>29</v>
      </c>
      <c r="L824" s="3" t="str">
        <f>E824&amp;D824</f>
        <v>E.SP.IPAEE_INS_SEG_S_I_CIRCUITO VIA CA_0030</v>
      </c>
      <c r="M824" s="3" t="str">
        <f>IFERROR(MID(D824,SEARCH("S_I_",D824,1),3),"")</f>
        <v>S_I</v>
      </c>
      <c r="N824" s="3" t="str">
        <f>IFERROR(MID(D824,SEARCH("C_I_",D824,1),3),"")</f>
        <v/>
      </c>
      <c r="O824" s="3" t="str">
        <f>IF(AND(M824="",N824=""),"Extra","")</f>
        <v/>
      </c>
      <c r="P824" s="3" t="str">
        <f>IF(Q824=0,"TERCEIRO","MRS")</f>
        <v>MRS</v>
      </c>
      <c r="Q824" s="8" t="str">
        <f>IFERROR(VLOOKUP(L824,#REF!,4,0),"0,00")</f>
        <v>0,00</v>
      </c>
      <c r="R824" s="9" t="s">
        <v>30</v>
      </c>
      <c r="S824" s="9">
        <f>COUNTIF(D824,"*_SEG_*")</f>
        <v>1</v>
      </c>
      <c r="T824" s="9">
        <f>COUNTIF(D824,"*_MAN_*")</f>
        <v>0</v>
      </c>
      <c r="U824" s="9">
        <f>(RIGHT(D824,4))*1</f>
        <v>30</v>
      </c>
      <c r="V824" s="9" t="str">
        <f>IFERROR(VLOOKUP(I824,#REF!,2,0),"Sinalização")</f>
        <v>Sinalização</v>
      </c>
    </row>
    <row r="825" spans="1:22" x14ac:dyDescent="0.25">
      <c r="A825" s="3" t="s">
        <v>22</v>
      </c>
      <c r="B825" s="4">
        <v>23510334</v>
      </c>
      <c r="C825" s="5" t="s">
        <v>23</v>
      </c>
      <c r="D825" s="6" t="s">
        <v>828</v>
      </c>
      <c r="E825" s="6" t="s">
        <v>25</v>
      </c>
      <c r="F825" s="11">
        <v>46165</v>
      </c>
      <c r="G825" s="6" t="s">
        <v>1079</v>
      </c>
      <c r="H825" s="7" t="s">
        <v>32</v>
      </c>
      <c r="I825" s="7" t="s">
        <v>347</v>
      </c>
      <c r="J825" s="7" t="s">
        <v>822</v>
      </c>
      <c r="K825" s="7" t="s">
        <v>29</v>
      </c>
      <c r="L825" s="3" t="str">
        <f>E825&amp;D825</f>
        <v>E.SP.IPAEE_INS_SEG_S_I_CIRCUITO VIA CA_0030</v>
      </c>
      <c r="M825" s="3" t="str">
        <f>IFERROR(MID(D825,SEARCH("S_I_",D825,1),3),"")</f>
        <v>S_I</v>
      </c>
      <c r="N825" s="3" t="str">
        <f>IFERROR(MID(D825,SEARCH("C_I_",D825,1),3),"")</f>
        <v/>
      </c>
      <c r="O825" s="3" t="str">
        <f>IF(AND(M825="",N825=""),"Extra","")</f>
        <v/>
      </c>
      <c r="P825" s="3" t="str">
        <f>IF(Q825=0,"TERCEIRO","MRS")</f>
        <v>MRS</v>
      </c>
      <c r="Q825" s="8" t="str">
        <f>IFERROR(VLOOKUP(L825,#REF!,4,0),"0,00")</f>
        <v>0,00</v>
      </c>
      <c r="R825" s="9" t="s">
        <v>30</v>
      </c>
      <c r="S825" s="9">
        <f>COUNTIF(D825,"*_SEG_*")</f>
        <v>1</v>
      </c>
      <c r="T825" s="9">
        <f>COUNTIF(D825,"*_MAN_*")</f>
        <v>0</v>
      </c>
      <c r="U825" s="9">
        <f>(RIGHT(D825,4))*1</f>
        <v>30</v>
      </c>
      <c r="V825" s="9" t="str">
        <f>IFERROR(VLOOKUP(I825,#REF!,2,0),"Sinalização")</f>
        <v>Sinalização</v>
      </c>
    </row>
    <row r="826" spans="1:22" x14ac:dyDescent="0.25">
      <c r="A826" s="3" t="s">
        <v>22</v>
      </c>
      <c r="B826" s="4">
        <v>23510335</v>
      </c>
      <c r="C826" s="5" t="s">
        <v>23</v>
      </c>
      <c r="D826" s="6" t="s">
        <v>828</v>
      </c>
      <c r="E826" s="6" t="s">
        <v>25</v>
      </c>
      <c r="F826" s="11">
        <v>46165</v>
      </c>
      <c r="G826" s="6" t="s">
        <v>1079</v>
      </c>
      <c r="H826" s="7" t="s">
        <v>32</v>
      </c>
      <c r="I826" s="7" t="s">
        <v>194</v>
      </c>
      <c r="J826" s="7" t="s">
        <v>822</v>
      </c>
      <c r="K826" s="7" t="s">
        <v>29</v>
      </c>
      <c r="L826" s="3" t="str">
        <f>E826&amp;D826</f>
        <v>E.SP.IPAEE_INS_SEG_S_I_CIRCUITO VIA CA_0030</v>
      </c>
      <c r="M826" s="3" t="str">
        <f>IFERROR(MID(D826,SEARCH("S_I_",D826,1),3),"")</f>
        <v>S_I</v>
      </c>
      <c r="N826" s="3" t="str">
        <f>IFERROR(MID(D826,SEARCH("C_I_",D826,1),3),"")</f>
        <v/>
      </c>
      <c r="O826" s="3" t="str">
        <f>IF(AND(M826="",N826=""),"Extra","")</f>
        <v/>
      </c>
      <c r="P826" s="3" t="str">
        <f>IF(Q826=0,"TERCEIRO","MRS")</f>
        <v>MRS</v>
      </c>
      <c r="Q826" s="8" t="str">
        <f>IFERROR(VLOOKUP(L826,#REF!,4,0),"0,00")</f>
        <v>0,00</v>
      </c>
      <c r="R826" s="9" t="s">
        <v>30</v>
      </c>
      <c r="S826" s="9">
        <f>COUNTIF(D826,"*_SEG_*")</f>
        <v>1</v>
      </c>
      <c r="T826" s="9">
        <f>COUNTIF(D826,"*_MAN_*")</f>
        <v>0</v>
      </c>
      <c r="U826" s="9">
        <f>(RIGHT(D826,4))*1</f>
        <v>30</v>
      </c>
      <c r="V826" s="9" t="str">
        <f>IFERROR(VLOOKUP(I826,#REF!,2,0),"Sinalização")</f>
        <v>Sinalização</v>
      </c>
    </row>
    <row r="827" spans="1:22" x14ac:dyDescent="0.25">
      <c r="A827" s="3" t="s">
        <v>22</v>
      </c>
      <c r="B827" s="4">
        <v>23510336</v>
      </c>
      <c r="C827" s="5" t="s">
        <v>23</v>
      </c>
      <c r="D827" s="6" t="s">
        <v>828</v>
      </c>
      <c r="E827" s="6" t="s">
        <v>25</v>
      </c>
      <c r="F827" s="11">
        <v>46165</v>
      </c>
      <c r="G827" s="6" t="s">
        <v>1079</v>
      </c>
      <c r="H827" s="7" t="s">
        <v>26</v>
      </c>
      <c r="I827" s="7" t="s">
        <v>766</v>
      </c>
      <c r="J827" s="7" t="s">
        <v>822</v>
      </c>
      <c r="K827" s="7" t="s">
        <v>29</v>
      </c>
      <c r="L827" s="3" t="str">
        <f>E827&amp;D827</f>
        <v>E.SP.IPAEE_INS_SEG_S_I_CIRCUITO VIA CA_0030</v>
      </c>
      <c r="M827" s="3" t="str">
        <f>IFERROR(MID(D827,SEARCH("S_I_",D827,1),3),"")</f>
        <v>S_I</v>
      </c>
      <c r="N827" s="3" t="str">
        <f>IFERROR(MID(D827,SEARCH("C_I_",D827,1),3),"")</f>
        <v/>
      </c>
      <c r="O827" s="3" t="str">
        <f>IF(AND(M827="",N827=""),"Extra","")</f>
        <v/>
      </c>
      <c r="P827" s="3" t="str">
        <f>IF(Q827=0,"TERCEIRO","MRS")</f>
        <v>MRS</v>
      </c>
      <c r="Q827" s="8" t="str">
        <f>IFERROR(VLOOKUP(L827,#REF!,4,0),"0,00")</f>
        <v>0,00</v>
      </c>
      <c r="R827" s="9" t="s">
        <v>30</v>
      </c>
      <c r="S827" s="9">
        <f>COUNTIF(D827,"*_SEG_*")</f>
        <v>1</v>
      </c>
      <c r="T827" s="9">
        <f>COUNTIF(D827,"*_MAN_*")</f>
        <v>0</v>
      </c>
      <c r="U827" s="9">
        <f>(RIGHT(D827,4))*1</f>
        <v>30</v>
      </c>
      <c r="V827" s="9" t="str">
        <f>IFERROR(VLOOKUP(I827,#REF!,2,0),"Sinalização")</f>
        <v>Sinalização</v>
      </c>
    </row>
    <row r="828" spans="1:22" x14ac:dyDescent="0.25">
      <c r="A828" s="3" t="s">
        <v>22</v>
      </c>
      <c r="B828" s="4">
        <v>23510337</v>
      </c>
      <c r="C828" s="5" t="s">
        <v>23</v>
      </c>
      <c r="D828" s="6" t="s">
        <v>828</v>
      </c>
      <c r="E828" s="6" t="s">
        <v>25</v>
      </c>
      <c r="F828" s="11">
        <v>46165</v>
      </c>
      <c r="G828" s="6" t="s">
        <v>1079</v>
      </c>
      <c r="H828" s="7" t="s">
        <v>26</v>
      </c>
      <c r="I828" s="7" t="s">
        <v>503</v>
      </c>
      <c r="J828" s="7" t="s">
        <v>822</v>
      </c>
      <c r="K828" s="7" t="s">
        <v>29</v>
      </c>
      <c r="L828" s="3" t="str">
        <f>E828&amp;D828</f>
        <v>E.SP.IPAEE_INS_SEG_S_I_CIRCUITO VIA CA_0030</v>
      </c>
      <c r="M828" s="3" t="str">
        <f>IFERROR(MID(D828,SEARCH("S_I_",D828,1),3),"")</f>
        <v>S_I</v>
      </c>
      <c r="N828" s="3" t="str">
        <f>IFERROR(MID(D828,SEARCH("C_I_",D828,1),3),"")</f>
        <v/>
      </c>
      <c r="O828" s="3" t="str">
        <f>IF(AND(M828="",N828=""),"Extra","")</f>
        <v/>
      </c>
      <c r="P828" s="3" t="str">
        <f>IF(Q828=0,"TERCEIRO","MRS")</f>
        <v>MRS</v>
      </c>
      <c r="Q828" s="8" t="str">
        <f>IFERROR(VLOOKUP(L828,#REF!,4,0),"0,00")</f>
        <v>0,00</v>
      </c>
      <c r="R828" s="9" t="s">
        <v>30</v>
      </c>
      <c r="S828" s="9">
        <f>COUNTIF(D828,"*_SEG_*")</f>
        <v>1</v>
      </c>
      <c r="T828" s="9">
        <f>COUNTIF(D828,"*_MAN_*")</f>
        <v>0</v>
      </c>
      <c r="U828" s="9">
        <f>(RIGHT(D828,4))*1</f>
        <v>30</v>
      </c>
      <c r="V828" s="9" t="str">
        <f>IFERROR(VLOOKUP(I828,#REF!,2,0),"Sinalização")</f>
        <v>Sinalização</v>
      </c>
    </row>
    <row r="829" spans="1:22" x14ac:dyDescent="0.25">
      <c r="A829" s="3" t="s">
        <v>22</v>
      </c>
      <c r="B829" s="4">
        <v>23510339</v>
      </c>
      <c r="C829" s="5" t="s">
        <v>23</v>
      </c>
      <c r="D829" s="6" t="s">
        <v>828</v>
      </c>
      <c r="E829" s="6" t="s">
        <v>25</v>
      </c>
      <c r="F829" s="11">
        <v>46165</v>
      </c>
      <c r="G829" s="6" t="s">
        <v>1079</v>
      </c>
      <c r="H829" s="7" t="s">
        <v>32</v>
      </c>
      <c r="I829" s="7" t="s">
        <v>989</v>
      </c>
      <c r="J829" s="7" t="s">
        <v>822</v>
      </c>
      <c r="K829" s="7" t="s">
        <v>29</v>
      </c>
      <c r="L829" s="3" t="str">
        <f>E829&amp;D829</f>
        <v>E.SP.IPAEE_INS_SEG_S_I_CIRCUITO VIA CA_0030</v>
      </c>
      <c r="M829" s="3" t="str">
        <f>IFERROR(MID(D829,SEARCH("S_I_",D829,1),3),"")</f>
        <v>S_I</v>
      </c>
      <c r="N829" s="3" t="str">
        <f>IFERROR(MID(D829,SEARCH("C_I_",D829,1),3),"")</f>
        <v/>
      </c>
      <c r="O829" s="3" t="str">
        <f>IF(AND(M829="",N829=""),"Extra","")</f>
        <v/>
      </c>
      <c r="P829" s="3" t="str">
        <f>IF(Q829=0,"TERCEIRO","MRS")</f>
        <v>MRS</v>
      </c>
      <c r="Q829" s="8" t="str">
        <f>IFERROR(VLOOKUP(L829,#REF!,4,0),"0,00")</f>
        <v>0,00</v>
      </c>
      <c r="R829" s="9" t="s">
        <v>30</v>
      </c>
      <c r="S829" s="9">
        <f>COUNTIF(D829,"*_SEG_*")</f>
        <v>1</v>
      </c>
      <c r="T829" s="9">
        <f>COUNTIF(D829,"*_MAN_*")</f>
        <v>0</v>
      </c>
      <c r="U829" s="9">
        <f>(RIGHT(D829,4))*1</f>
        <v>30</v>
      </c>
      <c r="V829" s="9" t="str">
        <f>IFERROR(VLOOKUP(I829,#REF!,2,0),"Sinalização")</f>
        <v>Sinalização</v>
      </c>
    </row>
    <row r="830" spans="1:22" x14ac:dyDescent="0.25">
      <c r="A830" s="3" t="s">
        <v>22</v>
      </c>
      <c r="B830" s="4">
        <v>23510340</v>
      </c>
      <c r="C830" s="5" t="s">
        <v>23</v>
      </c>
      <c r="D830" s="6" t="s">
        <v>828</v>
      </c>
      <c r="E830" s="6" t="s">
        <v>25</v>
      </c>
      <c r="F830" s="11">
        <v>46165</v>
      </c>
      <c r="G830" s="6" t="s">
        <v>1079</v>
      </c>
      <c r="H830" s="7" t="s">
        <v>32</v>
      </c>
      <c r="I830" s="7" t="s">
        <v>990</v>
      </c>
      <c r="J830" s="7" t="s">
        <v>822</v>
      </c>
      <c r="K830" s="7" t="s">
        <v>29</v>
      </c>
      <c r="L830" s="3" t="str">
        <f>E830&amp;D830</f>
        <v>E.SP.IPAEE_INS_SEG_S_I_CIRCUITO VIA CA_0030</v>
      </c>
      <c r="M830" s="3" t="str">
        <f>IFERROR(MID(D830,SEARCH("S_I_",D830,1),3),"")</f>
        <v>S_I</v>
      </c>
      <c r="N830" s="3" t="str">
        <f>IFERROR(MID(D830,SEARCH("C_I_",D830,1),3),"")</f>
        <v/>
      </c>
      <c r="O830" s="3" t="str">
        <f>IF(AND(M830="",N830=""),"Extra","")</f>
        <v/>
      </c>
      <c r="P830" s="3" t="str">
        <f>IF(Q830=0,"TERCEIRO","MRS")</f>
        <v>MRS</v>
      </c>
      <c r="Q830" s="8" t="str">
        <f>IFERROR(VLOOKUP(L830,#REF!,4,0),"0,00")</f>
        <v>0,00</v>
      </c>
      <c r="R830" s="9" t="s">
        <v>30</v>
      </c>
      <c r="S830" s="9">
        <f>COUNTIF(D830,"*_SEG_*")</f>
        <v>1</v>
      </c>
      <c r="T830" s="9">
        <f>COUNTIF(D830,"*_MAN_*")</f>
        <v>0</v>
      </c>
      <c r="U830" s="9">
        <f>(RIGHT(D830,4))*1</f>
        <v>30</v>
      </c>
      <c r="V830" s="9" t="str">
        <f>IFERROR(VLOOKUP(I830,#REF!,2,0),"Sinalização")</f>
        <v>Sinalização</v>
      </c>
    </row>
    <row r="831" spans="1:22" x14ac:dyDescent="0.25">
      <c r="A831" s="3" t="s">
        <v>22</v>
      </c>
      <c r="B831" s="4">
        <v>23510344</v>
      </c>
      <c r="C831" s="5" t="s">
        <v>23</v>
      </c>
      <c r="D831" s="6" t="s">
        <v>828</v>
      </c>
      <c r="E831" s="6" t="s">
        <v>25</v>
      </c>
      <c r="F831" s="11">
        <v>46165</v>
      </c>
      <c r="G831" s="6" t="s">
        <v>1079</v>
      </c>
      <c r="H831" s="7" t="s">
        <v>26</v>
      </c>
      <c r="I831" s="7" t="s">
        <v>501</v>
      </c>
      <c r="J831" s="7" t="s">
        <v>822</v>
      </c>
      <c r="K831" s="7" t="s">
        <v>29</v>
      </c>
      <c r="L831" s="3" t="str">
        <f>E831&amp;D831</f>
        <v>E.SP.IPAEE_INS_SEG_S_I_CIRCUITO VIA CA_0030</v>
      </c>
      <c r="M831" s="3" t="str">
        <f>IFERROR(MID(D831,SEARCH("S_I_",D831,1),3),"")</f>
        <v>S_I</v>
      </c>
      <c r="N831" s="3" t="str">
        <f>IFERROR(MID(D831,SEARCH("C_I_",D831,1),3),"")</f>
        <v/>
      </c>
      <c r="O831" s="3" t="str">
        <f>IF(AND(M831="",N831=""),"Extra","")</f>
        <v/>
      </c>
      <c r="P831" s="3" t="str">
        <f>IF(Q831=0,"TERCEIRO","MRS")</f>
        <v>MRS</v>
      </c>
      <c r="Q831" s="8" t="str">
        <f>IFERROR(VLOOKUP(L831,#REF!,4,0),"0,00")</f>
        <v>0,00</v>
      </c>
      <c r="R831" s="9" t="s">
        <v>30</v>
      </c>
      <c r="S831" s="9">
        <f>COUNTIF(D831,"*_SEG_*")</f>
        <v>1</v>
      </c>
      <c r="T831" s="9">
        <f>COUNTIF(D831,"*_MAN_*")</f>
        <v>0</v>
      </c>
      <c r="U831" s="9">
        <f>(RIGHT(D831,4))*1</f>
        <v>30</v>
      </c>
      <c r="V831" s="9" t="str">
        <f>IFERROR(VLOOKUP(I831,#REF!,2,0),"Sinalização")</f>
        <v>Sinalização</v>
      </c>
    </row>
    <row r="832" spans="1:22" x14ac:dyDescent="0.25">
      <c r="A832" s="3" t="s">
        <v>22</v>
      </c>
      <c r="B832" s="4">
        <v>23510345</v>
      </c>
      <c r="C832" s="5" t="s">
        <v>23</v>
      </c>
      <c r="D832" s="6" t="s">
        <v>828</v>
      </c>
      <c r="E832" s="6" t="s">
        <v>25</v>
      </c>
      <c r="F832" s="11">
        <v>46165</v>
      </c>
      <c r="G832" s="6" t="s">
        <v>1079</v>
      </c>
      <c r="H832" s="7" t="s">
        <v>26</v>
      </c>
      <c r="I832" s="7" t="s">
        <v>502</v>
      </c>
      <c r="J832" s="7" t="s">
        <v>822</v>
      </c>
      <c r="K832" s="7" t="s">
        <v>29</v>
      </c>
      <c r="L832" s="3" t="str">
        <f>E832&amp;D832</f>
        <v>E.SP.IPAEE_INS_SEG_S_I_CIRCUITO VIA CA_0030</v>
      </c>
      <c r="M832" s="3" t="str">
        <f>IFERROR(MID(D832,SEARCH("S_I_",D832,1),3),"")</f>
        <v>S_I</v>
      </c>
      <c r="N832" s="3" t="str">
        <f>IFERROR(MID(D832,SEARCH("C_I_",D832,1),3),"")</f>
        <v/>
      </c>
      <c r="O832" s="3" t="str">
        <f>IF(AND(M832="",N832=""),"Extra","")</f>
        <v/>
      </c>
      <c r="P832" s="3" t="str">
        <f>IF(Q832=0,"TERCEIRO","MRS")</f>
        <v>MRS</v>
      </c>
      <c r="Q832" s="8" t="str">
        <f>IFERROR(VLOOKUP(L832,#REF!,4,0),"0,00")</f>
        <v>0,00</v>
      </c>
      <c r="R832" s="9" t="s">
        <v>30</v>
      </c>
      <c r="S832" s="9">
        <f>COUNTIF(D832,"*_SEG_*")</f>
        <v>1</v>
      </c>
      <c r="T832" s="9">
        <f>COUNTIF(D832,"*_MAN_*")</f>
        <v>0</v>
      </c>
      <c r="U832" s="9">
        <f>(RIGHT(D832,4))*1</f>
        <v>30</v>
      </c>
      <c r="V832" s="9" t="str">
        <f>IFERROR(VLOOKUP(I832,#REF!,2,0),"Sinalização")</f>
        <v>Sinalização</v>
      </c>
    </row>
    <row r="833" spans="1:22" x14ac:dyDescent="0.25">
      <c r="A833" s="3" t="s">
        <v>22</v>
      </c>
      <c r="B833" s="4">
        <v>23510347</v>
      </c>
      <c r="C833" s="5" t="s">
        <v>23</v>
      </c>
      <c r="D833" s="6" t="s">
        <v>828</v>
      </c>
      <c r="E833" s="6" t="s">
        <v>25</v>
      </c>
      <c r="F833" s="11">
        <v>46165</v>
      </c>
      <c r="G833" s="6" t="s">
        <v>1079</v>
      </c>
      <c r="H833" s="7" t="s">
        <v>32</v>
      </c>
      <c r="I833" s="7" t="s">
        <v>217</v>
      </c>
      <c r="J833" s="7" t="s">
        <v>822</v>
      </c>
      <c r="K833" s="7" t="s">
        <v>29</v>
      </c>
      <c r="L833" s="3" t="str">
        <f>E833&amp;D833</f>
        <v>E.SP.IPAEE_INS_SEG_S_I_CIRCUITO VIA CA_0030</v>
      </c>
      <c r="M833" s="3" t="str">
        <f>IFERROR(MID(D833,SEARCH("S_I_",D833,1),3),"")</f>
        <v>S_I</v>
      </c>
      <c r="N833" s="3" t="str">
        <f>IFERROR(MID(D833,SEARCH("C_I_",D833,1),3),"")</f>
        <v/>
      </c>
      <c r="O833" s="3" t="str">
        <f>IF(AND(M833="",N833=""),"Extra","")</f>
        <v/>
      </c>
      <c r="P833" s="3" t="str">
        <f>IF(Q833=0,"TERCEIRO","MRS")</f>
        <v>MRS</v>
      </c>
      <c r="Q833" s="8" t="str">
        <f>IFERROR(VLOOKUP(L833,#REF!,4,0),"0,00")</f>
        <v>0,00</v>
      </c>
      <c r="R833" s="9" t="s">
        <v>30</v>
      </c>
      <c r="S833" s="9">
        <f>COUNTIF(D833,"*_SEG_*")</f>
        <v>1</v>
      </c>
      <c r="T833" s="9">
        <f>COUNTIF(D833,"*_MAN_*")</f>
        <v>0</v>
      </c>
      <c r="U833" s="9">
        <f>(RIGHT(D833,4))*1</f>
        <v>30</v>
      </c>
      <c r="V833" s="9" t="str">
        <f>IFERROR(VLOOKUP(I833,#REF!,2,0),"Sinalização")</f>
        <v>Sinalização</v>
      </c>
    </row>
    <row r="834" spans="1:22" x14ac:dyDescent="0.25">
      <c r="A834" s="3" t="s">
        <v>22</v>
      </c>
      <c r="B834" s="4">
        <v>23510348</v>
      </c>
      <c r="C834" s="5" t="s">
        <v>23</v>
      </c>
      <c r="D834" s="6" t="s">
        <v>828</v>
      </c>
      <c r="E834" s="6" t="s">
        <v>25</v>
      </c>
      <c r="F834" s="11">
        <v>46165</v>
      </c>
      <c r="G834" s="6" t="s">
        <v>1079</v>
      </c>
      <c r="H834" s="7" t="s">
        <v>32</v>
      </c>
      <c r="I834" s="7" t="s">
        <v>218</v>
      </c>
      <c r="J834" s="7" t="s">
        <v>822</v>
      </c>
      <c r="K834" s="7" t="s">
        <v>29</v>
      </c>
      <c r="L834" s="3" t="str">
        <f>E834&amp;D834</f>
        <v>E.SP.IPAEE_INS_SEG_S_I_CIRCUITO VIA CA_0030</v>
      </c>
      <c r="M834" s="3" t="str">
        <f>IFERROR(MID(D834,SEARCH("S_I_",D834,1),3),"")</f>
        <v>S_I</v>
      </c>
      <c r="N834" s="3" t="str">
        <f>IFERROR(MID(D834,SEARCH("C_I_",D834,1),3),"")</f>
        <v/>
      </c>
      <c r="O834" s="3" t="str">
        <f>IF(AND(M834="",N834=""),"Extra","")</f>
        <v/>
      </c>
      <c r="P834" s="3" t="str">
        <f>IF(Q834=0,"TERCEIRO","MRS")</f>
        <v>MRS</v>
      </c>
      <c r="Q834" s="8" t="str">
        <f>IFERROR(VLOOKUP(L834,#REF!,4,0),"0,00")</f>
        <v>0,00</v>
      </c>
      <c r="R834" s="9" t="s">
        <v>30</v>
      </c>
      <c r="S834" s="9">
        <f>COUNTIF(D834,"*_SEG_*")</f>
        <v>1</v>
      </c>
      <c r="T834" s="9">
        <f>COUNTIF(D834,"*_MAN_*")</f>
        <v>0</v>
      </c>
      <c r="U834" s="9">
        <f>(RIGHT(D834,4))*1</f>
        <v>30</v>
      </c>
      <c r="V834" s="9" t="str">
        <f>IFERROR(VLOOKUP(I834,#REF!,2,0),"Sinalização")</f>
        <v>Sinalização</v>
      </c>
    </row>
    <row r="835" spans="1:22" x14ac:dyDescent="0.25">
      <c r="A835" s="3" t="s">
        <v>22</v>
      </c>
      <c r="B835" s="4">
        <v>23510349</v>
      </c>
      <c r="C835" s="5" t="s">
        <v>23</v>
      </c>
      <c r="D835" s="6" t="s">
        <v>828</v>
      </c>
      <c r="E835" s="6" t="s">
        <v>25</v>
      </c>
      <c r="F835" s="11">
        <v>46165</v>
      </c>
      <c r="G835" s="6" t="s">
        <v>1079</v>
      </c>
      <c r="H835" s="7" t="s">
        <v>26</v>
      </c>
      <c r="I835" s="7" t="s">
        <v>216</v>
      </c>
      <c r="J835" s="7" t="s">
        <v>822</v>
      </c>
      <c r="K835" s="7" t="s">
        <v>29</v>
      </c>
      <c r="L835" s="3" t="str">
        <f>E835&amp;D835</f>
        <v>E.SP.IPAEE_INS_SEG_S_I_CIRCUITO VIA CA_0030</v>
      </c>
      <c r="M835" s="3" t="str">
        <f>IFERROR(MID(D835,SEARCH("S_I_",D835,1),3),"")</f>
        <v>S_I</v>
      </c>
      <c r="N835" s="3" t="str">
        <f>IFERROR(MID(D835,SEARCH("C_I_",D835,1),3),"")</f>
        <v/>
      </c>
      <c r="O835" s="3" t="str">
        <f>IF(AND(M835="",N835=""),"Extra","")</f>
        <v/>
      </c>
      <c r="P835" s="3" t="str">
        <f>IF(Q835=0,"TERCEIRO","MRS")</f>
        <v>MRS</v>
      </c>
      <c r="Q835" s="8" t="str">
        <f>IFERROR(VLOOKUP(L835,#REF!,4,0),"0,00")</f>
        <v>0,00</v>
      </c>
      <c r="R835" s="9" t="s">
        <v>30</v>
      </c>
      <c r="S835" s="9">
        <f>COUNTIF(D835,"*_SEG_*")</f>
        <v>1</v>
      </c>
      <c r="T835" s="9">
        <f>COUNTIF(D835,"*_MAN_*")</f>
        <v>0</v>
      </c>
      <c r="U835" s="9">
        <f>(RIGHT(D835,4))*1</f>
        <v>30</v>
      </c>
      <c r="V835" s="9" t="str">
        <f>IFERROR(VLOOKUP(I835,#REF!,2,0),"Sinalização")</f>
        <v>Sinalização</v>
      </c>
    </row>
    <row r="836" spans="1:22" x14ac:dyDescent="0.25">
      <c r="A836" s="3" t="s">
        <v>22</v>
      </c>
      <c r="B836" s="4">
        <v>23510350</v>
      </c>
      <c r="C836" s="5" t="s">
        <v>23</v>
      </c>
      <c r="D836" s="6" t="s">
        <v>828</v>
      </c>
      <c r="E836" s="6" t="s">
        <v>25</v>
      </c>
      <c r="F836" s="11">
        <v>46165</v>
      </c>
      <c r="G836" s="6" t="s">
        <v>1079</v>
      </c>
      <c r="H836" s="7" t="s">
        <v>26</v>
      </c>
      <c r="I836" s="7" t="s">
        <v>991</v>
      </c>
      <c r="J836" s="7" t="s">
        <v>822</v>
      </c>
      <c r="K836" s="7" t="s">
        <v>29</v>
      </c>
      <c r="L836" s="3" t="str">
        <f>E836&amp;D836</f>
        <v>E.SP.IPAEE_INS_SEG_S_I_CIRCUITO VIA CA_0030</v>
      </c>
      <c r="M836" s="3" t="str">
        <f>IFERROR(MID(D836,SEARCH("S_I_",D836,1),3),"")</f>
        <v>S_I</v>
      </c>
      <c r="N836" s="3" t="str">
        <f>IFERROR(MID(D836,SEARCH("C_I_",D836,1),3),"")</f>
        <v/>
      </c>
      <c r="O836" s="3" t="str">
        <f>IF(AND(M836="",N836=""),"Extra","")</f>
        <v/>
      </c>
      <c r="P836" s="3" t="str">
        <f>IF(Q836=0,"TERCEIRO","MRS")</f>
        <v>MRS</v>
      </c>
      <c r="Q836" s="8" t="str">
        <f>IFERROR(VLOOKUP(L836,#REF!,4,0),"0,00")</f>
        <v>0,00</v>
      </c>
      <c r="R836" s="9" t="s">
        <v>30</v>
      </c>
      <c r="S836" s="9">
        <f>COUNTIF(D836,"*_SEG_*")</f>
        <v>1</v>
      </c>
      <c r="T836" s="9">
        <f>COUNTIF(D836,"*_MAN_*")</f>
        <v>0</v>
      </c>
      <c r="U836" s="9">
        <f>(RIGHT(D836,4))*1</f>
        <v>30</v>
      </c>
      <c r="V836" s="9" t="str">
        <f>IFERROR(VLOOKUP(I836,#REF!,2,0),"Sinalização")</f>
        <v>Sinalização</v>
      </c>
    </row>
    <row r="837" spans="1:22" x14ac:dyDescent="0.25">
      <c r="A837" s="3" t="s">
        <v>22</v>
      </c>
      <c r="B837" s="4">
        <v>23510351</v>
      </c>
      <c r="C837" s="5" t="s">
        <v>23</v>
      </c>
      <c r="D837" s="6" t="s">
        <v>828</v>
      </c>
      <c r="E837" s="6" t="s">
        <v>25</v>
      </c>
      <c r="F837" s="11">
        <v>46165</v>
      </c>
      <c r="G837" s="6" t="s">
        <v>1079</v>
      </c>
      <c r="H837" s="7" t="s">
        <v>32</v>
      </c>
      <c r="I837" s="7" t="s">
        <v>362</v>
      </c>
      <c r="J837" s="7" t="s">
        <v>822</v>
      </c>
      <c r="K837" s="7" t="s">
        <v>29</v>
      </c>
      <c r="L837" s="3" t="str">
        <f>E837&amp;D837</f>
        <v>E.SP.IPAEE_INS_SEG_S_I_CIRCUITO VIA CA_0030</v>
      </c>
      <c r="M837" s="3" t="str">
        <f>IFERROR(MID(D837,SEARCH("S_I_",D837,1),3),"")</f>
        <v>S_I</v>
      </c>
      <c r="N837" s="3" t="str">
        <f>IFERROR(MID(D837,SEARCH("C_I_",D837,1),3),"")</f>
        <v/>
      </c>
      <c r="O837" s="3" t="str">
        <f>IF(AND(M837="",N837=""),"Extra","")</f>
        <v/>
      </c>
      <c r="P837" s="3" t="str">
        <f>IF(Q837=0,"TERCEIRO","MRS")</f>
        <v>MRS</v>
      </c>
      <c r="Q837" s="8" t="str">
        <f>IFERROR(VLOOKUP(L837,#REF!,4,0),"0,00")</f>
        <v>0,00</v>
      </c>
      <c r="R837" s="9" t="s">
        <v>30</v>
      </c>
      <c r="S837" s="9">
        <f>COUNTIF(D837,"*_SEG_*")</f>
        <v>1</v>
      </c>
      <c r="T837" s="9">
        <f>COUNTIF(D837,"*_MAN_*")</f>
        <v>0</v>
      </c>
      <c r="U837" s="9">
        <f>(RIGHT(D837,4))*1</f>
        <v>30</v>
      </c>
      <c r="V837" s="9" t="str">
        <f>IFERROR(VLOOKUP(I837,#REF!,2,0),"Sinalização")</f>
        <v>Sinalização</v>
      </c>
    </row>
    <row r="838" spans="1:22" x14ac:dyDescent="0.25">
      <c r="A838" s="3" t="s">
        <v>22</v>
      </c>
      <c r="B838" s="4">
        <v>23510352</v>
      </c>
      <c r="C838" s="5" t="s">
        <v>23</v>
      </c>
      <c r="D838" s="6" t="s">
        <v>828</v>
      </c>
      <c r="E838" s="6" t="s">
        <v>25</v>
      </c>
      <c r="F838" s="11">
        <v>46165</v>
      </c>
      <c r="G838" s="6" t="s">
        <v>1079</v>
      </c>
      <c r="H838" s="7" t="s">
        <v>32</v>
      </c>
      <c r="I838" s="7" t="s">
        <v>992</v>
      </c>
      <c r="J838" s="7" t="s">
        <v>822</v>
      </c>
      <c r="K838" s="7" t="s">
        <v>29</v>
      </c>
      <c r="L838" s="3" t="str">
        <f>E838&amp;D838</f>
        <v>E.SP.IPAEE_INS_SEG_S_I_CIRCUITO VIA CA_0030</v>
      </c>
      <c r="M838" s="3" t="str">
        <f>IFERROR(MID(D838,SEARCH("S_I_",D838,1),3),"")</f>
        <v>S_I</v>
      </c>
      <c r="N838" s="3" t="str">
        <f>IFERROR(MID(D838,SEARCH("C_I_",D838,1),3),"")</f>
        <v/>
      </c>
      <c r="O838" s="3" t="str">
        <f>IF(AND(M838="",N838=""),"Extra","")</f>
        <v/>
      </c>
      <c r="P838" s="3" t="str">
        <f>IF(Q838=0,"TERCEIRO","MRS")</f>
        <v>MRS</v>
      </c>
      <c r="Q838" s="8" t="str">
        <f>IFERROR(VLOOKUP(L838,#REF!,4,0),"0,00")</f>
        <v>0,00</v>
      </c>
      <c r="R838" s="9" t="s">
        <v>30</v>
      </c>
      <c r="S838" s="9">
        <f>COUNTIF(D838,"*_SEG_*")</f>
        <v>1</v>
      </c>
      <c r="T838" s="9">
        <f>COUNTIF(D838,"*_MAN_*")</f>
        <v>0</v>
      </c>
      <c r="U838" s="9">
        <f>(RIGHT(D838,4))*1</f>
        <v>30</v>
      </c>
      <c r="V838" s="9" t="str">
        <f>IFERROR(VLOOKUP(I838,#REF!,2,0),"Sinalização")</f>
        <v>Sinalização</v>
      </c>
    </row>
    <row r="839" spans="1:22" x14ac:dyDescent="0.25">
      <c r="A839" s="3" t="s">
        <v>22</v>
      </c>
      <c r="B839" s="4">
        <v>23510353</v>
      </c>
      <c r="C839" s="5" t="s">
        <v>23</v>
      </c>
      <c r="D839" s="6" t="s">
        <v>828</v>
      </c>
      <c r="E839" s="6" t="s">
        <v>25</v>
      </c>
      <c r="F839" s="11">
        <v>46165</v>
      </c>
      <c r="G839" s="6" t="s">
        <v>1079</v>
      </c>
      <c r="H839" s="7" t="s">
        <v>26</v>
      </c>
      <c r="I839" s="7" t="s">
        <v>340</v>
      </c>
      <c r="J839" s="7" t="s">
        <v>822</v>
      </c>
      <c r="K839" s="7" t="s">
        <v>29</v>
      </c>
      <c r="L839" s="3" t="str">
        <f>E839&amp;D839</f>
        <v>E.SP.IPAEE_INS_SEG_S_I_CIRCUITO VIA CA_0030</v>
      </c>
      <c r="M839" s="3" t="str">
        <f>IFERROR(MID(D839,SEARCH("S_I_",D839,1),3),"")</f>
        <v>S_I</v>
      </c>
      <c r="N839" s="3" t="str">
        <f>IFERROR(MID(D839,SEARCH("C_I_",D839,1),3),"")</f>
        <v/>
      </c>
      <c r="O839" s="3" t="str">
        <f>IF(AND(M839="",N839=""),"Extra","")</f>
        <v/>
      </c>
      <c r="P839" s="3" t="str">
        <f>IF(Q839=0,"TERCEIRO","MRS")</f>
        <v>MRS</v>
      </c>
      <c r="Q839" s="8" t="str">
        <f>IFERROR(VLOOKUP(L839,#REF!,4,0),"0,00")</f>
        <v>0,00</v>
      </c>
      <c r="R839" s="9" t="s">
        <v>30</v>
      </c>
      <c r="S839" s="9">
        <f>COUNTIF(D839,"*_SEG_*")</f>
        <v>1</v>
      </c>
      <c r="T839" s="9">
        <f>COUNTIF(D839,"*_MAN_*")</f>
        <v>0</v>
      </c>
      <c r="U839" s="9">
        <f>(RIGHT(D839,4))*1</f>
        <v>30</v>
      </c>
      <c r="V839" s="9" t="str">
        <f>IFERROR(VLOOKUP(I839,#REF!,2,0),"Sinalização")</f>
        <v>Sinalização</v>
      </c>
    </row>
    <row r="840" spans="1:22" x14ac:dyDescent="0.25">
      <c r="A840" s="3" t="s">
        <v>22</v>
      </c>
      <c r="B840" s="4">
        <v>23510354</v>
      </c>
      <c r="C840" s="5" t="s">
        <v>23</v>
      </c>
      <c r="D840" s="6" t="s">
        <v>828</v>
      </c>
      <c r="E840" s="6" t="s">
        <v>25</v>
      </c>
      <c r="F840" s="11">
        <v>46165</v>
      </c>
      <c r="G840" s="6" t="s">
        <v>1079</v>
      </c>
      <c r="H840" s="7" t="s">
        <v>26</v>
      </c>
      <c r="I840" s="7" t="s">
        <v>425</v>
      </c>
      <c r="J840" s="7" t="s">
        <v>822</v>
      </c>
      <c r="K840" s="7" t="s">
        <v>29</v>
      </c>
      <c r="L840" s="3" t="str">
        <f>E840&amp;D840</f>
        <v>E.SP.IPAEE_INS_SEG_S_I_CIRCUITO VIA CA_0030</v>
      </c>
      <c r="M840" s="3" t="str">
        <f>IFERROR(MID(D840,SEARCH("S_I_",D840,1),3),"")</f>
        <v>S_I</v>
      </c>
      <c r="N840" s="3" t="str">
        <f>IFERROR(MID(D840,SEARCH("C_I_",D840,1),3),"")</f>
        <v/>
      </c>
      <c r="O840" s="3" t="str">
        <f>IF(AND(M840="",N840=""),"Extra","")</f>
        <v/>
      </c>
      <c r="P840" s="3" t="str">
        <f>IF(Q840=0,"TERCEIRO","MRS")</f>
        <v>MRS</v>
      </c>
      <c r="Q840" s="8" t="str">
        <f>IFERROR(VLOOKUP(L840,#REF!,4,0),"0,00")</f>
        <v>0,00</v>
      </c>
      <c r="R840" s="9" t="s">
        <v>30</v>
      </c>
      <c r="S840" s="9">
        <f>COUNTIF(D840,"*_SEG_*")</f>
        <v>1</v>
      </c>
      <c r="T840" s="9">
        <f>COUNTIF(D840,"*_MAN_*")</f>
        <v>0</v>
      </c>
      <c r="U840" s="9">
        <f>(RIGHT(D840,4))*1</f>
        <v>30</v>
      </c>
      <c r="V840" s="9" t="str">
        <f>IFERROR(VLOOKUP(I840,#REF!,2,0),"Sinalização")</f>
        <v>Sinalização</v>
      </c>
    </row>
    <row r="841" spans="1:22" x14ac:dyDescent="0.25">
      <c r="A841" s="3" t="s">
        <v>22</v>
      </c>
      <c r="B841" s="4">
        <v>23510355</v>
      </c>
      <c r="C841" s="5" t="s">
        <v>23</v>
      </c>
      <c r="D841" s="6" t="s">
        <v>828</v>
      </c>
      <c r="E841" s="6" t="s">
        <v>25</v>
      </c>
      <c r="F841" s="11">
        <v>46165</v>
      </c>
      <c r="G841" s="6" t="s">
        <v>1079</v>
      </c>
      <c r="H841" s="7" t="s">
        <v>32</v>
      </c>
      <c r="I841" s="7" t="s">
        <v>765</v>
      </c>
      <c r="J841" s="7" t="s">
        <v>822</v>
      </c>
      <c r="K841" s="7" t="s">
        <v>29</v>
      </c>
      <c r="L841" s="3" t="str">
        <f>E841&amp;D841</f>
        <v>E.SP.IPAEE_INS_SEG_S_I_CIRCUITO VIA CA_0030</v>
      </c>
      <c r="M841" s="3" t="str">
        <f>IFERROR(MID(D841,SEARCH("S_I_",D841,1),3),"")</f>
        <v>S_I</v>
      </c>
      <c r="N841" s="3" t="str">
        <f>IFERROR(MID(D841,SEARCH("C_I_",D841,1),3),"")</f>
        <v/>
      </c>
      <c r="O841" s="3" t="str">
        <f>IF(AND(M841="",N841=""),"Extra","")</f>
        <v/>
      </c>
      <c r="P841" s="3" t="str">
        <f>IF(Q841=0,"TERCEIRO","MRS")</f>
        <v>MRS</v>
      </c>
      <c r="Q841" s="8" t="str">
        <f>IFERROR(VLOOKUP(L841,#REF!,4,0),"0,00")</f>
        <v>0,00</v>
      </c>
      <c r="R841" s="9" t="s">
        <v>30</v>
      </c>
      <c r="S841" s="9">
        <f>COUNTIF(D841,"*_SEG_*")</f>
        <v>1</v>
      </c>
      <c r="T841" s="9">
        <f>COUNTIF(D841,"*_MAN_*")</f>
        <v>0</v>
      </c>
      <c r="U841" s="9">
        <f>(RIGHT(D841,4))*1</f>
        <v>30</v>
      </c>
      <c r="V841" s="9" t="str">
        <f>IFERROR(VLOOKUP(I841,#REF!,2,0),"Sinalização")</f>
        <v>Sinalização</v>
      </c>
    </row>
    <row r="842" spans="1:22" x14ac:dyDescent="0.25">
      <c r="A842" s="3" t="s">
        <v>22</v>
      </c>
      <c r="B842" s="4">
        <v>23510356</v>
      </c>
      <c r="C842" s="5" t="s">
        <v>23</v>
      </c>
      <c r="D842" s="6" t="s">
        <v>828</v>
      </c>
      <c r="E842" s="6" t="s">
        <v>25</v>
      </c>
      <c r="F842" s="11">
        <v>46165</v>
      </c>
      <c r="G842" s="6" t="s">
        <v>1079</v>
      </c>
      <c r="H842" s="7" t="s">
        <v>32</v>
      </c>
      <c r="I842" s="7" t="s">
        <v>320</v>
      </c>
      <c r="J842" s="7" t="s">
        <v>822</v>
      </c>
      <c r="K842" s="7" t="s">
        <v>29</v>
      </c>
      <c r="L842" s="3" t="str">
        <f>E842&amp;D842</f>
        <v>E.SP.IPAEE_INS_SEG_S_I_CIRCUITO VIA CA_0030</v>
      </c>
      <c r="M842" s="3" t="str">
        <f>IFERROR(MID(D842,SEARCH("S_I_",D842,1),3),"")</f>
        <v>S_I</v>
      </c>
      <c r="N842" s="3" t="str">
        <f>IFERROR(MID(D842,SEARCH("C_I_",D842,1),3),"")</f>
        <v/>
      </c>
      <c r="O842" s="3" t="str">
        <f>IF(AND(M842="",N842=""),"Extra","")</f>
        <v/>
      </c>
      <c r="P842" s="3" t="str">
        <f>IF(Q842=0,"TERCEIRO","MRS")</f>
        <v>MRS</v>
      </c>
      <c r="Q842" s="8" t="str">
        <f>IFERROR(VLOOKUP(L842,#REF!,4,0),"0,00")</f>
        <v>0,00</v>
      </c>
      <c r="R842" s="9" t="s">
        <v>30</v>
      </c>
      <c r="S842" s="9">
        <f>COUNTIF(D842,"*_SEG_*")</f>
        <v>1</v>
      </c>
      <c r="T842" s="9">
        <f>COUNTIF(D842,"*_MAN_*")</f>
        <v>0</v>
      </c>
      <c r="U842" s="9">
        <f>(RIGHT(D842,4))*1</f>
        <v>30</v>
      </c>
      <c r="V842" s="9" t="str">
        <f>IFERROR(VLOOKUP(I842,#REF!,2,0),"Sinalização")</f>
        <v>Sinalização</v>
      </c>
    </row>
    <row r="843" spans="1:22" x14ac:dyDescent="0.25">
      <c r="A843" s="3" t="s">
        <v>22</v>
      </c>
      <c r="B843" s="4">
        <v>23510357</v>
      </c>
      <c r="C843" s="5" t="s">
        <v>23</v>
      </c>
      <c r="D843" s="6" t="s">
        <v>828</v>
      </c>
      <c r="E843" s="6" t="s">
        <v>25</v>
      </c>
      <c r="F843" s="11">
        <v>46165</v>
      </c>
      <c r="G843" s="6" t="s">
        <v>1079</v>
      </c>
      <c r="H843" s="7" t="s">
        <v>26</v>
      </c>
      <c r="I843" s="7" t="s">
        <v>308</v>
      </c>
      <c r="J843" s="7" t="s">
        <v>822</v>
      </c>
      <c r="K843" s="7" t="s">
        <v>29</v>
      </c>
      <c r="L843" s="3" t="str">
        <f>E843&amp;D843</f>
        <v>E.SP.IPAEE_INS_SEG_S_I_CIRCUITO VIA CA_0030</v>
      </c>
      <c r="M843" s="3" t="str">
        <f>IFERROR(MID(D843,SEARCH("S_I_",D843,1),3),"")</f>
        <v>S_I</v>
      </c>
      <c r="N843" s="3" t="str">
        <f>IFERROR(MID(D843,SEARCH("C_I_",D843,1),3),"")</f>
        <v/>
      </c>
      <c r="O843" s="3" t="str">
        <f>IF(AND(M843="",N843=""),"Extra","")</f>
        <v/>
      </c>
      <c r="P843" s="3" t="str">
        <f>IF(Q843=0,"TERCEIRO","MRS")</f>
        <v>MRS</v>
      </c>
      <c r="Q843" s="8" t="str">
        <f>IFERROR(VLOOKUP(L843,#REF!,4,0),"0,00")</f>
        <v>0,00</v>
      </c>
      <c r="R843" s="9" t="s">
        <v>30</v>
      </c>
      <c r="S843" s="9">
        <f>COUNTIF(D843,"*_SEG_*")</f>
        <v>1</v>
      </c>
      <c r="T843" s="9">
        <f>COUNTIF(D843,"*_MAN_*")</f>
        <v>0</v>
      </c>
      <c r="U843" s="9">
        <f>(RIGHT(D843,4))*1</f>
        <v>30</v>
      </c>
      <c r="V843" s="9" t="str">
        <f>IFERROR(VLOOKUP(I843,#REF!,2,0),"Sinalização")</f>
        <v>Sinalização</v>
      </c>
    </row>
    <row r="844" spans="1:22" x14ac:dyDescent="0.25">
      <c r="A844" s="3" t="s">
        <v>22</v>
      </c>
      <c r="B844" s="4">
        <v>23510358</v>
      </c>
      <c r="C844" s="5" t="s">
        <v>23</v>
      </c>
      <c r="D844" s="6" t="s">
        <v>828</v>
      </c>
      <c r="E844" s="6" t="s">
        <v>25</v>
      </c>
      <c r="F844" s="11">
        <v>46165</v>
      </c>
      <c r="G844" s="6" t="s">
        <v>1079</v>
      </c>
      <c r="H844" s="7" t="s">
        <v>26</v>
      </c>
      <c r="I844" s="7" t="s">
        <v>993</v>
      </c>
      <c r="J844" s="7" t="s">
        <v>822</v>
      </c>
      <c r="K844" s="7" t="s">
        <v>29</v>
      </c>
      <c r="L844" s="3" t="str">
        <f>E844&amp;D844</f>
        <v>E.SP.IPAEE_INS_SEG_S_I_CIRCUITO VIA CA_0030</v>
      </c>
      <c r="M844" s="3" t="str">
        <f>IFERROR(MID(D844,SEARCH("S_I_",D844,1),3),"")</f>
        <v>S_I</v>
      </c>
      <c r="N844" s="3" t="str">
        <f>IFERROR(MID(D844,SEARCH("C_I_",D844,1),3),"")</f>
        <v/>
      </c>
      <c r="O844" s="3" t="str">
        <f>IF(AND(M844="",N844=""),"Extra","")</f>
        <v/>
      </c>
      <c r="P844" s="3" t="str">
        <f>IF(Q844=0,"TERCEIRO","MRS")</f>
        <v>MRS</v>
      </c>
      <c r="Q844" s="8" t="str">
        <f>IFERROR(VLOOKUP(L844,#REF!,4,0),"0,00")</f>
        <v>0,00</v>
      </c>
      <c r="R844" s="9" t="s">
        <v>30</v>
      </c>
      <c r="S844" s="9">
        <f>COUNTIF(D844,"*_SEG_*")</f>
        <v>1</v>
      </c>
      <c r="T844" s="9">
        <f>COUNTIF(D844,"*_MAN_*")</f>
        <v>0</v>
      </c>
      <c r="U844" s="9">
        <f>(RIGHT(D844,4))*1</f>
        <v>30</v>
      </c>
      <c r="V844" s="9" t="str">
        <f>IFERROR(VLOOKUP(I844,#REF!,2,0),"Sinalização")</f>
        <v>Sinalização</v>
      </c>
    </row>
    <row r="845" spans="1:22" x14ac:dyDescent="0.25">
      <c r="A845" s="3" t="s">
        <v>22</v>
      </c>
      <c r="B845" s="4">
        <v>23510359</v>
      </c>
      <c r="C845" s="5" t="s">
        <v>23</v>
      </c>
      <c r="D845" s="6" t="s">
        <v>828</v>
      </c>
      <c r="E845" s="6" t="s">
        <v>25</v>
      </c>
      <c r="F845" s="11">
        <v>46165</v>
      </c>
      <c r="G845" s="6" t="s">
        <v>1079</v>
      </c>
      <c r="H845" s="7" t="s">
        <v>32</v>
      </c>
      <c r="I845" s="7" t="s">
        <v>346</v>
      </c>
      <c r="J845" s="7" t="s">
        <v>822</v>
      </c>
      <c r="K845" s="7" t="s">
        <v>29</v>
      </c>
      <c r="L845" s="3" t="str">
        <f>E845&amp;D845</f>
        <v>E.SP.IPAEE_INS_SEG_S_I_CIRCUITO VIA CA_0030</v>
      </c>
      <c r="M845" s="3" t="str">
        <f>IFERROR(MID(D845,SEARCH("S_I_",D845,1),3),"")</f>
        <v>S_I</v>
      </c>
      <c r="N845" s="3" t="str">
        <f>IFERROR(MID(D845,SEARCH("C_I_",D845,1),3),"")</f>
        <v/>
      </c>
      <c r="O845" s="3" t="str">
        <f>IF(AND(M845="",N845=""),"Extra","")</f>
        <v/>
      </c>
      <c r="P845" s="3" t="str">
        <f>IF(Q845=0,"TERCEIRO","MRS")</f>
        <v>MRS</v>
      </c>
      <c r="Q845" s="8" t="str">
        <f>IFERROR(VLOOKUP(L845,#REF!,4,0),"0,00")</f>
        <v>0,00</v>
      </c>
      <c r="R845" s="9" t="s">
        <v>30</v>
      </c>
      <c r="S845" s="9">
        <f>COUNTIF(D845,"*_SEG_*")</f>
        <v>1</v>
      </c>
      <c r="T845" s="9">
        <f>COUNTIF(D845,"*_MAN_*")</f>
        <v>0</v>
      </c>
      <c r="U845" s="9">
        <f>(RIGHT(D845,4))*1</f>
        <v>30</v>
      </c>
      <c r="V845" s="9" t="str">
        <f>IFERROR(VLOOKUP(I845,#REF!,2,0),"Sinalização")</f>
        <v>Sinalização</v>
      </c>
    </row>
    <row r="846" spans="1:22" x14ac:dyDescent="0.25">
      <c r="A846" s="3" t="s">
        <v>22</v>
      </c>
      <c r="B846" s="4">
        <v>23510360</v>
      </c>
      <c r="C846" s="5" t="s">
        <v>23</v>
      </c>
      <c r="D846" s="6" t="s">
        <v>828</v>
      </c>
      <c r="E846" s="6" t="s">
        <v>25</v>
      </c>
      <c r="F846" s="11">
        <v>46165</v>
      </c>
      <c r="G846" s="6" t="s">
        <v>1079</v>
      </c>
      <c r="H846" s="7" t="s">
        <v>32</v>
      </c>
      <c r="I846" s="7" t="s">
        <v>348</v>
      </c>
      <c r="J846" s="7" t="s">
        <v>822</v>
      </c>
      <c r="K846" s="7" t="s">
        <v>29</v>
      </c>
      <c r="L846" s="3" t="str">
        <f>E846&amp;D846</f>
        <v>E.SP.IPAEE_INS_SEG_S_I_CIRCUITO VIA CA_0030</v>
      </c>
      <c r="M846" s="3" t="str">
        <f>IFERROR(MID(D846,SEARCH("S_I_",D846,1),3),"")</f>
        <v>S_I</v>
      </c>
      <c r="N846" s="3" t="str">
        <f>IFERROR(MID(D846,SEARCH("C_I_",D846,1),3),"")</f>
        <v/>
      </c>
      <c r="O846" s="3" t="str">
        <f>IF(AND(M846="",N846=""),"Extra","")</f>
        <v/>
      </c>
      <c r="P846" s="3" t="str">
        <f>IF(Q846=0,"TERCEIRO","MRS")</f>
        <v>MRS</v>
      </c>
      <c r="Q846" s="8" t="str">
        <f>IFERROR(VLOOKUP(L846,#REF!,4,0),"0,00")</f>
        <v>0,00</v>
      </c>
      <c r="R846" s="9" t="s">
        <v>30</v>
      </c>
      <c r="S846" s="9">
        <f>COUNTIF(D846,"*_SEG_*")</f>
        <v>1</v>
      </c>
      <c r="T846" s="9">
        <f>COUNTIF(D846,"*_MAN_*")</f>
        <v>0</v>
      </c>
      <c r="U846" s="9">
        <f>(RIGHT(D846,4))*1</f>
        <v>30</v>
      </c>
      <c r="V846" s="9" t="str">
        <f>IFERROR(VLOOKUP(I846,#REF!,2,0),"Sinalização")</f>
        <v>Sinalização</v>
      </c>
    </row>
    <row r="847" spans="1:22" x14ac:dyDescent="0.25">
      <c r="A847" s="3" t="s">
        <v>22</v>
      </c>
      <c r="B847" s="4">
        <v>23510361</v>
      </c>
      <c r="C847" s="5" t="s">
        <v>23</v>
      </c>
      <c r="D847" s="6" t="s">
        <v>828</v>
      </c>
      <c r="E847" s="6" t="s">
        <v>25</v>
      </c>
      <c r="F847" s="11">
        <v>46165</v>
      </c>
      <c r="G847" s="6" t="s">
        <v>1079</v>
      </c>
      <c r="H847" s="7" t="s">
        <v>26</v>
      </c>
      <c r="I847" s="7" t="s">
        <v>500</v>
      </c>
      <c r="J847" s="7" t="s">
        <v>822</v>
      </c>
      <c r="K847" s="7" t="s">
        <v>29</v>
      </c>
      <c r="L847" s="3" t="str">
        <f>E847&amp;D847</f>
        <v>E.SP.IPAEE_INS_SEG_S_I_CIRCUITO VIA CA_0030</v>
      </c>
      <c r="M847" s="3" t="str">
        <f>IFERROR(MID(D847,SEARCH("S_I_",D847,1),3),"")</f>
        <v>S_I</v>
      </c>
      <c r="N847" s="3" t="str">
        <f>IFERROR(MID(D847,SEARCH("C_I_",D847,1),3),"")</f>
        <v/>
      </c>
      <c r="O847" s="3" t="str">
        <f>IF(AND(M847="",N847=""),"Extra","")</f>
        <v/>
      </c>
      <c r="P847" s="3" t="str">
        <f>IF(Q847=0,"TERCEIRO","MRS")</f>
        <v>MRS</v>
      </c>
      <c r="Q847" s="8" t="str">
        <f>IFERROR(VLOOKUP(L847,#REF!,4,0),"0,00")</f>
        <v>0,00</v>
      </c>
      <c r="R847" s="9" t="s">
        <v>30</v>
      </c>
      <c r="S847" s="9">
        <f>COUNTIF(D847,"*_SEG_*")</f>
        <v>1</v>
      </c>
      <c r="T847" s="9">
        <f>COUNTIF(D847,"*_MAN_*")</f>
        <v>0</v>
      </c>
      <c r="U847" s="9">
        <f>(RIGHT(D847,4))*1</f>
        <v>30</v>
      </c>
      <c r="V847" s="9" t="str">
        <f>IFERROR(VLOOKUP(I847,#REF!,2,0),"Sinalização")</f>
        <v>Sinalização</v>
      </c>
    </row>
    <row r="848" spans="1:22" x14ac:dyDescent="0.25">
      <c r="A848" s="3" t="s">
        <v>22</v>
      </c>
      <c r="B848" s="4">
        <v>23510362</v>
      </c>
      <c r="C848" s="5" t="s">
        <v>23</v>
      </c>
      <c r="D848" s="6" t="s">
        <v>828</v>
      </c>
      <c r="E848" s="6" t="s">
        <v>25</v>
      </c>
      <c r="F848" s="11">
        <v>46165</v>
      </c>
      <c r="G848" s="6" t="s">
        <v>1079</v>
      </c>
      <c r="H848" s="7" t="s">
        <v>26</v>
      </c>
      <c r="I848" s="7" t="s">
        <v>499</v>
      </c>
      <c r="J848" s="7" t="s">
        <v>822</v>
      </c>
      <c r="K848" s="7" t="s">
        <v>29</v>
      </c>
      <c r="L848" s="3" t="str">
        <f>E848&amp;D848</f>
        <v>E.SP.IPAEE_INS_SEG_S_I_CIRCUITO VIA CA_0030</v>
      </c>
      <c r="M848" s="3" t="str">
        <f>IFERROR(MID(D848,SEARCH("S_I_",D848,1),3),"")</f>
        <v>S_I</v>
      </c>
      <c r="N848" s="3" t="str">
        <f>IFERROR(MID(D848,SEARCH("C_I_",D848,1),3),"")</f>
        <v/>
      </c>
      <c r="O848" s="3" t="str">
        <f>IF(AND(M848="",N848=""),"Extra","")</f>
        <v/>
      </c>
      <c r="P848" s="3" t="str">
        <f>IF(Q848=0,"TERCEIRO","MRS")</f>
        <v>MRS</v>
      </c>
      <c r="Q848" s="8" t="str">
        <f>IFERROR(VLOOKUP(L848,#REF!,4,0),"0,00")</f>
        <v>0,00</v>
      </c>
      <c r="R848" s="9" t="s">
        <v>30</v>
      </c>
      <c r="S848" s="9">
        <f>COUNTIF(D848,"*_SEG_*")</f>
        <v>1</v>
      </c>
      <c r="T848" s="9">
        <f>COUNTIF(D848,"*_MAN_*")</f>
        <v>0</v>
      </c>
      <c r="U848" s="9">
        <f>(RIGHT(D848,4))*1</f>
        <v>30</v>
      </c>
      <c r="V848" s="9" t="str">
        <f>IFERROR(VLOOKUP(I848,#REF!,2,0),"Sinalização")</f>
        <v>Sinalização</v>
      </c>
    </row>
    <row r="849" spans="1:22" x14ac:dyDescent="0.25">
      <c r="A849" s="3" t="s">
        <v>22</v>
      </c>
      <c r="B849" s="4">
        <v>23510363</v>
      </c>
      <c r="C849" s="5" t="s">
        <v>23</v>
      </c>
      <c r="D849" s="6" t="s">
        <v>828</v>
      </c>
      <c r="E849" s="6" t="s">
        <v>25</v>
      </c>
      <c r="F849" s="11">
        <v>46165</v>
      </c>
      <c r="G849" s="6" t="s">
        <v>1079</v>
      </c>
      <c r="H849" s="7" t="s">
        <v>32</v>
      </c>
      <c r="I849" s="7" t="s">
        <v>569</v>
      </c>
      <c r="J849" s="7" t="s">
        <v>822</v>
      </c>
      <c r="K849" s="7" t="s">
        <v>29</v>
      </c>
      <c r="L849" s="3" t="str">
        <f>E849&amp;D849</f>
        <v>E.SP.IPAEE_INS_SEG_S_I_CIRCUITO VIA CA_0030</v>
      </c>
      <c r="M849" s="3" t="str">
        <f>IFERROR(MID(D849,SEARCH("S_I_",D849,1),3),"")</f>
        <v>S_I</v>
      </c>
      <c r="N849" s="3" t="str">
        <f>IFERROR(MID(D849,SEARCH("C_I_",D849,1),3),"")</f>
        <v/>
      </c>
      <c r="O849" s="3" t="str">
        <f>IF(AND(M849="",N849=""),"Extra","")</f>
        <v/>
      </c>
      <c r="P849" s="3" t="str">
        <f>IF(Q849=0,"TERCEIRO","MRS")</f>
        <v>MRS</v>
      </c>
      <c r="Q849" s="8" t="str">
        <f>IFERROR(VLOOKUP(L849,#REF!,4,0),"0,00")</f>
        <v>0,00</v>
      </c>
      <c r="R849" s="9" t="s">
        <v>30</v>
      </c>
      <c r="S849" s="9">
        <f>COUNTIF(D849,"*_SEG_*")</f>
        <v>1</v>
      </c>
      <c r="T849" s="9">
        <f>COUNTIF(D849,"*_MAN_*")</f>
        <v>0</v>
      </c>
      <c r="U849" s="9">
        <f>(RIGHT(D849,4))*1</f>
        <v>30</v>
      </c>
      <c r="V849" s="9" t="str">
        <f>IFERROR(VLOOKUP(I849,#REF!,2,0),"Sinalização")</f>
        <v>Sinalização</v>
      </c>
    </row>
    <row r="850" spans="1:22" x14ac:dyDescent="0.25">
      <c r="A850" s="3" t="s">
        <v>22</v>
      </c>
      <c r="B850" s="4">
        <v>23510365</v>
      </c>
      <c r="C850" s="5" t="s">
        <v>23</v>
      </c>
      <c r="D850" s="6" t="s">
        <v>828</v>
      </c>
      <c r="E850" s="6" t="s">
        <v>25</v>
      </c>
      <c r="F850" s="11">
        <v>46165</v>
      </c>
      <c r="G850" s="6" t="s">
        <v>1079</v>
      </c>
      <c r="H850" s="7" t="s">
        <v>32</v>
      </c>
      <c r="I850" s="7" t="s">
        <v>307</v>
      </c>
      <c r="J850" s="7" t="s">
        <v>822</v>
      </c>
      <c r="K850" s="7" t="s">
        <v>29</v>
      </c>
      <c r="L850" s="3" t="str">
        <f>E850&amp;D850</f>
        <v>E.SP.IPAEE_INS_SEG_S_I_CIRCUITO VIA CA_0030</v>
      </c>
      <c r="M850" s="3" t="str">
        <f>IFERROR(MID(D850,SEARCH("S_I_",D850,1),3),"")</f>
        <v>S_I</v>
      </c>
      <c r="N850" s="3" t="str">
        <f>IFERROR(MID(D850,SEARCH("C_I_",D850,1),3),"")</f>
        <v/>
      </c>
      <c r="O850" s="3" t="str">
        <f>IF(AND(M850="",N850=""),"Extra","")</f>
        <v/>
      </c>
      <c r="P850" s="3" t="str">
        <f>IF(Q850=0,"TERCEIRO","MRS")</f>
        <v>MRS</v>
      </c>
      <c r="Q850" s="8" t="str">
        <f>IFERROR(VLOOKUP(L850,#REF!,4,0),"0,00")</f>
        <v>0,00</v>
      </c>
      <c r="R850" s="9" t="s">
        <v>30</v>
      </c>
      <c r="S850" s="9">
        <f>COUNTIF(D850,"*_SEG_*")</f>
        <v>1</v>
      </c>
      <c r="T850" s="9">
        <f>COUNTIF(D850,"*_MAN_*")</f>
        <v>0</v>
      </c>
      <c r="U850" s="9">
        <f>(RIGHT(D850,4))*1</f>
        <v>30</v>
      </c>
      <c r="V850" s="9" t="str">
        <f>IFERROR(VLOOKUP(I850,#REF!,2,0),"Sinalização")</f>
        <v>Sinalização</v>
      </c>
    </row>
    <row r="851" spans="1:22" x14ac:dyDescent="0.25">
      <c r="A851" s="3" t="s">
        <v>22</v>
      </c>
      <c r="B851" s="4">
        <v>23510367</v>
      </c>
      <c r="C851" s="5" t="s">
        <v>23</v>
      </c>
      <c r="D851" s="6" t="s">
        <v>828</v>
      </c>
      <c r="E851" s="6" t="s">
        <v>25</v>
      </c>
      <c r="F851" s="11">
        <v>46165</v>
      </c>
      <c r="G851" s="6" t="s">
        <v>1079</v>
      </c>
      <c r="H851" s="7" t="s">
        <v>26</v>
      </c>
      <c r="I851" s="7" t="s">
        <v>214</v>
      </c>
      <c r="J851" s="7" t="s">
        <v>822</v>
      </c>
      <c r="K851" s="7" t="s">
        <v>29</v>
      </c>
      <c r="L851" s="3" t="str">
        <f>E851&amp;D851</f>
        <v>E.SP.IPAEE_INS_SEG_S_I_CIRCUITO VIA CA_0030</v>
      </c>
      <c r="M851" s="3" t="str">
        <f>IFERROR(MID(D851,SEARCH("S_I_",D851,1),3),"")</f>
        <v>S_I</v>
      </c>
      <c r="N851" s="3" t="str">
        <f>IFERROR(MID(D851,SEARCH("C_I_",D851,1),3),"")</f>
        <v/>
      </c>
      <c r="O851" s="3" t="str">
        <f>IF(AND(M851="",N851=""),"Extra","")</f>
        <v/>
      </c>
      <c r="P851" s="3" t="str">
        <f>IF(Q851=0,"TERCEIRO","MRS")</f>
        <v>MRS</v>
      </c>
      <c r="Q851" s="8" t="str">
        <f>IFERROR(VLOOKUP(L851,#REF!,4,0),"0,00")</f>
        <v>0,00</v>
      </c>
      <c r="R851" s="9" t="s">
        <v>30</v>
      </c>
      <c r="S851" s="9">
        <f>COUNTIF(D851,"*_SEG_*")</f>
        <v>1</v>
      </c>
      <c r="T851" s="9">
        <f>COUNTIF(D851,"*_MAN_*")</f>
        <v>0</v>
      </c>
      <c r="U851" s="9">
        <f>(RIGHT(D851,4))*1</f>
        <v>30</v>
      </c>
      <c r="V851" s="9" t="str">
        <f>IFERROR(VLOOKUP(I851,#REF!,2,0),"Sinalização")</f>
        <v>Sinalização</v>
      </c>
    </row>
    <row r="852" spans="1:22" x14ac:dyDescent="0.25">
      <c r="A852" s="3" t="s">
        <v>22</v>
      </c>
      <c r="B852" s="4">
        <v>23510368</v>
      </c>
      <c r="C852" s="5" t="s">
        <v>23</v>
      </c>
      <c r="D852" s="6" t="s">
        <v>828</v>
      </c>
      <c r="E852" s="6" t="s">
        <v>25</v>
      </c>
      <c r="F852" s="11">
        <v>46165</v>
      </c>
      <c r="G852" s="6" t="s">
        <v>1079</v>
      </c>
      <c r="H852" s="7" t="s">
        <v>26</v>
      </c>
      <c r="I852" s="7" t="s">
        <v>235</v>
      </c>
      <c r="J852" s="7" t="s">
        <v>822</v>
      </c>
      <c r="K852" s="7" t="s">
        <v>29</v>
      </c>
      <c r="L852" s="3" t="str">
        <f>E852&amp;D852</f>
        <v>E.SP.IPAEE_INS_SEG_S_I_CIRCUITO VIA CA_0030</v>
      </c>
      <c r="M852" s="3" t="str">
        <f>IFERROR(MID(D852,SEARCH("S_I_",D852,1),3),"")</f>
        <v>S_I</v>
      </c>
      <c r="N852" s="3" t="str">
        <f>IFERROR(MID(D852,SEARCH("C_I_",D852,1),3),"")</f>
        <v/>
      </c>
      <c r="O852" s="3" t="str">
        <f>IF(AND(M852="",N852=""),"Extra","")</f>
        <v/>
      </c>
      <c r="P852" s="3" t="str">
        <f>IF(Q852=0,"TERCEIRO","MRS")</f>
        <v>MRS</v>
      </c>
      <c r="Q852" s="8" t="str">
        <f>IFERROR(VLOOKUP(L852,#REF!,4,0),"0,00")</f>
        <v>0,00</v>
      </c>
      <c r="R852" s="9" t="s">
        <v>30</v>
      </c>
      <c r="S852" s="9">
        <f>COUNTIF(D852,"*_SEG_*")</f>
        <v>1</v>
      </c>
      <c r="T852" s="9">
        <f>COUNTIF(D852,"*_MAN_*")</f>
        <v>0</v>
      </c>
      <c r="U852" s="9">
        <f>(RIGHT(D852,4))*1</f>
        <v>30</v>
      </c>
      <c r="V852" s="9" t="str">
        <f>IFERROR(VLOOKUP(I852,#REF!,2,0),"Sinalização")</f>
        <v>Sinalização</v>
      </c>
    </row>
    <row r="853" spans="1:22" x14ac:dyDescent="0.25">
      <c r="A853" s="3" t="s">
        <v>22</v>
      </c>
      <c r="B853" s="4">
        <v>23510369</v>
      </c>
      <c r="C853" s="5" t="s">
        <v>23</v>
      </c>
      <c r="D853" s="6" t="s">
        <v>828</v>
      </c>
      <c r="E853" s="6" t="s">
        <v>25</v>
      </c>
      <c r="F853" s="11">
        <v>46165</v>
      </c>
      <c r="G853" s="6" t="s">
        <v>1079</v>
      </c>
      <c r="H853" s="7" t="s">
        <v>32</v>
      </c>
      <c r="I853" s="7" t="s">
        <v>994</v>
      </c>
      <c r="J853" s="7" t="s">
        <v>822</v>
      </c>
      <c r="K853" s="7" t="s">
        <v>29</v>
      </c>
      <c r="L853" s="3" t="str">
        <f>E853&amp;D853</f>
        <v>E.SP.IPAEE_INS_SEG_S_I_CIRCUITO VIA CA_0030</v>
      </c>
      <c r="M853" s="3" t="str">
        <f>IFERROR(MID(D853,SEARCH("S_I_",D853,1),3),"")</f>
        <v>S_I</v>
      </c>
      <c r="N853" s="3" t="str">
        <f>IFERROR(MID(D853,SEARCH("C_I_",D853,1),3),"")</f>
        <v/>
      </c>
      <c r="O853" s="3" t="str">
        <f>IF(AND(M853="",N853=""),"Extra","")</f>
        <v/>
      </c>
      <c r="P853" s="3" t="str">
        <f>IF(Q853=0,"TERCEIRO","MRS")</f>
        <v>MRS</v>
      </c>
      <c r="Q853" s="8" t="str">
        <f>IFERROR(VLOOKUP(L853,#REF!,4,0),"0,00")</f>
        <v>0,00</v>
      </c>
      <c r="R853" s="9" t="s">
        <v>30</v>
      </c>
      <c r="S853" s="9">
        <f>COUNTIF(D853,"*_SEG_*")</f>
        <v>1</v>
      </c>
      <c r="T853" s="9">
        <f>COUNTIF(D853,"*_MAN_*")</f>
        <v>0</v>
      </c>
      <c r="U853" s="9">
        <f>(RIGHT(D853,4))*1</f>
        <v>30</v>
      </c>
      <c r="V853" s="9" t="str">
        <f>IFERROR(VLOOKUP(I853,#REF!,2,0),"Sinalização")</f>
        <v>Sinalização</v>
      </c>
    </row>
    <row r="854" spans="1:22" x14ac:dyDescent="0.25">
      <c r="A854" s="3" t="s">
        <v>22</v>
      </c>
      <c r="B854" s="4">
        <v>23510370</v>
      </c>
      <c r="C854" s="5" t="s">
        <v>23</v>
      </c>
      <c r="D854" s="6" t="s">
        <v>828</v>
      </c>
      <c r="E854" s="6" t="s">
        <v>25</v>
      </c>
      <c r="F854" s="11">
        <v>46165</v>
      </c>
      <c r="G854" s="6" t="s">
        <v>1079</v>
      </c>
      <c r="H854" s="7" t="s">
        <v>32</v>
      </c>
      <c r="I854" s="7" t="s">
        <v>995</v>
      </c>
      <c r="J854" s="7" t="s">
        <v>822</v>
      </c>
      <c r="K854" s="7" t="s">
        <v>29</v>
      </c>
      <c r="L854" s="3" t="str">
        <f>E854&amp;D854</f>
        <v>E.SP.IPAEE_INS_SEG_S_I_CIRCUITO VIA CA_0030</v>
      </c>
      <c r="M854" s="3" t="str">
        <f>IFERROR(MID(D854,SEARCH("S_I_",D854,1),3),"")</f>
        <v>S_I</v>
      </c>
      <c r="N854" s="3" t="str">
        <f>IFERROR(MID(D854,SEARCH("C_I_",D854,1),3),"")</f>
        <v/>
      </c>
      <c r="O854" s="3" t="str">
        <f>IF(AND(M854="",N854=""),"Extra","")</f>
        <v/>
      </c>
      <c r="P854" s="3" t="str">
        <f>IF(Q854=0,"TERCEIRO","MRS")</f>
        <v>MRS</v>
      </c>
      <c r="Q854" s="8" t="str">
        <f>IFERROR(VLOOKUP(L854,#REF!,4,0),"0,00")</f>
        <v>0,00</v>
      </c>
      <c r="R854" s="9" t="s">
        <v>30</v>
      </c>
      <c r="S854" s="9">
        <f>COUNTIF(D854,"*_SEG_*")</f>
        <v>1</v>
      </c>
      <c r="T854" s="9">
        <f>COUNTIF(D854,"*_MAN_*")</f>
        <v>0</v>
      </c>
      <c r="U854" s="9">
        <f>(RIGHT(D854,4))*1</f>
        <v>30</v>
      </c>
      <c r="V854" s="9" t="str">
        <f>IFERROR(VLOOKUP(I854,#REF!,2,0),"Sinalização")</f>
        <v>Sinalização</v>
      </c>
    </row>
    <row r="855" spans="1:22" x14ac:dyDescent="0.25">
      <c r="A855" s="3" t="s">
        <v>22</v>
      </c>
      <c r="B855" s="4">
        <v>23510371</v>
      </c>
      <c r="C855" s="5" t="s">
        <v>23</v>
      </c>
      <c r="D855" s="6" t="s">
        <v>828</v>
      </c>
      <c r="E855" s="6" t="s">
        <v>25</v>
      </c>
      <c r="F855" s="11">
        <v>46165</v>
      </c>
      <c r="G855" s="6" t="s">
        <v>1079</v>
      </c>
      <c r="H855" s="7" t="s">
        <v>26</v>
      </c>
      <c r="I855" s="7" t="s">
        <v>996</v>
      </c>
      <c r="J855" s="7" t="s">
        <v>822</v>
      </c>
      <c r="K855" s="7" t="s">
        <v>29</v>
      </c>
      <c r="L855" s="3" t="str">
        <f>E855&amp;D855</f>
        <v>E.SP.IPAEE_INS_SEG_S_I_CIRCUITO VIA CA_0030</v>
      </c>
      <c r="M855" s="3" t="str">
        <f>IFERROR(MID(D855,SEARCH("S_I_",D855,1),3),"")</f>
        <v>S_I</v>
      </c>
      <c r="N855" s="3" t="str">
        <f>IFERROR(MID(D855,SEARCH("C_I_",D855,1),3),"")</f>
        <v/>
      </c>
      <c r="O855" s="3" t="str">
        <f>IF(AND(M855="",N855=""),"Extra","")</f>
        <v/>
      </c>
      <c r="P855" s="3" t="str">
        <f>IF(Q855=0,"TERCEIRO","MRS")</f>
        <v>MRS</v>
      </c>
      <c r="Q855" s="8" t="str">
        <f>IFERROR(VLOOKUP(L855,#REF!,4,0),"0,00")</f>
        <v>0,00</v>
      </c>
      <c r="R855" s="9" t="s">
        <v>30</v>
      </c>
      <c r="S855" s="9">
        <f>COUNTIF(D855,"*_SEG_*")</f>
        <v>1</v>
      </c>
      <c r="T855" s="9">
        <f>COUNTIF(D855,"*_MAN_*")</f>
        <v>0</v>
      </c>
      <c r="U855" s="9">
        <f>(RIGHT(D855,4))*1</f>
        <v>30</v>
      </c>
      <c r="V855" s="9" t="str">
        <f>IFERROR(VLOOKUP(I855,#REF!,2,0),"Sinalização")</f>
        <v>Sinalização</v>
      </c>
    </row>
    <row r="856" spans="1:22" x14ac:dyDescent="0.25">
      <c r="A856" s="3" t="s">
        <v>22</v>
      </c>
      <c r="B856" s="4">
        <v>23510372</v>
      </c>
      <c r="C856" s="5" t="s">
        <v>23</v>
      </c>
      <c r="D856" s="6" t="s">
        <v>828</v>
      </c>
      <c r="E856" s="6" t="s">
        <v>25</v>
      </c>
      <c r="F856" s="11">
        <v>46165</v>
      </c>
      <c r="G856" s="6" t="s">
        <v>1079</v>
      </c>
      <c r="H856" s="7" t="s">
        <v>26</v>
      </c>
      <c r="I856" s="7" t="s">
        <v>997</v>
      </c>
      <c r="J856" s="7" t="s">
        <v>822</v>
      </c>
      <c r="K856" s="7" t="s">
        <v>29</v>
      </c>
      <c r="L856" s="3" t="str">
        <f>E856&amp;D856</f>
        <v>E.SP.IPAEE_INS_SEG_S_I_CIRCUITO VIA CA_0030</v>
      </c>
      <c r="M856" s="3" t="str">
        <f>IFERROR(MID(D856,SEARCH("S_I_",D856,1),3),"")</f>
        <v>S_I</v>
      </c>
      <c r="N856" s="3" t="str">
        <f>IFERROR(MID(D856,SEARCH("C_I_",D856,1),3),"")</f>
        <v/>
      </c>
      <c r="O856" s="3" t="str">
        <f>IF(AND(M856="",N856=""),"Extra","")</f>
        <v/>
      </c>
      <c r="P856" s="3" t="str">
        <f>IF(Q856=0,"TERCEIRO","MRS")</f>
        <v>MRS</v>
      </c>
      <c r="Q856" s="8" t="str">
        <f>IFERROR(VLOOKUP(L856,#REF!,4,0),"0,00")</f>
        <v>0,00</v>
      </c>
      <c r="R856" s="9" t="s">
        <v>30</v>
      </c>
      <c r="S856" s="9">
        <f>COUNTIF(D856,"*_SEG_*")</f>
        <v>1</v>
      </c>
      <c r="T856" s="9">
        <f>COUNTIF(D856,"*_MAN_*")</f>
        <v>0</v>
      </c>
      <c r="U856" s="9">
        <f>(RIGHT(D856,4))*1</f>
        <v>30</v>
      </c>
      <c r="V856" s="9" t="str">
        <f>IFERROR(VLOOKUP(I856,#REF!,2,0),"Sinalização")</f>
        <v>Sinalização</v>
      </c>
    </row>
    <row r="857" spans="1:22" x14ac:dyDescent="0.25">
      <c r="A857" s="3" t="s">
        <v>22</v>
      </c>
      <c r="B857" s="4">
        <v>23510373</v>
      </c>
      <c r="C857" s="5" t="s">
        <v>23</v>
      </c>
      <c r="D857" s="6" t="s">
        <v>828</v>
      </c>
      <c r="E857" s="6" t="s">
        <v>25</v>
      </c>
      <c r="F857" s="11">
        <v>46165</v>
      </c>
      <c r="G857" s="6" t="s">
        <v>1079</v>
      </c>
      <c r="H857" s="7" t="s">
        <v>32</v>
      </c>
      <c r="I857" s="7" t="s">
        <v>321</v>
      </c>
      <c r="J857" s="7" t="s">
        <v>822</v>
      </c>
      <c r="K857" s="7" t="s">
        <v>29</v>
      </c>
      <c r="L857" s="3" t="str">
        <f>E857&amp;D857</f>
        <v>E.SP.IPAEE_INS_SEG_S_I_CIRCUITO VIA CA_0030</v>
      </c>
      <c r="M857" s="3" t="str">
        <f>IFERROR(MID(D857,SEARCH("S_I_",D857,1),3),"")</f>
        <v>S_I</v>
      </c>
      <c r="N857" s="3" t="str">
        <f>IFERROR(MID(D857,SEARCH("C_I_",D857,1),3),"")</f>
        <v/>
      </c>
      <c r="O857" s="3" t="str">
        <f>IF(AND(M857="",N857=""),"Extra","")</f>
        <v/>
      </c>
      <c r="P857" s="3" t="str">
        <f>IF(Q857=0,"TERCEIRO","MRS")</f>
        <v>MRS</v>
      </c>
      <c r="Q857" s="8" t="str">
        <f>IFERROR(VLOOKUP(L857,#REF!,4,0),"0,00")</f>
        <v>0,00</v>
      </c>
      <c r="R857" s="9" t="s">
        <v>30</v>
      </c>
      <c r="S857" s="9">
        <f>COUNTIF(D857,"*_SEG_*")</f>
        <v>1</v>
      </c>
      <c r="T857" s="9">
        <f>COUNTIF(D857,"*_MAN_*")</f>
        <v>0</v>
      </c>
      <c r="U857" s="9">
        <f>(RIGHT(D857,4))*1</f>
        <v>30</v>
      </c>
      <c r="V857" s="9" t="str">
        <f>IFERROR(VLOOKUP(I857,#REF!,2,0),"Sinalização")</f>
        <v>Sinalização</v>
      </c>
    </row>
    <row r="858" spans="1:22" x14ac:dyDescent="0.25">
      <c r="A858" s="3" t="s">
        <v>22</v>
      </c>
      <c r="B858" s="4">
        <v>23510374</v>
      </c>
      <c r="C858" s="5" t="s">
        <v>23</v>
      </c>
      <c r="D858" s="6" t="s">
        <v>828</v>
      </c>
      <c r="E858" s="6" t="s">
        <v>25</v>
      </c>
      <c r="F858" s="11">
        <v>46165</v>
      </c>
      <c r="G858" s="6" t="s">
        <v>1079</v>
      </c>
      <c r="H858" s="7" t="s">
        <v>32</v>
      </c>
      <c r="I858" s="7" t="s">
        <v>322</v>
      </c>
      <c r="J858" s="7" t="s">
        <v>822</v>
      </c>
      <c r="K858" s="7" t="s">
        <v>29</v>
      </c>
      <c r="L858" s="3" t="str">
        <f>E858&amp;D858</f>
        <v>E.SP.IPAEE_INS_SEG_S_I_CIRCUITO VIA CA_0030</v>
      </c>
      <c r="M858" s="3" t="str">
        <f>IFERROR(MID(D858,SEARCH("S_I_",D858,1),3),"")</f>
        <v>S_I</v>
      </c>
      <c r="N858" s="3" t="str">
        <f>IFERROR(MID(D858,SEARCH("C_I_",D858,1),3),"")</f>
        <v/>
      </c>
      <c r="O858" s="3" t="str">
        <f>IF(AND(M858="",N858=""),"Extra","")</f>
        <v/>
      </c>
      <c r="P858" s="3" t="str">
        <f>IF(Q858=0,"TERCEIRO","MRS")</f>
        <v>MRS</v>
      </c>
      <c r="Q858" s="8" t="str">
        <f>IFERROR(VLOOKUP(L858,#REF!,4,0),"0,00")</f>
        <v>0,00</v>
      </c>
      <c r="R858" s="9" t="s">
        <v>30</v>
      </c>
      <c r="S858" s="9">
        <f>COUNTIF(D858,"*_SEG_*")</f>
        <v>1</v>
      </c>
      <c r="T858" s="9">
        <f>COUNTIF(D858,"*_MAN_*")</f>
        <v>0</v>
      </c>
      <c r="U858" s="9">
        <f>(RIGHT(D858,4))*1</f>
        <v>30</v>
      </c>
      <c r="V858" s="9" t="str">
        <f>IFERROR(VLOOKUP(I858,#REF!,2,0),"Sinalização")</f>
        <v>Sinalização</v>
      </c>
    </row>
    <row r="859" spans="1:22" x14ac:dyDescent="0.25">
      <c r="A859" s="3" t="s">
        <v>22</v>
      </c>
      <c r="B859" s="4">
        <v>23510375</v>
      </c>
      <c r="C859" s="5" t="s">
        <v>23</v>
      </c>
      <c r="D859" s="6" t="s">
        <v>828</v>
      </c>
      <c r="E859" s="6" t="s">
        <v>25</v>
      </c>
      <c r="F859" s="11">
        <v>46165</v>
      </c>
      <c r="G859" s="6" t="s">
        <v>1079</v>
      </c>
      <c r="H859" s="7" t="s">
        <v>26</v>
      </c>
      <c r="I859" s="7" t="s">
        <v>234</v>
      </c>
      <c r="J859" s="7" t="s">
        <v>822</v>
      </c>
      <c r="K859" s="7" t="s">
        <v>29</v>
      </c>
      <c r="L859" s="3" t="str">
        <f>E859&amp;D859</f>
        <v>E.SP.IPAEE_INS_SEG_S_I_CIRCUITO VIA CA_0030</v>
      </c>
      <c r="M859" s="3" t="str">
        <f>IFERROR(MID(D859,SEARCH("S_I_",D859,1),3),"")</f>
        <v>S_I</v>
      </c>
      <c r="N859" s="3" t="str">
        <f>IFERROR(MID(D859,SEARCH("C_I_",D859,1),3),"")</f>
        <v/>
      </c>
      <c r="O859" s="3" t="str">
        <f>IF(AND(M859="",N859=""),"Extra","")</f>
        <v/>
      </c>
      <c r="P859" s="3" t="str">
        <f>IF(Q859=0,"TERCEIRO","MRS")</f>
        <v>MRS</v>
      </c>
      <c r="Q859" s="8" t="str">
        <f>IFERROR(VLOOKUP(L859,#REF!,4,0),"0,00")</f>
        <v>0,00</v>
      </c>
      <c r="R859" s="9" t="s">
        <v>30</v>
      </c>
      <c r="S859" s="9">
        <f>COUNTIF(D859,"*_SEG_*")</f>
        <v>1</v>
      </c>
      <c r="T859" s="9">
        <f>COUNTIF(D859,"*_MAN_*")</f>
        <v>0</v>
      </c>
      <c r="U859" s="9">
        <f>(RIGHT(D859,4))*1</f>
        <v>30</v>
      </c>
      <c r="V859" s="9" t="str">
        <f>IFERROR(VLOOKUP(I859,#REF!,2,0),"Sinalização")</f>
        <v>Sinalização</v>
      </c>
    </row>
    <row r="860" spans="1:22" x14ac:dyDescent="0.25">
      <c r="A860" s="3" t="s">
        <v>22</v>
      </c>
      <c r="B860" s="4">
        <v>23510376</v>
      </c>
      <c r="C860" s="5" t="s">
        <v>23</v>
      </c>
      <c r="D860" s="6" t="s">
        <v>828</v>
      </c>
      <c r="E860" s="6" t="s">
        <v>25</v>
      </c>
      <c r="F860" s="11">
        <v>46165</v>
      </c>
      <c r="G860" s="6" t="s">
        <v>1079</v>
      </c>
      <c r="H860" s="7" t="s">
        <v>26</v>
      </c>
      <c r="I860" s="7" t="s">
        <v>998</v>
      </c>
      <c r="J860" s="7" t="s">
        <v>822</v>
      </c>
      <c r="K860" s="7" t="s">
        <v>29</v>
      </c>
      <c r="L860" s="3" t="str">
        <f>E860&amp;D860</f>
        <v>E.SP.IPAEE_INS_SEG_S_I_CIRCUITO VIA CA_0030</v>
      </c>
      <c r="M860" s="3" t="str">
        <f>IFERROR(MID(D860,SEARCH("S_I_",D860,1),3),"")</f>
        <v>S_I</v>
      </c>
      <c r="N860" s="3" t="str">
        <f>IFERROR(MID(D860,SEARCH("C_I_",D860,1),3),"")</f>
        <v/>
      </c>
      <c r="O860" s="3" t="str">
        <f>IF(AND(M860="",N860=""),"Extra","")</f>
        <v/>
      </c>
      <c r="P860" s="3" t="str">
        <f>IF(Q860=0,"TERCEIRO","MRS")</f>
        <v>MRS</v>
      </c>
      <c r="Q860" s="8" t="str">
        <f>IFERROR(VLOOKUP(L860,#REF!,4,0),"0,00")</f>
        <v>0,00</v>
      </c>
      <c r="R860" s="9" t="s">
        <v>30</v>
      </c>
      <c r="S860" s="9">
        <f>COUNTIF(D860,"*_SEG_*")</f>
        <v>1</v>
      </c>
      <c r="T860" s="9">
        <f>COUNTIF(D860,"*_MAN_*")</f>
        <v>0</v>
      </c>
      <c r="U860" s="9">
        <f>(RIGHT(D860,4))*1</f>
        <v>30</v>
      </c>
      <c r="V860" s="9" t="str">
        <f>IFERROR(VLOOKUP(I860,#REF!,2,0),"Sinalização")</f>
        <v>Sinalização</v>
      </c>
    </row>
    <row r="861" spans="1:22" x14ac:dyDescent="0.25">
      <c r="A861" s="3" t="s">
        <v>22</v>
      </c>
      <c r="B861" s="4">
        <v>23510379</v>
      </c>
      <c r="C861" s="5" t="s">
        <v>23</v>
      </c>
      <c r="D861" s="6" t="s">
        <v>828</v>
      </c>
      <c r="E861" s="6" t="s">
        <v>25</v>
      </c>
      <c r="F861" s="11">
        <v>46165</v>
      </c>
      <c r="G861" s="6" t="s">
        <v>1079</v>
      </c>
      <c r="H861" s="7" t="s">
        <v>32</v>
      </c>
      <c r="I861" s="7" t="s">
        <v>369</v>
      </c>
      <c r="J861" s="7" t="s">
        <v>822</v>
      </c>
      <c r="K861" s="7" t="s">
        <v>29</v>
      </c>
      <c r="L861" s="3" t="str">
        <f>E861&amp;D861</f>
        <v>E.SP.IPAEE_INS_SEG_S_I_CIRCUITO VIA CA_0030</v>
      </c>
      <c r="M861" s="3" t="str">
        <f>IFERROR(MID(D861,SEARCH("S_I_",D861,1),3),"")</f>
        <v>S_I</v>
      </c>
      <c r="N861" s="3" t="str">
        <f>IFERROR(MID(D861,SEARCH("C_I_",D861,1),3),"")</f>
        <v/>
      </c>
      <c r="O861" s="3" t="str">
        <f>IF(AND(M861="",N861=""),"Extra","")</f>
        <v/>
      </c>
      <c r="P861" s="3" t="str">
        <f>IF(Q861=0,"TERCEIRO","MRS")</f>
        <v>MRS</v>
      </c>
      <c r="Q861" s="8" t="str">
        <f>IFERROR(VLOOKUP(L861,#REF!,4,0),"0,00")</f>
        <v>0,00</v>
      </c>
      <c r="R861" s="9" t="s">
        <v>30</v>
      </c>
      <c r="S861" s="9">
        <f>COUNTIF(D861,"*_SEG_*")</f>
        <v>1</v>
      </c>
      <c r="T861" s="9">
        <f>COUNTIF(D861,"*_MAN_*")</f>
        <v>0</v>
      </c>
      <c r="U861" s="9">
        <f>(RIGHT(D861,4))*1</f>
        <v>30</v>
      </c>
      <c r="V861" s="9" t="str">
        <f>IFERROR(VLOOKUP(I861,#REF!,2,0),"Sinalização")</f>
        <v>Sinalização</v>
      </c>
    </row>
    <row r="862" spans="1:22" x14ac:dyDescent="0.25">
      <c r="A862" s="3" t="s">
        <v>22</v>
      </c>
      <c r="B862" s="4">
        <v>23510380</v>
      </c>
      <c r="C862" s="5" t="s">
        <v>23</v>
      </c>
      <c r="D862" s="6" t="s">
        <v>828</v>
      </c>
      <c r="E862" s="6" t="s">
        <v>25</v>
      </c>
      <c r="F862" s="11">
        <v>46165</v>
      </c>
      <c r="G862" s="6" t="s">
        <v>1079</v>
      </c>
      <c r="H862" s="7" t="s">
        <v>32</v>
      </c>
      <c r="I862" s="7" t="s">
        <v>370</v>
      </c>
      <c r="J862" s="7" t="s">
        <v>822</v>
      </c>
      <c r="K862" s="7" t="s">
        <v>29</v>
      </c>
      <c r="L862" s="3" t="str">
        <f>E862&amp;D862</f>
        <v>E.SP.IPAEE_INS_SEG_S_I_CIRCUITO VIA CA_0030</v>
      </c>
      <c r="M862" s="3" t="str">
        <f>IFERROR(MID(D862,SEARCH("S_I_",D862,1),3),"")</f>
        <v>S_I</v>
      </c>
      <c r="N862" s="3" t="str">
        <f>IFERROR(MID(D862,SEARCH("C_I_",D862,1),3),"")</f>
        <v/>
      </c>
      <c r="O862" s="3" t="str">
        <f>IF(AND(M862="",N862=""),"Extra","")</f>
        <v/>
      </c>
      <c r="P862" s="3" t="str">
        <f>IF(Q862=0,"TERCEIRO","MRS")</f>
        <v>MRS</v>
      </c>
      <c r="Q862" s="8" t="str">
        <f>IFERROR(VLOOKUP(L862,#REF!,4,0),"0,00")</f>
        <v>0,00</v>
      </c>
      <c r="R862" s="9" t="s">
        <v>30</v>
      </c>
      <c r="S862" s="9">
        <f>COUNTIF(D862,"*_SEG_*")</f>
        <v>1</v>
      </c>
      <c r="T862" s="9">
        <f>COUNTIF(D862,"*_MAN_*")</f>
        <v>0</v>
      </c>
      <c r="U862" s="9">
        <f>(RIGHT(D862,4))*1</f>
        <v>30</v>
      </c>
      <c r="V862" s="9" t="str">
        <f>IFERROR(VLOOKUP(I862,#REF!,2,0),"Sinalização")</f>
        <v>Sinalização</v>
      </c>
    </row>
    <row r="863" spans="1:22" x14ac:dyDescent="0.25">
      <c r="A863" s="3" t="s">
        <v>22</v>
      </c>
      <c r="B863" s="4">
        <v>23510382</v>
      </c>
      <c r="C863" s="5" t="s">
        <v>23</v>
      </c>
      <c r="D863" s="6" t="s">
        <v>828</v>
      </c>
      <c r="E863" s="6" t="s">
        <v>25</v>
      </c>
      <c r="F863" s="11">
        <v>46165</v>
      </c>
      <c r="G863" s="6" t="s">
        <v>1079</v>
      </c>
      <c r="H863" s="7" t="s">
        <v>26</v>
      </c>
      <c r="I863" s="7" t="s">
        <v>761</v>
      </c>
      <c r="J863" s="7" t="s">
        <v>822</v>
      </c>
      <c r="K863" s="7" t="s">
        <v>29</v>
      </c>
      <c r="L863" s="3" t="str">
        <f>E863&amp;D863</f>
        <v>E.SP.IPAEE_INS_SEG_S_I_CIRCUITO VIA CA_0030</v>
      </c>
      <c r="M863" s="3" t="str">
        <f>IFERROR(MID(D863,SEARCH("S_I_",D863,1),3),"")</f>
        <v>S_I</v>
      </c>
      <c r="N863" s="3" t="str">
        <f>IFERROR(MID(D863,SEARCH("C_I_",D863,1),3),"")</f>
        <v/>
      </c>
      <c r="O863" s="3" t="str">
        <f>IF(AND(M863="",N863=""),"Extra","")</f>
        <v/>
      </c>
      <c r="P863" s="3" t="str">
        <f>IF(Q863=0,"TERCEIRO","MRS")</f>
        <v>MRS</v>
      </c>
      <c r="Q863" s="8" t="str">
        <f>IFERROR(VLOOKUP(L863,#REF!,4,0),"0,00")</f>
        <v>0,00</v>
      </c>
      <c r="R863" s="9" t="s">
        <v>30</v>
      </c>
      <c r="S863" s="9">
        <f>COUNTIF(D863,"*_SEG_*")</f>
        <v>1</v>
      </c>
      <c r="T863" s="9">
        <f>COUNTIF(D863,"*_MAN_*")</f>
        <v>0</v>
      </c>
      <c r="U863" s="9">
        <f>(RIGHT(D863,4))*1</f>
        <v>30</v>
      </c>
      <c r="V863" s="9" t="str">
        <f>IFERROR(VLOOKUP(I863,#REF!,2,0),"Sinalização")</f>
        <v>Sinalização</v>
      </c>
    </row>
    <row r="864" spans="1:22" x14ac:dyDescent="0.25">
      <c r="A864" s="3" t="s">
        <v>22</v>
      </c>
      <c r="B864" s="4">
        <v>23510383</v>
      </c>
      <c r="C864" s="5" t="s">
        <v>23</v>
      </c>
      <c r="D864" s="6" t="s">
        <v>828</v>
      </c>
      <c r="E864" s="6" t="s">
        <v>25</v>
      </c>
      <c r="F864" s="11">
        <v>46165</v>
      </c>
      <c r="G864" s="6" t="s">
        <v>1079</v>
      </c>
      <c r="H864" s="7" t="s">
        <v>26</v>
      </c>
      <c r="I864" s="7" t="s">
        <v>406</v>
      </c>
      <c r="J864" s="7" t="s">
        <v>822</v>
      </c>
      <c r="K864" s="7" t="s">
        <v>29</v>
      </c>
      <c r="L864" s="3" t="str">
        <f>E864&amp;D864</f>
        <v>E.SP.IPAEE_INS_SEG_S_I_CIRCUITO VIA CA_0030</v>
      </c>
      <c r="M864" s="3" t="str">
        <f>IFERROR(MID(D864,SEARCH("S_I_",D864,1),3),"")</f>
        <v>S_I</v>
      </c>
      <c r="N864" s="3" t="str">
        <f>IFERROR(MID(D864,SEARCH("C_I_",D864,1),3),"")</f>
        <v/>
      </c>
      <c r="O864" s="3" t="str">
        <f>IF(AND(M864="",N864=""),"Extra","")</f>
        <v/>
      </c>
      <c r="P864" s="3" t="str">
        <f>IF(Q864=0,"TERCEIRO","MRS")</f>
        <v>MRS</v>
      </c>
      <c r="Q864" s="8" t="str">
        <f>IFERROR(VLOOKUP(L864,#REF!,4,0),"0,00")</f>
        <v>0,00</v>
      </c>
      <c r="R864" s="9" t="s">
        <v>30</v>
      </c>
      <c r="S864" s="9">
        <f>COUNTIF(D864,"*_SEG_*")</f>
        <v>1</v>
      </c>
      <c r="T864" s="9">
        <f>COUNTIF(D864,"*_MAN_*")</f>
        <v>0</v>
      </c>
      <c r="U864" s="9">
        <f>(RIGHT(D864,4))*1</f>
        <v>30</v>
      </c>
      <c r="V864" s="9" t="str">
        <f>IFERROR(VLOOKUP(I864,#REF!,2,0),"Sinalização")</f>
        <v>Sinalização</v>
      </c>
    </row>
    <row r="865" spans="1:22" x14ac:dyDescent="0.25">
      <c r="A865" s="3" t="s">
        <v>22</v>
      </c>
      <c r="B865" s="4">
        <v>23510384</v>
      </c>
      <c r="C865" s="5" t="s">
        <v>23</v>
      </c>
      <c r="D865" s="6" t="s">
        <v>828</v>
      </c>
      <c r="E865" s="6" t="s">
        <v>25</v>
      </c>
      <c r="F865" s="11">
        <v>46165</v>
      </c>
      <c r="G865" s="6" t="s">
        <v>1079</v>
      </c>
      <c r="H865" s="7" t="s">
        <v>32</v>
      </c>
      <c r="I865" s="7" t="s">
        <v>733</v>
      </c>
      <c r="J865" s="7" t="s">
        <v>822</v>
      </c>
      <c r="K865" s="7" t="s">
        <v>29</v>
      </c>
      <c r="L865" s="3" t="str">
        <f>E865&amp;D865</f>
        <v>E.SP.IPAEE_INS_SEG_S_I_CIRCUITO VIA CA_0030</v>
      </c>
      <c r="M865" s="3" t="str">
        <f>IFERROR(MID(D865,SEARCH("S_I_",D865,1),3),"")</f>
        <v>S_I</v>
      </c>
      <c r="N865" s="3" t="str">
        <f>IFERROR(MID(D865,SEARCH("C_I_",D865,1),3),"")</f>
        <v/>
      </c>
      <c r="O865" s="3" t="str">
        <f>IF(AND(M865="",N865=""),"Extra","")</f>
        <v/>
      </c>
      <c r="P865" s="3" t="str">
        <f>IF(Q865=0,"TERCEIRO","MRS")</f>
        <v>MRS</v>
      </c>
      <c r="Q865" s="8" t="str">
        <f>IFERROR(VLOOKUP(L865,#REF!,4,0),"0,00")</f>
        <v>0,00</v>
      </c>
      <c r="R865" s="9" t="s">
        <v>30</v>
      </c>
      <c r="S865" s="9">
        <f>COUNTIF(D865,"*_SEG_*")</f>
        <v>1</v>
      </c>
      <c r="T865" s="9">
        <f>COUNTIF(D865,"*_MAN_*")</f>
        <v>0</v>
      </c>
      <c r="U865" s="9">
        <f>(RIGHT(D865,4))*1</f>
        <v>30</v>
      </c>
      <c r="V865" s="9" t="str">
        <f>IFERROR(VLOOKUP(I865,#REF!,2,0),"Sinalização")</f>
        <v>Sinalização</v>
      </c>
    </row>
    <row r="866" spans="1:22" x14ac:dyDescent="0.25">
      <c r="A866" s="3" t="s">
        <v>22</v>
      </c>
      <c r="B866" s="4">
        <v>23510386</v>
      </c>
      <c r="C866" s="5" t="s">
        <v>23</v>
      </c>
      <c r="D866" s="6" t="s">
        <v>828</v>
      </c>
      <c r="E866" s="6" t="s">
        <v>25</v>
      </c>
      <c r="F866" s="11">
        <v>46165</v>
      </c>
      <c r="G866" s="6" t="s">
        <v>1079</v>
      </c>
      <c r="H866" s="7" t="s">
        <v>32</v>
      </c>
      <c r="I866" s="7" t="s">
        <v>740</v>
      </c>
      <c r="J866" s="7" t="s">
        <v>822</v>
      </c>
      <c r="K866" s="7" t="s">
        <v>29</v>
      </c>
      <c r="L866" s="3" t="str">
        <f>E866&amp;D866</f>
        <v>E.SP.IPAEE_INS_SEG_S_I_CIRCUITO VIA CA_0030</v>
      </c>
      <c r="M866" s="3" t="str">
        <f>IFERROR(MID(D866,SEARCH("S_I_",D866,1),3),"")</f>
        <v>S_I</v>
      </c>
      <c r="N866" s="3" t="str">
        <f>IFERROR(MID(D866,SEARCH("C_I_",D866,1),3),"")</f>
        <v/>
      </c>
      <c r="O866" s="3" t="str">
        <f>IF(AND(M866="",N866=""),"Extra","")</f>
        <v/>
      </c>
      <c r="P866" s="3" t="str">
        <f>IF(Q866=0,"TERCEIRO","MRS")</f>
        <v>MRS</v>
      </c>
      <c r="Q866" s="8" t="str">
        <f>IFERROR(VLOOKUP(L866,#REF!,4,0),"0,00")</f>
        <v>0,00</v>
      </c>
      <c r="R866" s="9" t="s">
        <v>30</v>
      </c>
      <c r="S866" s="9">
        <f>COUNTIF(D866,"*_SEG_*")</f>
        <v>1</v>
      </c>
      <c r="T866" s="9">
        <f>COUNTIF(D866,"*_MAN_*")</f>
        <v>0</v>
      </c>
      <c r="U866" s="9">
        <f>(RIGHT(D866,4))*1</f>
        <v>30</v>
      </c>
      <c r="V866" s="9" t="str">
        <f>IFERROR(VLOOKUP(I866,#REF!,2,0),"Sinalização")</f>
        <v>Sinalização</v>
      </c>
    </row>
    <row r="867" spans="1:22" x14ac:dyDescent="0.25">
      <c r="A867" s="3" t="s">
        <v>22</v>
      </c>
      <c r="B867" s="4">
        <v>23510387</v>
      </c>
      <c r="C867" s="5" t="s">
        <v>23</v>
      </c>
      <c r="D867" s="6" t="s">
        <v>828</v>
      </c>
      <c r="E867" s="6" t="s">
        <v>25</v>
      </c>
      <c r="F867" s="11">
        <v>46165</v>
      </c>
      <c r="G867" s="6" t="s">
        <v>1079</v>
      </c>
      <c r="H867" s="7" t="s">
        <v>26</v>
      </c>
      <c r="I867" s="7" t="s">
        <v>734</v>
      </c>
      <c r="J867" s="7" t="s">
        <v>822</v>
      </c>
      <c r="K867" s="7" t="s">
        <v>29</v>
      </c>
      <c r="L867" s="3" t="str">
        <f>E867&amp;D867</f>
        <v>E.SP.IPAEE_INS_SEG_S_I_CIRCUITO VIA CA_0030</v>
      </c>
      <c r="M867" s="3" t="str">
        <f>IFERROR(MID(D867,SEARCH("S_I_",D867,1),3),"")</f>
        <v>S_I</v>
      </c>
      <c r="N867" s="3" t="str">
        <f>IFERROR(MID(D867,SEARCH("C_I_",D867,1),3),"")</f>
        <v/>
      </c>
      <c r="O867" s="3" t="str">
        <f>IF(AND(M867="",N867=""),"Extra","")</f>
        <v/>
      </c>
      <c r="P867" s="3" t="str">
        <f>IF(Q867=0,"TERCEIRO","MRS")</f>
        <v>MRS</v>
      </c>
      <c r="Q867" s="8" t="str">
        <f>IFERROR(VLOOKUP(L867,#REF!,4,0),"0,00")</f>
        <v>0,00</v>
      </c>
      <c r="R867" s="9" t="s">
        <v>30</v>
      </c>
      <c r="S867" s="9">
        <f>COUNTIF(D867,"*_SEG_*")</f>
        <v>1</v>
      </c>
      <c r="T867" s="9">
        <f>COUNTIF(D867,"*_MAN_*")</f>
        <v>0</v>
      </c>
      <c r="U867" s="9">
        <f>(RIGHT(D867,4))*1</f>
        <v>30</v>
      </c>
      <c r="V867" s="9" t="str">
        <f>IFERROR(VLOOKUP(I867,#REF!,2,0),"Sinalização")</f>
        <v>Sinalização</v>
      </c>
    </row>
    <row r="868" spans="1:22" x14ac:dyDescent="0.25">
      <c r="A868" s="3" t="s">
        <v>22</v>
      </c>
      <c r="B868" s="4">
        <v>23510388</v>
      </c>
      <c r="C868" s="5" t="s">
        <v>23</v>
      </c>
      <c r="D868" s="6" t="s">
        <v>828</v>
      </c>
      <c r="E868" s="6" t="s">
        <v>25</v>
      </c>
      <c r="F868" s="11">
        <v>46165</v>
      </c>
      <c r="G868" s="6" t="s">
        <v>1079</v>
      </c>
      <c r="H868" s="7" t="s">
        <v>26</v>
      </c>
      <c r="I868" s="7" t="s">
        <v>495</v>
      </c>
      <c r="J868" s="7" t="s">
        <v>822</v>
      </c>
      <c r="K868" s="7" t="s">
        <v>29</v>
      </c>
      <c r="L868" s="3" t="str">
        <f>E868&amp;D868</f>
        <v>E.SP.IPAEE_INS_SEG_S_I_CIRCUITO VIA CA_0030</v>
      </c>
      <c r="M868" s="3" t="str">
        <f>IFERROR(MID(D868,SEARCH("S_I_",D868,1),3),"")</f>
        <v>S_I</v>
      </c>
      <c r="N868" s="3" t="str">
        <f>IFERROR(MID(D868,SEARCH("C_I_",D868,1),3),"")</f>
        <v/>
      </c>
      <c r="O868" s="3" t="str">
        <f>IF(AND(M868="",N868=""),"Extra","")</f>
        <v/>
      </c>
      <c r="P868" s="3" t="str">
        <f>IF(Q868=0,"TERCEIRO","MRS")</f>
        <v>MRS</v>
      </c>
      <c r="Q868" s="8" t="str">
        <f>IFERROR(VLOOKUP(L868,#REF!,4,0),"0,00")</f>
        <v>0,00</v>
      </c>
      <c r="R868" s="9" t="s">
        <v>30</v>
      </c>
      <c r="S868" s="9">
        <f>COUNTIF(D868,"*_SEG_*")</f>
        <v>1</v>
      </c>
      <c r="T868" s="9">
        <f>COUNTIF(D868,"*_MAN_*")</f>
        <v>0</v>
      </c>
      <c r="U868" s="9">
        <f>(RIGHT(D868,4))*1</f>
        <v>30</v>
      </c>
      <c r="V868" s="9" t="str">
        <f>IFERROR(VLOOKUP(I868,#REF!,2,0),"Sinalização")</f>
        <v>Sinalização</v>
      </c>
    </row>
    <row r="869" spans="1:22" x14ac:dyDescent="0.25">
      <c r="A869" s="3" t="s">
        <v>22</v>
      </c>
      <c r="B869" s="4">
        <v>23510389</v>
      </c>
      <c r="C869" s="5" t="s">
        <v>23</v>
      </c>
      <c r="D869" s="6" t="s">
        <v>828</v>
      </c>
      <c r="E869" s="6" t="s">
        <v>25</v>
      </c>
      <c r="F869" s="11">
        <v>46165</v>
      </c>
      <c r="G869" s="6" t="s">
        <v>1079</v>
      </c>
      <c r="H869" s="7" t="s">
        <v>32</v>
      </c>
      <c r="I869" s="7" t="s">
        <v>999</v>
      </c>
      <c r="J869" s="7" t="s">
        <v>822</v>
      </c>
      <c r="K869" s="7" t="s">
        <v>29</v>
      </c>
      <c r="L869" s="3" t="str">
        <f>E869&amp;D869</f>
        <v>E.SP.IPAEE_INS_SEG_S_I_CIRCUITO VIA CA_0030</v>
      </c>
      <c r="M869" s="3" t="str">
        <f>IFERROR(MID(D869,SEARCH("S_I_",D869,1),3),"")</f>
        <v>S_I</v>
      </c>
      <c r="N869" s="3" t="str">
        <f>IFERROR(MID(D869,SEARCH("C_I_",D869,1),3),"")</f>
        <v/>
      </c>
      <c r="O869" s="3" t="str">
        <f>IF(AND(M869="",N869=""),"Extra","")</f>
        <v/>
      </c>
      <c r="P869" s="3" t="str">
        <f>IF(Q869=0,"TERCEIRO","MRS")</f>
        <v>MRS</v>
      </c>
      <c r="Q869" s="8" t="str">
        <f>IFERROR(VLOOKUP(L869,#REF!,4,0),"0,00")</f>
        <v>0,00</v>
      </c>
      <c r="R869" s="9" t="s">
        <v>30</v>
      </c>
      <c r="S869" s="9">
        <f>COUNTIF(D869,"*_SEG_*")</f>
        <v>1</v>
      </c>
      <c r="T869" s="9">
        <f>COUNTIF(D869,"*_MAN_*")</f>
        <v>0</v>
      </c>
      <c r="U869" s="9">
        <f>(RIGHT(D869,4))*1</f>
        <v>30</v>
      </c>
      <c r="V869" s="9" t="str">
        <f>IFERROR(VLOOKUP(I869,#REF!,2,0),"Sinalização")</f>
        <v>Sinalização</v>
      </c>
    </row>
    <row r="870" spans="1:22" x14ac:dyDescent="0.25">
      <c r="A870" s="3" t="s">
        <v>22</v>
      </c>
      <c r="B870" s="4">
        <v>23510390</v>
      </c>
      <c r="C870" s="5" t="s">
        <v>23</v>
      </c>
      <c r="D870" s="6" t="s">
        <v>828</v>
      </c>
      <c r="E870" s="6" t="s">
        <v>25</v>
      </c>
      <c r="F870" s="11">
        <v>46165</v>
      </c>
      <c r="G870" s="6" t="s">
        <v>1079</v>
      </c>
      <c r="H870" s="7" t="s">
        <v>32</v>
      </c>
      <c r="I870" s="7" t="s">
        <v>341</v>
      </c>
      <c r="J870" s="7" t="s">
        <v>822</v>
      </c>
      <c r="K870" s="7" t="s">
        <v>29</v>
      </c>
      <c r="L870" s="3" t="str">
        <f>E870&amp;D870</f>
        <v>E.SP.IPAEE_INS_SEG_S_I_CIRCUITO VIA CA_0030</v>
      </c>
      <c r="M870" s="3" t="str">
        <f>IFERROR(MID(D870,SEARCH("S_I_",D870,1),3),"")</f>
        <v>S_I</v>
      </c>
      <c r="N870" s="3" t="str">
        <f>IFERROR(MID(D870,SEARCH("C_I_",D870,1),3),"")</f>
        <v/>
      </c>
      <c r="O870" s="3" t="str">
        <f>IF(AND(M870="",N870=""),"Extra","")</f>
        <v/>
      </c>
      <c r="P870" s="3" t="str">
        <f>IF(Q870=0,"TERCEIRO","MRS")</f>
        <v>MRS</v>
      </c>
      <c r="Q870" s="8" t="str">
        <f>IFERROR(VLOOKUP(L870,#REF!,4,0),"0,00")</f>
        <v>0,00</v>
      </c>
      <c r="R870" s="9" t="s">
        <v>30</v>
      </c>
      <c r="S870" s="9">
        <f>COUNTIF(D870,"*_SEG_*")</f>
        <v>1</v>
      </c>
      <c r="T870" s="9">
        <f>COUNTIF(D870,"*_MAN_*")</f>
        <v>0</v>
      </c>
      <c r="U870" s="9">
        <f>(RIGHT(D870,4))*1</f>
        <v>30</v>
      </c>
      <c r="V870" s="9" t="str">
        <f>IFERROR(VLOOKUP(I870,#REF!,2,0),"Sinalização")</f>
        <v>Sinalização</v>
      </c>
    </row>
    <row r="871" spans="1:22" x14ac:dyDescent="0.25">
      <c r="A871" s="3" t="s">
        <v>22</v>
      </c>
      <c r="B871" s="4">
        <v>23510391</v>
      </c>
      <c r="C871" s="5" t="s">
        <v>23</v>
      </c>
      <c r="D871" s="6" t="s">
        <v>828</v>
      </c>
      <c r="E871" s="6" t="s">
        <v>25</v>
      </c>
      <c r="F871" s="11">
        <v>46165</v>
      </c>
      <c r="G871" s="6" t="s">
        <v>1079</v>
      </c>
      <c r="H871" s="7" t="s">
        <v>26</v>
      </c>
      <c r="I871" s="7" t="s">
        <v>767</v>
      </c>
      <c r="J871" s="7" t="s">
        <v>822</v>
      </c>
      <c r="K871" s="7" t="s">
        <v>29</v>
      </c>
      <c r="L871" s="3" t="str">
        <f>E871&amp;D871</f>
        <v>E.SP.IPAEE_INS_SEG_S_I_CIRCUITO VIA CA_0030</v>
      </c>
      <c r="M871" s="3" t="str">
        <f>IFERROR(MID(D871,SEARCH("S_I_",D871,1),3),"")</f>
        <v>S_I</v>
      </c>
      <c r="N871" s="3" t="str">
        <f>IFERROR(MID(D871,SEARCH("C_I_",D871,1),3),"")</f>
        <v/>
      </c>
      <c r="O871" s="3" t="str">
        <f>IF(AND(M871="",N871=""),"Extra","")</f>
        <v/>
      </c>
      <c r="P871" s="3" t="str">
        <f>IF(Q871=0,"TERCEIRO","MRS")</f>
        <v>MRS</v>
      </c>
      <c r="Q871" s="8" t="str">
        <f>IFERROR(VLOOKUP(L871,#REF!,4,0),"0,00")</f>
        <v>0,00</v>
      </c>
      <c r="R871" s="9" t="s">
        <v>30</v>
      </c>
      <c r="S871" s="9">
        <f>COUNTIF(D871,"*_SEG_*")</f>
        <v>1</v>
      </c>
      <c r="T871" s="9">
        <f>COUNTIF(D871,"*_MAN_*")</f>
        <v>0</v>
      </c>
      <c r="U871" s="9">
        <f>(RIGHT(D871,4))*1</f>
        <v>30</v>
      </c>
      <c r="V871" s="9" t="str">
        <f>IFERROR(VLOOKUP(I871,#REF!,2,0),"Sinalização")</f>
        <v>Sinalização</v>
      </c>
    </row>
    <row r="872" spans="1:22" x14ac:dyDescent="0.25">
      <c r="A872" s="3" t="s">
        <v>22</v>
      </c>
      <c r="B872" s="4">
        <v>23510485</v>
      </c>
      <c r="C872" s="5" t="s">
        <v>23</v>
      </c>
      <c r="D872" s="6" t="s">
        <v>829</v>
      </c>
      <c r="E872" s="6" t="s">
        <v>25</v>
      </c>
      <c r="F872" s="11">
        <v>46165</v>
      </c>
      <c r="G872" s="6" t="s">
        <v>1079</v>
      </c>
      <c r="H872" s="7" t="s">
        <v>26</v>
      </c>
      <c r="I872" s="7" t="s">
        <v>998</v>
      </c>
      <c r="J872" s="7" t="s">
        <v>830</v>
      </c>
      <c r="K872" s="7" t="s">
        <v>29</v>
      </c>
      <c r="L872" s="3" t="str">
        <f>E872&amp;D872</f>
        <v>E.SP.IPAT_EE_INS_CONF_S_I_CIRCUITO VIA CA_0030</v>
      </c>
      <c r="M872" s="3" t="str">
        <f>IFERROR(MID(D872,SEARCH("S_I_",D872,1),3),"")</f>
        <v>S_I</v>
      </c>
      <c r="N872" s="3" t="str">
        <f>IFERROR(MID(D872,SEARCH("C_I_",D872,1),3),"")</f>
        <v/>
      </c>
      <c r="O872" s="3" t="str">
        <f>IF(AND(M872="",N872=""),"Extra","")</f>
        <v/>
      </c>
      <c r="P872" s="3" t="str">
        <f>IF(Q872=0,"TERCEIRO","MRS")</f>
        <v>MRS</v>
      </c>
      <c r="Q872" s="8" t="str">
        <f>IFERROR(VLOOKUP(L872,#REF!,4,0),"0,00")</f>
        <v>0,00</v>
      </c>
      <c r="R872" s="9" t="s">
        <v>42</v>
      </c>
      <c r="S872" s="9">
        <f>COUNTIF(D872,"*_SEG_*")</f>
        <v>0</v>
      </c>
      <c r="T872" s="9">
        <f>COUNTIF(D872,"*_MAN_*")</f>
        <v>0</v>
      </c>
      <c r="U872" s="9">
        <f>(RIGHT(D872,4))*1</f>
        <v>30</v>
      </c>
      <c r="V872" s="9" t="str">
        <f>IFERROR(VLOOKUP(I872,#REF!,2,0),"Sinalização")</f>
        <v>Sinalização</v>
      </c>
    </row>
    <row r="873" spans="1:22" x14ac:dyDescent="0.25">
      <c r="A873" s="3" t="s">
        <v>22</v>
      </c>
      <c r="B873" s="4">
        <v>23510486</v>
      </c>
      <c r="C873" s="5" t="s">
        <v>23</v>
      </c>
      <c r="D873" s="6" t="s">
        <v>829</v>
      </c>
      <c r="E873" s="6" t="s">
        <v>25</v>
      </c>
      <c r="F873" s="11">
        <v>46165</v>
      </c>
      <c r="G873" s="6" t="s">
        <v>1079</v>
      </c>
      <c r="H873" s="7" t="s">
        <v>32</v>
      </c>
      <c r="I873" s="7" t="s">
        <v>322</v>
      </c>
      <c r="J873" s="7" t="s">
        <v>830</v>
      </c>
      <c r="K873" s="7" t="s">
        <v>29</v>
      </c>
      <c r="L873" s="3" t="str">
        <f>E873&amp;D873</f>
        <v>E.SP.IPAT_EE_INS_CONF_S_I_CIRCUITO VIA CA_0030</v>
      </c>
      <c r="M873" s="3" t="str">
        <f>IFERROR(MID(D873,SEARCH("S_I_",D873,1),3),"")</f>
        <v>S_I</v>
      </c>
      <c r="N873" s="3" t="str">
        <f>IFERROR(MID(D873,SEARCH("C_I_",D873,1),3),"")</f>
        <v/>
      </c>
      <c r="O873" s="3" t="str">
        <f>IF(AND(M873="",N873=""),"Extra","")</f>
        <v/>
      </c>
      <c r="P873" s="3" t="str">
        <f>IF(Q873=0,"TERCEIRO","MRS")</f>
        <v>MRS</v>
      </c>
      <c r="Q873" s="8" t="str">
        <f>IFERROR(VLOOKUP(L873,#REF!,4,0),"0,00")</f>
        <v>0,00</v>
      </c>
      <c r="R873" s="9" t="s">
        <v>42</v>
      </c>
      <c r="S873" s="9">
        <f>COUNTIF(D873,"*_SEG_*")</f>
        <v>0</v>
      </c>
      <c r="T873" s="9">
        <f>COUNTIF(D873,"*_MAN_*")</f>
        <v>0</v>
      </c>
      <c r="U873" s="9">
        <f>(RIGHT(D873,4))*1</f>
        <v>30</v>
      </c>
      <c r="V873" s="9" t="str">
        <f>IFERROR(VLOOKUP(I873,#REF!,2,0),"Sinalização")</f>
        <v>Sinalização</v>
      </c>
    </row>
    <row r="874" spans="1:22" x14ac:dyDescent="0.25">
      <c r="A874" s="3" t="s">
        <v>22</v>
      </c>
      <c r="B874" s="4">
        <v>23510487</v>
      </c>
      <c r="C874" s="5" t="s">
        <v>23</v>
      </c>
      <c r="D874" s="6" t="s">
        <v>829</v>
      </c>
      <c r="E874" s="6" t="s">
        <v>25</v>
      </c>
      <c r="F874" s="11">
        <v>46165</v>
      </c>
      <c r="G874" s="6" t="s">
        <v>1079</v>
      </c>
      <c r="H874" s="7" t="s">
        <v>32</v>
      </c>
      <c r="I874" s="7" t="s">
        <v>321</v>
      </c>
      <c r="J874" s="7" t="s">
        <v>830</v>
      </c>
      <c r="K874" s="7" t="s">
        <v>29</v>
      </c>
      <c r="L874" s="3" t="str">
        <f>E874&amp;D874</f>
        <v>E.SP.IPAT_EE_INS_CONF_S_I_CIRCUITO VIA CA_0030</v>
      </c>
      <c r="M874" s="3" t="str">
        <f>IFERROR(MID(D874,SEARCH("S_I_",D874,1),3),"")</f>
        <v>S_I</v>
      </c>
      <c r="N874" s="3" t="str">
        <f>IFERROR(MID(D874,SEARCH("C_I_",D874,1),3),"")</f>
        <v/>
      </c>
      <c r="O874" s="3" t="str">
        <f>IF(AND(M874="",N874=""),"Extra","")</f>
        <v/>
      </c>
      <c r="P874" s="3" t="str">
        <f>IF(Q874=0,"TERCEIRO","MRS")</f>
        <v>MRS</v>
      </c>
      <c r="Q874" s="8" t="str">
        <f>IFERROR(VLOOKUP(L874,#REF!,4,0),"0,00")</f>
        <v>0,00</v>
      </c>
      <c r="R874" s="9" t="s">
        <v>42</v>
      </c>
      <c r="S874" s="9">
        <f>COUNTIF(D874,"*_SEG_*")</f>
        <v>0</v>
      </c>
      <c r="T874" s="9">
        <f>COUNTIF(D874,"*_MAN_*")</f>
        <v>0</v>
      </c>
      <c r="U874" s="9">
        <f>(RIGHT(D874,4))*1</f>
        <v>30</v>
      </c>
      <c r="V874" s="9" t="str">
        <f>IFERROR(VLOOKUP(I874,#REF!,2,0),"Sinalização")</f>
        <v>Sinalização</v>
      </c>
    </row>
    <row r="875" spans="1:22" x14ac:dyDescent="0.25">
      <c r="A875" s="3" t="s">
        <v>22</v>
      </c>
      <c r="B875" s="4">
        <v>23510489</v>
      </c>
      <c r="C875" s="5" t="s">
        <v>23</v>
      </c>
      <c r="D875" s="6" t="s">
        <v>829</v>
      </c>
      <c r="E875" s="6" t="s">
        <v>25</v>
      </c>
      <c r="F875" s="11">
        <v>46165</v>
      </c>
      <c r="G875" s="6" t="s">
        <v>1079</v>
      </c>
      <c r="H875" s="7" t="s">
        <v>26</v>
      </c>
      <c r="I875" s="7" t="s">
        <v>234</v>
      </c>
      <c r="J875" s="7" t="s">
        <v>830</v>
      </c>
      <c r="K875" s="7" t="s">
        <v>29</v>
      </c>
      <c r="L875" s="3" t="str">
        <f>E875&amp;D875</f>
        <v>E.SP.IPAT_EE_INS_CONF_S_I_CIRCUITO VIA CA_0030</v>
      </c>
      <c r="M875" s="3" t="str">
        <f>IFERROR(MID(D875,SEARCH("S_I_",D875,1),3),"")</f>
        <v>S_I</v>
      </c>
      <c r="N875" s="3" t="str">
        <f>IFERROR(MID(D875,SEARCH("C_I_",D875,1),3),"")</f>
        <v/>
      </c>
      <c r="O875" s="3" t="str">
        <f>IF(AND(M875="",N875=""),"Extra","")</f>
        <v/>
      </c>
      <c r="P875" s="3" t="str">
        <f>IF(Q875=0,"TERCEIRO","MRS")</f>
        <v>MRS</v>
      </c>
      <c r="Q875" s="8" t="str">
        <f>IFERROR(VLOOKUP(L875,#REF!,4,0),"0,00")</f>
        <v>0,00</v>
      </c>
      <c r="R875" s="9" t="s">
        <v>42</v>
      </c>
      <c r="S875" s="9">
        <f>COUNTIF(D875,"*_SEG_*")</f>
        <v>0</v>
      </c>
      <c r="T875" s="9">
        <f>COUNTIF(D875,"*_MAN_*")</f>
        <v>0</v>
      </c>
      <c r="U875" s="9">
        <f>(RIGHT(D875,4))*1</f>
        <v>30</v>
      </c>
      <c r="V875" s="9" t="str">
        <f>IFERROR(VLOOKUP(I875,#REF!,2,0),"Sinalização")</f>
        <v>Sinalização</v>
      </c>
    </row>
    <row r="876" spans="1:22" x14ac:dyDescent="0.25">
      <c r="A876" s="3" t="s">
        <v>22</v>
      </c>
      <c r="B876" s="4">
        <v>23510491</v>
      </c>
      <c r="C876" s="5" t="s">
        <v>23</v>
      </c>
      <c r="D876" s="6" t="s">
        <v>829</v>
      </c>
      <c r="E876" s="6" t="s">
        <v>25</v>
      </c>
      <c r="F876" s="11">
        <v>46165</v>
      </c>
      <c r="G876" s="6" t="s">
        <v>1079</v>
      </c>
      <c r="H876" s="7" t="s">
        <v>26</v>
      </c>
      <c r="I876" s="7" t="s">
        <v>347</v>
      </c>
      <c r="J876" s="7" t="s">
        <v>830</v>
      </c>
      <c r="K876" s="7" t="s">
        <v>29</v>
      </c>
      <c r="L876" s="3" t="str">
        <f>E876&amp;D876</f>
        <v>E.SP.IPAT_EE_INS_CONF_S_I_CIRCUITO VIA CA_0030</v>
      </c>
      <c r="M876" s="3" t="str">
        <f>IFERROR(MID(D876,SEARCH("S_I_",D876,1),3),"")</f>
        <v>S_I</v>
      </c>
      <c r="N876" s="3" t="str">
        <f>IFERROR(MID(D876,SEARCH("C_I_",D876,1),3),"")</f>
        <v/>
      </c>
      <c r="O876" s="3" t="str">
        <f>IF(AND(M876="",N876=""),"Extra","")</f>
        <v/>
      </c>
      <c r="P876" s="3" t="str">
        <f>IF(Q876=0,"TERCEIRO","MRS")</f>
        <v>MRS</v>
      </c>
      <c r="Q876" s="8" t="str">
        <f>IFERROR(VLOOKUP(L876,#REF!,4,0),"0,00")</f>
        <v>0,00</v>
      </c>
      <c r="R876" s="9" t="s">
        <v>42</v>
      </c>
      <c r="S876" s="9">
        <f>COUNTIF(D876,"*_SEG_*")</f>
        <v>0</v>
      </c>
      <c r="T876" s="9">
        <f>COUNTIF(D876,"*_MAN_*")</f>
        <v>0</v>
      </c>
      <c r="U876" s="9">
        <f>(RIGHT(D876,4))*1</f>
        <v>30</v>
      </c>
      <c r="V876" s="9" t="str">
        <f>IFERROR(VLOOKUP(I876,#REF!,2,0),"Sinalização")</f>
        <v>Sinalização</v>
      </c>
    </row>
    <row r="877" spans="1:22" x14ac:dyDescent="0.25">
      <c r="A877" s="3" t="s">
        <v>22</v>
      </c>
      <c r="B877" s="4">
        <v>23510492</v>
      </c>
      <c r="C877" s="5" t="s">
        <v>23</v>
      </c>
      <c r="D877" s="6" t="s">
        <v>829</v>
      </c>
      <c r="E877" s="6" t="s">
        <v>25</v>
      </c>
      <c r="F877" s="11">
        <v>46165</v>
      </c>
      <c r="G877" s="6" t="s">
        <v>1079</v>
      </c>
      <c r="H877" s="7" t="s">
        <v>32</v>
      </c>
      <c r="I877" s="7" t="s">
        <v>194</v>
      </c>
      <c r="J877" s="7" t="s">
        <v>830</v>
      </c>
      <c r="K877" s="7" t="s">
        <v>29</v>
      </c>
      <c r="L877" s="3" t="str">
        <f>E877&amp;D877</f>
        <v>E.SP.IPAT_EE_INS_CONF_S_I_CIRCUITO VIA CA_0030</v>
      </c>
      <c r="M877" s="3" t="str">
        <f>IFERROR(MID(D877,SEARCH("S_I_",D877,1),3),"")</f>
        <v>S_I</v>
      </c>
      <c r="N877" s="3" t="str">
        <f>IFERROR(MID(D877,SEARCH("C_I_",D877,1),3),"")</f>
        <v/>
      </c>
      <c r="O877" s="3" t="str">
        <f>IF(AND(M877="",N877=""),"Extra","")</f>
        <v/>
      </c>
      <c r="P877" s="3" t="str">
        <f>IF(Q877=0,"TERCEIRO","MRS")</f>
        <v>MRS</v>
      </c>
      <c r="Q877" s="8" t="str">
        <f>IFERROR(VLOOKUP(L877,#REF!,4,0),"0,00")</f>
        <v>0,00</v>
      </c>
      <c r="R877" s="9" t="s">
        <v>42</v>
      </c>
      <c r="S877" s="9">
        <f>COUNTIF(D877,"*_SEG_*")</f>
        <v>0</v>
      </c>
      <c r="T877" s="9">
        <f>COUNTIF(D877,"*_MAN_*")</f>
        <v>0</v>
      </c>
      <c r="U877" s="9">
        <f>(RIGHT(D877,4))*1</f>
        <v>30</v>
      </c>
      <c r="V877" s="9" t="str">
        <f>IFERROR(VLOOKUP(I877,#REF!,2,0),"Sinalização")</f>
        <v>Sinalização</v>
      </c>
    </row>
    <row r="878" spans="1:22" x14ac:dyDescent="0.25">
      <c r="A878" s="3" t="s">
        <v>22</v>
      </c>
      <c r="B878" s="4">
        <v>23510493</v>
      </c>
      <c r="C878" s="5" t="s">
        <v>23</v>
      </c>
      <c r="D878" s="6" t="s">
        <v>829</v>
      </c>
      <c r="E878" s="6" t="s">
        <v>25</v>
      </c>
      <c r="F878" s="11">
        <v>46165</v>
      </c>
      <c r="G878" s="6" t="s">
        <v>1079</v>
      </c>
      <c r="H878" s="7" t="s">
        <v>32</v>
      </c>
      <c r="I878" s="7" t="s">
        <v>766</v>
      </c>
      <c r="J878" s="7" t="s">
        <v>830</v>
      </c>
      <c r="K878" s="7" t="s">
        <v>29</v>
      </c>
      <c r="L878" s="3" t="str">
        <f>E878&amp;D878</f>
        <v>E.SP.IPAT_EE_INS_CONF_S_I_CIRCUITO VIA CA_0030</v>
      </c>
      <c r="M878" s="3" t="str">
        <f>IFERROR(MID(D878,SEARCH("S_I_",D878,1),3),"")</f>
        <v>S_I</v>
      </c>
      <c r="N878" s="3" t="str">
        <f>IFERROR(MID(D878,SEARCH("C_I_",D878,1),3),"")</f>
        <v/>
      </c>
      <c r="O878" s="3" t="str">
        <f>IF(AND(M878="",N878=""),"Extra","")</f>
        <v/>
      </c>
      <c r="P878" s="3" t="str">
        <f>IF(Q878=0,"TERCEIRO","MRS")</f>
        <v>MRS</v>
      </c>
      <c r="Q878" s="8" t="str">
        <f>IFERROR(VLOOKUP(L878,#REF!,4,0),"0,00")</f>
        <v>0,00</v>
      </c>
      <c r="R878" s="9" t="s">
        <v>42</v>
      </c>
      <c r="S878" s="9">
        <f>COUNTIF(D878,"*_SEG_*")</f>
        <v>0</v>
      </c>
      <c r="T878" s="9">
        <f>COUNTIF(D878,"*_MAN_*")</f>
        <v>0</v>
      </c>
      <c r="U878" s="9">
        <f>(RIGHT(D878,4))*1</f>
        <v>30</v>
      </c>
      <c r="V878" s="9" t="str">
        <f>IFERROR(VLOOKUP(I878,#REF!,2,0),"Sinalização")</f>
        <v>Sinalização</v>
      </c>
    </row>
    <row r="879" spans="1:22" x14ac:dyDescent="0.25">
      <c r="A879" s="3" t="s">
        <v>22</v>
      </c>
      <c r="B879" s="4">
        <v>23510495</v>
      </c>
      <c r="C879" s="5" t="s">
        <v>23</v>
      </c>
      <c r="D879" s="6" t="s">
        <v>829</v>
      </c>
      <c r="E879" s="6" t="s">
        <v>25</v>
      </c>
      <c r="F879" s="11">
        <v>46165</v>
      </c>
      <c r="G879" s="6" t="s">
        <v>1079</v>
      </c>
      <c r="H879" s="7" t="s">
        <v>26</v>
      </c>
      <c r="I879" s="7" t="s">
        <v>503</v>
      </c>
      <c r="J879" s="7" t="s">
        <v>830</v>
      </c>
      <c r="K879" s="7" t="s">
        <v>29</v>
      </c>
      <c r="L879" s="3" t="str">
        <f>E879&amp;D879</f>
        <v>E.SP.IPAT_EE_INS_CONF_S_I_CIRCUITO VIA CA_0030</v>
      </c>
      <c r="M879" s="3" t="str">
        <f>IFERROR(MID(D879,SEARCH("S_I_",D879,1),3),"")</f>
        <v>S_I</v>
      </c>
      <c r="N879" s="3" t="str">
        <f>IFERROR(MID(D879,SEARCH("C_I_",D879,1),3),"")</f>
        <v/>
      </c>
      <c r="O879" s="3" t="str">
        <f>IF(AND(M879="",N879=""),"Extra","")</f>
        <v/>
      </c>
      <c r="P879" s="3" t="str">
        <f>IF(Q879=0,"TERCEIRO","MRS")</f>
        <v>MRS</v>
      </c>
      <c r="Q879" s="8" t="str">
        <f>IFERROR(VLOOKUP(L879,#REF!,4,0),"0,00")</f>
        <v>0,00</v>
      </c>
      <c r="R879" s="9" t="s">
        <v>42</v>
      </c>
      <c r="S879" s="9">
        <f>COUNTIF(D879,"*_SEG_*")</f>
        <v>0</v>
      </c>
      <c r="T879" s="9">
        <f>COUNTIF(D879,"*_MAN_*")</f>
        <v>0</v>
      </c>
      <c r="U879" s="9">
        <f>(RIGHT(D879,4))*1</f>
        <v>30</v>
      </c>
      <c r="V879" s="9" t="str">
        <f>IFERROR(VLOOKUP(I879,#REF!,2,0),"Sinalização")</f>
        <v>Sinalização</v>
      </c>
    </row>
    <row r="880" spans="1:22" x14ac:dyDescent="0.25">
      <c r="A880" s="3" t="s">
        <v>22</v>
      </c>
      <c r="B880" s="4">
        <v>23510496</v>
      </c>
      <c r="C880" s="5" t="s">
        <v>23</v>
      </c>
      <c r="D880" s="6" t="s">
        <v>829</v>
      </c>
      <c r="E880" s="6" t="s">
        <v>25</v>
      </c>
      <c r="F880" s="11">
        <v>46165</v>
      </c>
      <c r="G880" s="6" t="s">
        <v>1079</v>
      </c>
      <c r="H880" s="7" t="s">
        <v>26</v>
      </c>
      <c r="I880" s="7" t="s">
        <v>989</v>
      </c>
      <c r="J880" s="7" t="s">
        <v>830</v>
      </c>
      <c r="K880" s="7" t="s">
        <v>29</v>
      </c>
      <c r="L880" s="3" t="str">
        <f>E880&amp;D880</f>
        <v>E.SP.IPAT_EE_INS_CONF_S_I_CIRCUITO VIA CA_0030</v>
      </c>
      <c r="M880" s="3" t="str">
        <f>IFERROR(MID(D880,SEARCH("S_I_",D880,1),3),"")</f>
        <v>S_I</v>
      </c>
      <c r="N880" s="3" t="str">
        <f>IFERROR(MID(D880,SEARCH("C_I_",D880,1),3),"")</f>
        <v/>
      </c>
      <c r="O880" s="3" t="str">
        <f>IF(AND(M880="",N880=""),"Extra","")</f>
        <v/>
      </c>
      <c r="P880" s="3" t="str">
        <f>IF(Q880=0,"TERCEIRO","MRS")</f>
        <v>MRS</v>
      </c>
      <c r="Q880" s="8" t="str">
        <f>IFERROR(VLOOKUP(L880,#REF!,4,0),"0,00")</f>
        <v>0,00</v>
      </c>
      <c r="R880" s="9" t="s">
        <v>42</v>
      </c>
      <c r="S880" s="9">
        <f>COUNTIF(D880,"*_SEG_*")</f>
        <v>0</v>
      </c>
      <c r="T880" s="9">
        <f>COUNTIF(D880,"*_MAN_*")</f>
        <v>0</v>
      </c>
      <c r="U880" s="9">
        <f>(RIGHT(D880,4))*1</f>
        <v>30</v>
      </c>
      <c r="V880" s="9" t="str">
        <f>IFERROR(VLOOKUP(I880,#REF!,2,0),"Sinalização")</f>
        <v>Sinalização</v>
      </c>
    </row>
    <row r="881" spans="1:22" x14ac:dyDescent="0.25">
      <c r="A881" s="3" t="s">
        <v>22</v>
      </c>
      <c r="B881" s="4">
        <v>23510497</v>
      </c>
      <c r="C881" s="5" t="s">
        <v>23</v>
      </c>
      <c r="D881" s="6" t="s">
        <v>829</v>
      </c>
      <c r="E881" s="6" t="s">
        <v>25</v>
      </c>
      <c r="F881" s="11">
        <v>46165</v>
      </c>
      <c r="G881" s="6" t="s">
        <v>1079</v>
      </c>
      <c r="H881" s="7" t="s">
        <v>32</v>
      </c>
      <c r="I881" s="7" t="s">
        <v>990</v>
      </c>
      <c r="J881" s="7" t="s">
        <v>830</v>
      </c>
      <c r="K881" s="7" t="s">
        <v>29</v>
      </c>
      <c r="L881" s="3" t="str">
        <f>E881&amp;D881</f>
        <v>E.SP.IPAT_EE_INS_CONF_S_I_CIRCUITO VIA CA_0030</v>
      </c>
      <c r="M881" s="3" t="str">
        <f>IFERROR(MID(D881,SEARCH("S_I_",D881,1),3),"")</f>
        <v>S_I</v>
      </c>
      <c r="N881" s="3" t="str">
        <f>IFERROR(MID(D881,SEARCH("C_I_",D881,1),3),"")</f>
        <v/>
      </c>
      <c r="O881" s="3" t="str">
        <f>IF(AND(M881="",N881=""),"Extra","")</f>
        <v/>
      </c>
      <c r="P881" s="3" t="str">
        <f>IF(Q881=0,"TERCEIRO","MRS")</f>
        <v>MRS</v>
      </c>
      <c r="Q881" s="8" t="str">
        <f>IFERROR(VLOOKUP(L881,#REF!,4,0),"0,00")</f>
        <v>0,00</v>
      </c>
      <c r="R881" s="9" t="s">
        <v>42</v>
      </c>
      <c r="S881" s="9">
        <f>COUNTIF(D881,"*_SEG_*")</f>
        <v>0</v>
      </c>
      <c r="T881" s="9">
        <f>COUNTIF(D881,"*_MAN_*")</f>
        <v>0</v>
      </c>
      <c r="U881" s="9">
        <f>(RIGHT(D881,4))*1</f>
        <v>30</v>
      </c>
      <c r="V881" s="9" t="str">
        <f>IFERROR(VLOOKUP(I881,#REF!,2,0),"Sinalização")</f>
        <v>Sinalização</v>
      </c>
    </row>
    <row r="882" spans="1:22" x14ac:dyDescent="0.25">
      <c r="A882" s="3" t="s">
        <v>22</v>
      </c>
      <c r="B882" s="4">
        <v>23510498</v>
      </c>
      <c r="C882" s="5" t="s">
        <v>23</v>
      </c>
      <c r="D882" s="6" t="s">
        <v>829</v>
      </c>
      <c r="E882" s="6" t="s">
        <v>25</v>
      </c>
      <c r="F882" s="11">
        <v>46165</v>
      </c>
      <c r="G882" s="6" t="s">
        <v>1079</v>
      </c>
      <c r="H882" s="7" t="s">
        <v>32</v>
      </c>
      <c r="I882" s="7" t="s">
        <v>501</v>
      </c>
      <c r="J882" s="7" t="s">
        <v>830</v>
      </c>
      <c r="K882" s="7" t="s">
        <v>29</v>
      </c>
      <c r="L882" s="3" t="str">
        <f>E882&amp;D882</f>
        <v>E.SP.IPAT_EE_INS_CONF_S_I_CIRCUITO VIA CA_0030</v>
      </c>
      <c r="M882" s="3" t="str">
        <f>IFERROR(MID(D882,SEARCH("S_I_",D882,1),3),"")</f>
        <v>S_I</v>
      </c>
      <c r="N882" s="3" t="str">
        <f>IFERROR(MID(D882,SEARCH("C_I_",D882,1),3),"")</f>
        <v/>
      </c>
      <c r="O882" s="3" t="str">
        <f>IF(AND(M882="",N882=""),"Extra","")</f>
        <v/>
      </c>
      <c r="P882" s="3" t="str">
        <f>IF(Q882=0,"TERCEIRO","MRS")</f>
        <v>MRS</v>
      </c>
      <c r="Q882" s="8" t="str">
        <f>IFERROR(VLOOKUP(L882,#REF!,4,0),"0,00")</f>
        <v>0,00</v>
      </c>
      <c r="R882" s="9" t="s">
        <v>42</v>
      </c>
      <c r="S882" s="9">
        <f>COUNTIF(D882,"*_SEG_*")</f>
        <v>0</v>
      </c>
      <c r="T882" s="9">
        <f>COUNTIF(D882,"*_MAN_*")</f>
        <v>0</v>
      </c>
      <c r="U882" s="9">
        <f>(RIGHT(D882,4))*1</f>
        <v>30</v>
      </c>
      <c r="V882" s="9" t="str">
        <f>IFERROR(VLOOKUP(I882,#REF!,2,0),"Sinalização")</f>
        <v>Sinalização</v>
      </c>
    </row>
    <row r="883" spans="1:22" x14ac:dyDescent="0.25">
      <c r="A883" s="3" t="s">
        <v>22</v>
      </c>
      <c r="B883" s="4">
        <v>23510499</v>
      </c>
      <c r="C883" s="5" t="s">
        <v>23</v>
      </c>
      <c r="D883" s="6" t="s">
        <v>829</v>
      </c>
      <c r="E883" s="6" t="s">
        <v>25</v>
      </c>
      <c r="F883" s="11">
        <v>46165</v>
      </c>
      <c r="G883" s="6" t="s">
        <v>1079</v>
      </c>
      <c r="H883" s="7" t="s">
        <v>26</v>
      </c>
      <c r="I883" s="7" t="s">
        <v>502</v>
      </c>
      <c r="J883" s="7" t="s">
        <v>830</v>
      </c>
      <c r="K883" s="7" t="s">
        <v>29</v>
      </c>
      <c r="L883" s="3" t="str">
        <f>E883&amp;D883</f>
        <v>E.SP.IPAT_EE_INS_CONF_S_I_CIRCUITO VIA CA_0030</v>
      </c>
      <c r="M883" s="3" t="str">
        <f>IFERROR(MID(D883,SEARCH("S_I_",D883,1),3),"")</f>
        <v>S_I</v>
      </c>
      <c r="N883" s="3" t="str">
        <f>IFERROR(MID(D883,SEARCH("C_I_",D883,1),3),"")</f>
        <v/>
      </c>
      <c r="O883" s="3" t="str">
        <f>IF(AND(M883="",N883=""),"Extra","")</f>
        <v/>
      </c>
      <c r="P883" s="3" t="str">
        <f>IF(Q883=0,"TERCEIRO","MRS")</f>
        <v>MRS</v>
      </c>
      <c r="Q883" s="8" t="str">
        <f>IFERROR(VLOOKUP(L883,#REF!,4,0),"0,00")</f>
        <v>0,00</v>
      </c>
      <c r="R883" s="9" t="s">
        <v>42</v>
      </c>
      <c r="S883" s="9">
        <f>COUNTIF(D883,"*_SEG_*")</f>
        <v>0</v>
      </c>
      <c r="T883" s="9">
        <f>COUNTIF(D883,"*_MAN_*")</f>
        <v>0</v>
      </c>
      <c r="U883" s="9">
        <f>(RIGHT(D883,4))*1</f>
        <v>30</v>
      </c>
      <c r="V883" s="9" t="str">
        <f>IFERROR(VLOOKUP(I883,#REF!,2,0),"Sinalização")</f>
        <v>Sinalização</v>
      </c>
    </row>
    <row r="884" spans="1:22" x14ac:dyDescent="0.25">
      <c r="A884" s="3" t="s">
        <v>22</v>
      </c>
      <c r="B884" s="4">
        <v>23510500</v>
      </c>
      <c r="C884" s="5" t="s">
        <v>23</v>
      </c>
      <c r="D884" s="6" t="s">
        <v>829</v>
      </c>
      <c r="E884" s="6" t="s">
        <v>25</v>
      </c>
      <c r="F884" s="11">
        <v>46165</v>
      </c>
      <c r="G884" s="6" t="s">
        <v>1079</v>
      </c>
      <c r="H884" s="7" t="s">
        <v>26</v>
      </c>
      <c r="I884" s="7" t="s">
        <v>217</v>
      </c>
      <c r="J884" s="7" t="s">
        <v>830</v>
      </c>
      <c r="K884" s="7" t="s">
        <v>29</v>
      </c>
      <c r="L884" s="3" t="str">
        <f>E884&amp;D884</f>
        <v>E.SP.IPAT_EE_INS_CONF_S_I_CIRCUITO VIA CA_0030</v>
      </c>
      <c r="M884" s="3" t="str">
        <f>IFERROR(MID(D884,SEARCH("S_I_",D884,1),3),"")</f>
        <v>S_I</v>
      </c>
      <c r="N884" s="3" t="str">
        <f>IFERROR(MID(D884,SEARCH("C_I_",D884,1),3),"")</f>
        <v/>
      </c>
      <c r="O884" s="3" t="str">
        <f>IF(AND(M884="",N884=""),"Extra","")</f>
        <v/>
      </c>
      <c r="P884" s="3" t="str">
        <f>IF(Q884=0,"TERCEIRO","MRS")</f>
        <v>MRS</v>
      </c>
      <c r="Q884" s="8" t="str">
        <f>IFERROR(VLOOKUP(L884,#REF!,4,0),"0,00")</f>
        <v>0,00</v>
      </c>
      <c r="R884" s="9" t="s">
        <v>42</v>
      </c>
      <c r="S884" s="9">
        <f>COUNTIF(D884,"*_SEG_*")</f>
        <v>0</v>
      </c>
      <c r="T884" s="9">
        <f>COUNTIF(D884,"*_MAN_*")</f>
        <v>0</v>
      </c>
      <c r="U884" s="9">
        <f>(RIGHT(D884,4))*1</f>
        <v>30</v>
      </c>
      <c r="V884" s="9" t="str">
        <f>IFERROR(VLOOKUP(I884,#REF!,2,0),"Sinalização")</f>
        <v>Sinalização</v>
      </c>
    </row>
    <row r="885" spans="1:22" x14ac:dyDescent="0.25">
      <c r="A885" s="3" t="s">
        <v>22</v>
      </c>
      <c r="B885" s="4">
        <v>23510501</v>
      </c>
      <c r="C885" s="5" t="s">
        <v>23</v>
      </c>
      <c r="D885" s="6" t="s">
        <v>829</v>
      </c>
      <c r="E885" s="6" t="s">
        <v>25</v>
      </c>
      <c r="F885" s="11">
        <v>46165</v>
      </c>
      <c r="G885" s="6" t="s">
        <v>1079</v>
      </c>
      <c r="H885" s="7" t="s">
        <v>32</v>
      </c>
      <c r="I885" s="7" t="s">
        <v>218</v>
      </c>
      <c r="J885" s="7" t="s">
        <v>830</v>
      </c>
      <c r="K885" s="7" t="s">
        <v>29</v>
      </c>
      <c r="L885" s="3" t="str">
        <f>E885&amp;D885</f>
        <v>E.SP.IPAT_EE_INS_CONF_S_I_CIRCUITO VIA CA_0030</v>
      </c>
      <c r="M885" s="3" t="str">
        <f>IFERROR(MID(D885,SEARCH("S_I_",D885,1),3),"")</f>
        <v>S_I</v>
      </c>
      <c r="N885" s="3" t="str">
        <f>IFERROR(MID(D885,SEARCH("C_I_",D885,1),3),"")</f>
        <v/>
      </c>
      <c r="O885" s="3" t="str">
        <f>IF(AND(M885="",N885=""),"Extra","")</f>
        <v/>
      </c>
      <c r="P885" s="3" t="str">
        <f>IF(Q885=0,"TERCEIRO","MRS")</f>
        <v>MRS</v>
      </c>
      <c r="Q885" s="8" t="str">
        <f>IFERROR(VLOOKUP(L885,#REF!,4,0),"0,00")</f>
        <v>0,00</v>
      </c>
      <c r="R885" s="9" t="s">
        <v>42</v>
      </c>
      <c r="S885" s="9">
        <f>COUNTIF(D885,"*_SEG_*")</f>
        <v>0</v>
      </c>
      <c r="T885" s="9">
        <f>COUNTIF(D885,"*_MAN_*")</f>
        <v>0</v>
      </c>
      <c r="U885" s="9">
        <f>(RIGHT(D885,4))*1</f>
        <v>30</v>
      </c>
      <c r="V885" s="9" t="str">
        <f>IFERROR(VLOOKUP(I885,#REF!,2,0),"Sinalização")</f>
        <v>Sinalização</v>
      </c>
    </row>
    <row r="886" spans="1:22" x14ac:dyDescent="0.25">
      <c r="A886" s="3" t="s">
        <v>22</v>
      </c>
      <c r="B886" s="4">
        <v>23510502</v>
      </c>
      <c r="C886" s="5" t="s">
        <v>23</v>
      </c>
      <c r="D886" s="6" t="s">
        <v>829</v>
      </c>
      <c r="E886" s="6" t="s">
        <v>25</v>
      </c>
      <c r="F886" s="11">
        <v>46165</v>
      </c>
      <c r="G886" s="6" t="s">
        <v>1079</v>
      </c>
      <c r="H886" s="7" t="s">
        <v>32</v>
      </c>
      <c r="I886" s="7" t="s">
        <v>216</v>
      </c>
      <c r="J886" s="7" t="s">
        <v>830</v>
      </c>
      <c r="K886" s="7" t="s">
        <v>29</v>
      </c>
      <c r="L886" s="3" t="str">
        <f>E886&amp;D886</f>
        <v>E.SP.IPAT_EE_INS_CONF_S_I_CIRCUITO VIA CA_0030</v>
      </c>
      <c r="M886" s="3" t="str">
        <f>IFERROR(MID(D886,SEARCH("S_I_",D886,1),3),"")</f>
        <v>S_I</v>
      </c>
      <c r="N886" s="3" t="str">
        <f>IFERROR(MID(D886,SEARCH("C_I_",D886,1),3),"")</f>
        <v/>
      </c>
      <c r="O886" s="3" t="str">
        <f>IF(AND(M886="",N886=""),"Extra","")</f>
        <v/>
      </c>
      <c r="P886" s="3" t="str">
        <f>IF(Q886=0,"TERCEIRO","MRS")</f>
        <v>MRS</v>
      </c>
      <c r="Q886" s="8" t="str">
        <f>IFERROR(VLOOKUP(L886,#REF!,4,0),"0,00")</f>
        <v>0,00</v>
      </c>
      <c r="R886" s="9" t="s">
        <v>42</v>
      </c>
      <c r="S886" s="9">
        <f>COUNTIF(D886,"*_SEG_*")</f>
        <v>0</v>
      </c>
      <c r="T886" s="9">
        <f>COUNTIF(D886,"*_MAN_*")</f>
        <v>0</v>
      </c>
      <c r="U886" s="9">
        <f>(RIGHT(D886,4))*1</f>
        <v>30</v>
      </c>
      <c r="V886" s="9" t="str">
        <f>IFERROR(VLOOKUP(I886,#REF!,2,0),"Sinalização")</f>
        <v>Sinalização</v>
      </c>
    </row>
    <row r="887" spans="1:22" x14ac:dyDescent="0.25">
      <c r="A887" s="3" t="s">
        <v>22</v>
      </c>
      <c r="B887" s="4">
        <v>23510503</v>
      </c>
      <c r="C887" s="5" t="s">
        <v>23</v>
      </c>
      <c r="D887" s="6" t="s">
        <v>829</v>
      </c>
      <c r="E887" s="6" t="s">
        <v>25</v>
      </c>
      <c r="F887" s="11">
        <v>46165</v>
      </c>
      <c r="G887" s="6" t="s">
        <v>1079</v>
      </c>
      <c r="H887" s="7" t="s">
        <v>26</v>
      </c>
      <c r="I887" s="7" t="s">
        <v>362</v>
      </c>
      <c r="J887" s="7" t="s">
        <v>830</v>
      </c>
      <c r="K887" s="7" t="s">
        <v>29</v>
      </c>
      <c r="L887" s="3" t="str">
        <f>E887&amp;D887</f>
        <v>E.SP.IPAT_EE_INS_CONF_S_I_CIRCUITO VIA CA_0030</v>
      </c>
      <c r="M887" s="3" t="str">
        <f>IFERROR(MID(D887,SEARCH("S_I_",D887,1),3),"")</f>
        <v>S_I</v>
      </c>
      <c r="N887" s="3" t="str">
        <f>IFERROR(MID(D887,SEARCH("C_I_",D887,1),3),"")</f>
        <v/>
      </c>
      <c r="O887" s="3" t="str">
        <f>IF(AND(M887="",N887=""),"Extra","")</f>
        <v/>
      </c>
      <c r="P887" s="3" t="str">
        <f>IF(Q887=0,"TERCEIRO","MRS")</f>
        <v>MRS</v>
      </c>
      <c r="Q887" s="8" t="str">
        <f>IFERROR(VLOOKUP(L887,#REF!,4,0),"0,00")</f>
        <v>0,00</v>
      </c>
      <c r="R887" s="9" t="s">
        <v>42</v>
      </c>
      <c r="S887" s="9">
        <f>COUNTIF(D887,"*_SEG_*")</f>
        <v>0</v>
      </c>
      <c r="T887" s="9">
        <f>COUNTIF(D887,"*_MAN_*")</f>
        <v>0</v>
      </c>
      <c r="U887" s="9">
        <f>(RIGHT(D887,4))*1</f>
        <v>30</v>
      </c>
      <c r="V887" s="9" t="str">
        <f>IFERROR(VLOOKUP(I887,#REF!,2,0),"Sinalização")</f>
        <v>Sinalização</v>
      </c>
    </row>
    <row r="888" spans="1:22" x14ac:dyDescent="0.25">
      <c r="A888" s="3" t="s">
        <v>22</v>
      </c>
      <c r="B888" s="4">
        <v>23510504</v>
      </c>
      <c r="C888" s="5" t="s">
        <v>23</v>
      </c>
      <c r="D888" s="6" t="s">
        <v>829</v>
      </c>
      <c r="E888" s="6" t="s">
        <v>25</v>
      </c>
      <c r="F888" s="11">
        <v>46165</v>
      </c>
      <c r="G888" s="6" t="s">
        <v>1079</v>
      </c>
      <c r="H888" s="7" t="s">
        <v>26</v>
      </c>
      <c r="I888" s="7" t="s">
        <v>991</v>
      </c>
      <c r="J888" s="7" t="s">
        <v>830</v>
      </c>
      <c r="K888" s="7" t="s">
        <v>29</v>
      </c>
      <c r="L888" s="3" t="str">
        <f>E888&amp;D888</f>
        <v>E.SP.IPAT_EE_INS_CONF_S_I_CIRCUITO VIA CA_0030</v>
      </c>
      <c r="M888" s="3" t="str">
        <f>IFERROR(MID(D888,SEARCH("S_I_",D888,1),3),"")</f>
        <v>S_I</v>
      </c>
      <c r="N888" s="3" t="str">
        <f>IFERROR(MID(D888,SEARCH("C_I_",D888,1),3),"")</f>
        <v/>
      </c>
      <c r="O888" s="3" t="str">
        <f>IF(AND(M888="",N888=""),"Extra","")</f>
        <v/>
      </c>
      <c r="P888" s="3" t="str">
        <f>IF(Q888=0,"TERCEIRO","MRS")</f>
        <v>MRS</v>
      </c>
      <c r="Q888" s="8" t="str">
        <f>IFERROR(VLOOKUP(L888,#REF!,4,0),"0,00")</f>
        <v>0,00</v>
      </c>
      <c r="R888" s="9" t="s">
        <v>42</v>
      </c>
      <c r="S888" s="9">
        <f>COUNTIF(D888,"*_SEG_*")</f>
        <v>0</v>
      </c>
      <c r="T888" s="9">
        <f>COUNTIF(D888,"*_MAN_*")</f>
        <v>0</v>
      </c>
      <c r="U888" s="9">
        <f>(RIGHT(D888,4))*1</f>
        <v>30</v>
      </c>
      <c r="V888" s="9" t="str">
        <f>IFERROR(VLOOKUP(I888,#REF!,2,0),"Sinalização")</f>
        <v>Sinalização</v>
      </c>
    </row>
    <row r="889" spans="1:22" x14ac:dyDescent="0.25">
      <c r="A889" s="3" t="s">
        <v>22</v>
      </c>
      <c r="B889" s="4">
        <v>23510505</v>
      </c>
      <c r="C889" s="5" t="s">
        <v>23</v>
      </c>
      <c r="D889" s="6" t="s">
        <v>829</v>
      </c>
      <c r="E889" s="6" t="s">
        <v>25</v>
      </c>
      <c r="F889" s="11">
        <v>46165</v>
      </c>
      <c r="G889" s="6" t="s">
        <v>1079</v>
      </c>
      <c r="H889" s="7" t="s">
        <v>32</v>
      </c>
      <c r="I889" s="7" t="s">
        <v>992</v>
      </c>
      <c r="J889" s="7" t="s">
        <v>830</v>
      </c>
      <c r="K889" s="7" t="s">
        <v>29</v>
      </c>
      <c r="L889" s="3" t="str">
        <f>E889&amp;D889</f>
        <v>E.SP.IPAT_EE_INS_CONF_S_I_CIRCUITO VIA CA_0030</v>
      </c>
      <c r="M889" s="3" t="str">
        <f>IFERROR(MID(D889,SEARCH("S_I_",D889,1),3),"")</f>
        <v>S_I</v>
      </c>
      <c r="N889" s="3" t="str">
        <f>IFERROR(MID(D889,SEARCH("C_I_",D889,1),3),"")</f>
        <v/>
      </c>
      <c r="O889" s="3" t="str">
        <f>IF(AND(M889="",N889=""),"Extra","")</f>
        <v/>
      </c>
      <c r="P889" s="3" t="str">
        <f>IF(Q889=0,"TERCEIRO","MRS")</f>
        <v>MRS</v>
      </c>
      <c r="Q889" s="8" t="str">
        <f>IFERROR(VLOOKUP(L889,#REF!,4,0),"0,00")</f>
        <v>0,00</v>
      </c>
      <c r="R889" s="9" t="s">
        <v>42</v>
      </c>
      <c r="S889" s="9">
        <f>COUNTIF(D889,"*_SEG_*")</f>
        <v>0</v>
      </c>
      <c r="T889" s="9">
        <f>COUNTIF(D889,"*_MAN_*")</f>
        <v>0</v>
      </c>
      <c r="U889" s="9">
        <f>(RIGHT(D889,4))*1</f>
        <v>30</v>
      </c>
      <c r="V889" s="9" t="str">
        <f>IFERROR(VLOOKUP(I889,#REF!,2,0),"Sinalização")</f>
        <v>Sinalização</v>
      </c>
    </row>
    <row r="890" spans="1:22" x14ac:dyDescent="0.25">
      <c r="A890" s="3" t="s">
        <v>22</v>
      </c>
      <c r="B890" s="4">
        <v>23510506</v>
      </c>
      <c r="C890" s="5" t="s">
        <v>23</v>
      </c>
      <c r="D890" s="6" t="s">
        <v>829</v>
      </c>
      <c r="E890" s="6" t="s">
        <v>25</v>
      </c>
      <c r="F890" s="11">
        <v>46165</v>
      </c>
      <c r="G890" s="6" t="s">
        <v>1079</v>
      </c>
      <c r="H890" s="7" t="s">
        <v>32</v>
      </c>
      <c r="I890" s="7" t="s">
        <v>340</v>
      </c>
      <c r="J890" s="7" t="s">
        <v>830</v>
      </c>
      <c r="K890" s="7" t="s">
        <v>29</v>
      </c>
      <c r="L890" s="3" t="str">
        <f>E890&amp;D890</f>
        <v>E.SP.IPAT_EE_INS_CONF_S_I_CIRCUITO VIA CA_0030</v>
      </c>
      <c r="M890" s="3" t="str">
        <f>IFERROR(MID(D890,SEARCH("S_I_",D890,1),3),"")</f>
        <v>S_I</v>
      </c>
      <c r="N890" s="3" t="str">
        <f>IFERROR(MID(D890,SEARCH("C_I_",D890,1),3),"")</f>
        <v/>
      </c>
      <c r="O890" s="3" t="str">
        <f>IF(AND(M890="",N890=""),"Extra","")</f>
        <v/>
      </c>
      <c r="P890" s="3" t="str">
        <f>IF(Q890=0,"TERCEIRO","MRS")</f>
        <v>MRS</v>
      </c>
      <c r="Q890" s="8" t="str">
        <f>IFERROR(VLOOKUP(L890,#REF!,4,0),"0,00")</f>
        <v>0,00</v>
      </c>
      <c r="R890" s="9" t="s">
        <v>42</v>
      </c>
      <c r="S890" s="9">
        <f>COUNTIF(D890,"*_SEG_*")</f>
        <v>0</v>
      </c>
      <c r="T890" s="9">
        <f>COUNTIF(D890,"*_MAN_*")</f>
        <v>0</v>
      </c>
      <c r="U890" s="9">
        <f>(RIGHT(D890,4))*1</f>
        <v>30</v>
      </c>
      <c r="V890" s="9" t="str">
        <f>IFERROR(VLOOKUP(I890,#REF!,2,0),"Sinalização")</f>
        <v>Sinalização</v>
      </c>
    </row>
    <row r="891" spans="1:22" x14ac:dyDescent="0.25">
      <c r="A891" s="3" t="s">
        <v>22</v>
      </c>
      <c r="B891" s="4">
        <v>23510507</v>
      </c>
      <c r="C891" s="5" t="s">
        <v>23</v>
      </c>
      <c r="D891" s="6" t="s">
        <v>829</v>
      </c>
      <c r="E891" s="6" t="s">
        <v>25</v>
      </c>
      <c r="F891" s="11">
        <v>46165</v>
      </c>
      <c r="G891" s="6" t="s">
        <v>1079</v>
      </c>
      <c r="H891" s="7" t="s">
        <v>26</v>
      </c>
      <c r="I891" s="7" t="s">
        <v>765</v>
      </c>
      <c r="J891" s="7" t="s">
        <v>830</v>
      </c>
      <c r="K891" s="7" t="s">
        <v>29</v>
      </c>
      <c r="L891" s="3" t="str">
        <f>E891&amp;D891</f>
        <v>E.SP.IPAT_EE_INS_CONF_S_I_CIRCUITO VIA CA_0030</v>
      </c>
      <c r="M891" s="3" t="str">
        <f>IFERROR(MID(D891,SEARCH("S_I_",D891,1),3),"")</f>
        <v>S_I</v>
      </c>
      <c r="N891" s="3" t="str">
        <f>IFERROR(MID(D891,SEARCH("C_I_",D891,1),3),"")</f>
        <v/>
      </c>
      <c r="O891" s="3" t="str">
        <f>IF(AND(M891="",N891=""),"Extra","")</f>
        <v/>
      </c>
      <c r="P891" s="3" t="str">
        <f>IF(Q891=0,"TERCEIRO","MRS")</f>
        <v>MRS</v>
      </c>
      <c r="Q891" s="8" t="str">
        <f>IFERROR(VLOOKUP(L891,#REF!,4,0),"0,00")</f>
        <v>0,00</v>
      </c>
      <c r="R891" s="9" t="s">
        <v>42</v>
      </c>
      <c r="S891" s="9">
        <f>COUNTIF(D891,"*_SEG_*")</f>
        <v>0</v>
      </c>
      <c r="T891" s="9">
        <f>COUNTIF(D891,"*_MAN_*")</f>
        <v>0</v>
      </c>
      <c r="U891" s="9">
        <f>(RIGHT(D891,4))*1</f>
        <v>30</v>
      </c>
      <c r="V891" s="9" t="str">
        <f>IFERROR(VLOOKUP(I891,#REF!,2,0),"Sinalização")</f>
        <v>Sinalização</v>
      </c>
    </row>
    <row r="892" spans="1:22" x14ac:dyDescent="0.25">
      <c r="A892" s="3" t="s">
        <v>22</v>
      </c>
      <c r="B892" s="4">
        <v>23510508</v>
      </c>
      <c r="C892" s="5" t="s">
        <v>23</v>
      </c>
      <c r="D892" s="6" t="s">
        <v>829</v>
      </c>
      <c r="E892" s="6" t="s">
        <v>25</v>
      </c>
      <c r="F892" s="11">
        <v>46165</v>
      </c>
      <c r="G892" s="6" t="s">
        <v>1079</v>
      </c>
      <c r="H892" s="7" t="s">
        <v>26</v>
      </c>
      <c r="I892" s="7" t="s">
        <v>425</v>
      </c>
      <c r="J892" s="7" t="s">
        <v>830</v>
      </c>
      <c r="K892" s="7" t="s">
        <v>29</v>
      </c>
      <c r="L892" s="3" t="str">
        <f>E892&amp;D892</f>
        <v>E.SP.IPAT_EE_INS_CONF_S_I_CIRCUITO VIA CA_0030</v>
      </c>
      <c r="M892" s="3" t="str">
        <f>IFERROR(MID(D892,SEARCH("S_I_",D892,1),3),"")</f>
        <v>S_I</v>
      </c>
      <c r="N892" s="3" t="str">
        <f>IFERROR(MID(D892,SEARCH("C_I_",D892,1),3),"")</f>
        <v/>
      </c>
      <c r="O892" s="3" t="str">
        <f>IF(AND(M892="",N892=""),"Extra","")</f>
        <v/>
      </c>
      <c r="P892" s="3" t="str">
        <f>IF(Q892=0,"TERCEIRO","MRS")</f>
        <v>MRS</v>
      </c>
      <c r="Q892" s="8" t="str">
        <f>IFERROR(VLOOKUP(L892,#REF!,4,0),"0,00")</f>
        <v>0,00</v>
      </c>
      <c r="R892" s="9" t="s">
        <v>42</v>
      </c>
      <c r="S892" s="9">
        <f>COUNTIF(D892,"*_SEG_*")</f>
        <v>0</v>
      </c>
      <c r="T892" s="9">
        <f>COUNTIF(D892,"*_MAN_*")</f>
        <v>0</v>
      </c>
      <c r="U892" s="9">
        <f>(RIGHT(D892,4))*1</f>
        <v>30</v>
      </c>
      <c r="V892" s="9" t="str">
        <f>IFERROR(VLOOKUP(I892,#REF!,2,0),"Sinalização")</f>
        <v>Sinalização</v>
      </c>
    </row>
    <row r="893" spans="1:22" x14ac:dyDescent="0.25">
      <c r="A893" s="3" t="s">
        <v>22</v>
      </c>
      <c r="B893" s="4">
        <v>23510509</v>
      </c>
      <c r="C893" s="5" t="s">
        <v>23</v>
      </c>
      <c r="D893" s="6" t="s">
        <v>829</v>
      </c>
      <c r="E893" s="6" t="s">
        <v>25</v>
      </c>
      <c r="F893" s="11">
        <v>46165</v>
      </c>
      <c r="G893" s="6" t="s">
        <v>1079</v>
      </c>
      <c r="H893" s="7" t="s">
        <v>32</v>
      </c>
      <c r="I893" s="7" t="s">
        <v>320</v>
      </c>
      <c r="J893" s="7" t="s">
        <v>830</v>
      </c>
      <c r="K893" s="7" t="s">
        <v>29</v>
      </c>
      <c r="L893" s="3" t="str">
        <f>E893&amp;D893</f>
        <v>E.SP.IPAT_EE_INS_CONF_S_I_CIRCUITO VIA CA_0030</v>
      </c>
      <c r="M893" s="3" t="str">
        <f>IFERROR(MID(D893,SEARCH("S_I_",D893,1),3),"")</f>
        <v>S_I</v>
      </c>
      <c r="N893" s="3" t="str">
        <f>IFERROR(MID(D893,SEARCH("C_I_",D893,1),3),"")</f>
        <v/>
      </c>
      <c r="O893" s="3" t="str">
        <f>IF(AND(M893="",N893=""),"Extra","")</f>
        <v/>
      </c>
      <c r="P893" s="3" t="str">
        <f>IF(Q893=0,"TERCEIRO","MRS")</f>
        <v>MRS</v>
      </c>
      <c r="Q893" s="8" t="str">
        <f>IFERROR(VLOOKUP(L893,#REF!,4,0),"0,00")</f>
        <v>0,00</v>
      </c>
      <c r="R893" s="9" t="s">
        <v>42</v>
      </c>
      <c r="S893" s="9">
        <f>COUNTIF(D893,"*_SEG_*")</f>
        <v>0</v>
      </c>
      <c r="T893" s="9">
        <f>COUNTIF(D893,"*_MAN_*")</f>
        <v>0</v>
      </c>
      <c r="U893" s="9">
        <f>(RIGHT(D893,4))*1</f>
        <v>30</v>
      </c>
      <c r="V893" s="9" t="str">
        <f>IFERROR(VLOOKUP(I893,#REF!,2,0),"Sinalização")</f>
        <v>Sinalização</v>
      </c>
    </row>
    <row r="894" spans="1:22" x14ac:dyDescent="0.25">
      <c r="A894" s="3" t="s">
        <v>22</v>
      </c>
      <c r="B894" s="4">
        <v>23510510</v>
      </c>
      <c r="C894" s="5" t="s">
        <v>23</v>
      </c>
      <c r="D894" s="6" t="s">
        <v>829</v>
      </c>
      <c r="E894" s="6" t="s">
        <v>25</v>
      </c>
      <c r="F894" s="11">
        <v>46165</v>
      </c>
      <c r="G894" s="6" t="s">
        <v>1079</v>
      </c>
      <c r="H894" s="7" t="s">
        <v>32</v>
      </c>
      <c r="I894" s="7" t="s">
        <v>308</v>
      </c>
      <c r="J894" s="7" t="s">
        <v>830</v>
      </c>
      <c r="K894" s="7" t="s">
        <v>29</v>
      </c>
      <c r="L894" s="3" t="str">
        <f>E894&amp;D894</f>
        <v>E.SP.IPAT_EE_INS_CONF_S_I_CIRCUITO VIA CA_0030</v>
      </c>
      <c r="M894" s="3" t="str">
        <f>IFERROR(MID(D894,SEARCH("S_I_",D894,1),3),"")</f>
        <v>S_I</v>
      </c>
      <c r="N894" s="3" t="str">
        <f>IFERROR(MID(D894,SEARCH("C_I_",D894,1),3),"")</f>
        <v/>
      </c>
      <c r="O894" s="3" t="str">
        <f>IF(AND(M894="",N894=""),"Extra","")</f>
        <v/>
      </c>
      <c r="P894" s="3" t="str">
        <f>IF(Q894=0,"TERCEIRO","MRS")</f>
        <v>MRS</v>
      </c>
      <c r="Q894" s="8" t="str">
        <f>IFERROR(VLOOKUP(L894,#REF!,4,0),"0,00")</f>
        <v>0,00</v>
      </c>
      <c r="R894" s="9" t="s">
        <v>42</v>
      </c>
      <c r="S894" s="9">
        <f>COUNTIF(D894,"*_SEG_*")</f>
        <v>0</v>
      </c>
      <c r="T894" s="9">
        <f>COUNTIF(D894,"*_MAN_*")</f>
        <v>0</v>
      </c>
      <c r="U894" s="9">
        <f>(RIGHT(D894,4))*1</f>
        <v>30</v>
      </c>
      <c r="V894" s="9" t="str">
        <f>IFERROR(VLOOKUP(I894,#REF!,2,0),"Sinalização")</f>
        <v>Sinalização</v>
      </c>
    </row>
    <row r="895" spans="1:22" x14ac:dyDescent="0.25">
      <c r="A895" s="3" t="s">
        <v>22</v>
      </c>
      <c r="B895" s="4">
        <v>23510512</v>
      </c>
      <c r="C895" s="5" t="s">
        <v>23</v>
      </c>
      <c r="D895" s="6" t="s">
        <v>829</v>
      </c>
      <c r="E895" s="6" t="s">
        <v>25</v>
      </c>
      <c r="F895" s="11">
        <v>46165</v>
      </c>
      <c r="G895" s="6" t="s">
        <v>1079</v>
      </c>
      <c r="H895" s="7" t="s">
        <v>26</v>
      </c>
      <c r="I895" s="7" t="s">
        <v>993</v>
      </c>
      <c r="J895" s="7" t="s">
        <v>830</v>
      </c>
      <c r="K895" s="7" t="s">
        <v>29</v>
      </c>
      <c r="L895" s="3" t="str">
        <f>E895&amp;D895</f>
        <v>E.SP.IPAT_EE_INS_CONF_S_I_CIRCUITO VIA CA_0030</v>
      </c>
      <c r="M895" s="3" t="str">
        <f>IFERROR(MID(D895,SEARCH("S_I_",D895,1),3),"")</f>
        <v>S_I</v>
      </c>
      <c r="N895" s="3" t="str">
        <f>IFERROR(MID(D895,SEARCH("C_I_",D895,1),3),"")</f>
        <v/>
      </c>
      <c r="O895" s="3" t="str">
        <f>IF(AND(M895="",N895=""),"Extra","")</f>
        <v/>
      </c>
      <c r="P895" s="3" t="str">
        <f>IF(Q895=0,"TERCEIRO","MRS")</f>
        <v>MRS</v>
      </c>
      <c r="Q895" s="8" t="str">
        <f>IFERROR(VLOOKUP(L895,#REF!,4,0),"0,00")</f>
        <v>0,00</v>
      </c>
      <c r="R895" s="9" t="s">
        <v>42</v>
      </c>
      <c r="S895" s="9">
        <f>COUNTIF(D895,"*_SEG_*")</f>
        <v>0</v>
      </c>
      <c r="T895" s="9">
        <f>COUNTIF(D895,"*_MAN_*")</f>
        <v>0</v>
      </c>
      <c r="U895" s="9">
        <f>(RIGHT(D895,4))*1</f>
        <v>30</v>
      </c>
      <c r="V895" s="9" t="str">
        <f>IFERROR(VLOOKUP(I895,#REF!,2,0),"Sinalização")</f>
        <v>Sinalização</v>
      </c>
    </row>
    <row r="896" spans="1:22" x14ac:dyDescent="0.25">
      <c r="A896" s="3" t="s">
        <v>22</v>
      </c>
      <c r="B896" s="4">
        <v>23510513</v>
      </c>
      <c r="C896" s="5" t="s">
        <v>23</v>
      </c>
      <c r="D896" s="6" t="s">
        <v>829</v>
      </c>
      <c r="E896" s="6" t="s">
        <v>25</v>
      </c>
      <c r="F896" s="11">
        <v>46165</v>
      </c>
      <c r="G896" s="6" t="s">
        <v>1079</v>
      </c>
      <c r="H896" s="7" t="s">
        <v>26</v>
      </c>
      <c r="I896" s="7" t="s">
        <v>346</v>
      </c>
      <c r="J896" s="7" t="s">
        <v>830</v>
      </c>
      <c r="K896" s="7" t="s">
        <v>29</v>
      </c>
      <c r="L896" s="3" t="str">
        <f>E896&amp;D896</f>
        <v>E.SP.IPAT_EE_INS_CONF_S_I_CIRCUITO VIA CA_0030</v>
      </c>
      <c r="M896" s="3" t="str">
        <f>IFERROR(MID(D896,SEARCH("S_I_",D896,1),3),"")</f>
        <v>S_I</v>
      </c>
      <c r="N896" s="3" t="str">
        <f>IFERROR(MID(D896,SEARCH("C_I_",D896,1),3),"")</f>
        <v/>
      </c>
      <c r="O896" s="3" t="str">
        <f>IF(AND(M896="",N896=""),"Extra","")</f>
        <v/>
      </c>
      <c r="P896" s="3" t="str">
        <f>IF(Q896=0,"TERCEIRO","MRS")</f>
        <v>MRS</v>
      </c>
      <c r="Q896" s="8" t="str">
        <f>IFERROR(VLOOKUP(L896,#REF!,4,0),"0,00")</f>
        <v>0,00</v>
      </c>
      <c r="R896" s="9" t="s">
        <v>42</v>
      </c>
      <c r="S896" s="9">
        <f>COUNTIF(D896,"*_SEG_*")</f>
        <v>0</v>
      </c>
      <c r="T896" s="9">
        <f>COUNTIF(D896,"*_MAN_*")</f>
        <v>0</v>
      </c>
      <c r="U896" s="9">
        <f>(RIGHT(D896,4))*1</f>
        <v>30</v>
      </c>
      <c r="V896" s="9" t="str">
        <f>IFERROR(VLOOKUP(I896,#REF!,2,0),"Sinalização")</f>
        <v>Sinalização</v>
      </c>
    </row>
    <row r="897" spans="1:22" x14ac:dyDescent="0.25">
      <c r="A897" s="3" t="s">
        <v>22</v>
      </c>
      <c r="B897" s="4">
        <v>23510515</v>
      </c>
      <c r="C897" s="5" t="s">
        <v>23</v>
      </c>
      <c r="D897" s="6" t="s">
        <v>829</v>
      </c>
      <c r="E897" s="6" t="s">
        <v>25</v>
      </c>
      <c r="F897" s="11">
        <v>46165</v>
      </c>
      <c r="G897" s="6" t="s">
        <v>1079</v>
      </c>
      <c r="H897" s="7" t="s">
        <v>32</v>
      </c>
      <c r="I897" s="7" t="s">
        <v>348</v>
      </c>
      <c r="J897" s="7" t="s">
        <v>830</v>
      </c>
      <c r="K897" s="7" t="s">
        <v>29</v>
      </c>
      <c r="L897" s="3" t="str">
        <f>E897&amp;D897</f>
        <v>E.SP.IPAT_EE_INS_CONF_S_I_CIRCUITO VIA CA_0030</v>
      </c>
      <c r="M897" s="3" t="str">
        <f>IFERROR(MID(D897,SEARCH("S_I_",D897,1),3),"")</f>
        <v>S_I</v>
      </c>
      <c r="N897" s="3" t="str">
        <f>IFERROR(MID(D897,SEARCH("C_I_",D897,1),3),"")</f>
        <v/>
      </c>
      <c r="O897" s="3" t="str">
        <f>IF(AND(M897="",N897=""),"Extra","")</f>
        <v/>
      </c>
      <c r="P897" s="3" t="str">
        <f>IF(Q897=0,"TERCEIRO","MRS")</f>
        <v>MRS</v>
      </c>
      <c r="Q897" s="8" t="str">
        <f>IFERROR(VLOOKUP(L897,#REF!,4,0),"0,00")</f>
        <v>0,00</v>
      </c>
      <c r="R897" s="9" t="s">
        <v>42</v>
      </c>
      <c r="S897" s="9">
        <f>COUNTIF(D897,"*_SEG_*")</f>
        <v>0</v>
      </c>
      <c r="T897" s="9">
        <f>COUNTIF(D897,"*_MAN_*")</f>
        <v>0</v>
      </c>
      <c r="U897" s="9">
        <f>(RIGHT(D897,4))*1</f>
        <v>30</v>
      </c>
      <c r="V897" s="9" t="str">
        <f>IFERROR(VLOOKUP(I897,#REF!,2,0),"Sinalização")</f>
        <v>Sinalização</v>
      </c>
    </row>
    <row r="898" spans="1:22" x14ac:dyDescent="0.25">
      <c r="A898" s="3" t="s">
        <v>22</v>
      </c>
      <c r="B898" s="4">
        <v>23510517</v>
      </c>
      <c r="C898" s="5" t="s">
        <v>23</v>
      </c>
      <c r="D898" s="6" t="s">
        <v>829</v>
      </c>
      <c r="E898" s="6" t="s">
        <v>25</v>
      </c>
      <c r="F898" s="11">
        <v>46165</v>
      </c>
      <c r="G898" s="6" t="s">
        <v>1079</v>
      </c>
      <c r="H898" s="7" t="s">
        <v>32</v>
      </c>
      <c r="I898" s="7" t="s">
        <v>500</v>
      </c>
      <c r="J898" s="7" t="s">
        <v>830</v>
      </c>
      <c r="K898" s="7" t="s">
        <v>29</v>
      </c>
      <c r="L898" s="3" t="str">
        <f>E898&amp;D898</f>
        <v>E.SP.IPAT_EE_INS_CONF_S_I_CIRCUITO VIA CA_0030</v>
      </c>
      <c r="M898" s="3" t="str">
        <f>IFERROR(MID(D898,SEARCH("S_I_",D898,1),3),"")</f>
        <v>S_I</v>
      </c>
      <c r="N898" s="3" t="str">
        <f>IFERROR(MID(D898,SEARCH("C_I_",D898,1),3),"")</f>
        <v/>
      </c>
      <c r="O898" s="3" t="str">
        <f>IF(AND(M898="",N898=""),"Extra","")</f>
        <v/>
      </c>
      <c r="P898" s="3" t="str">
        <f>IF(Q898=0,"TERCEIRO","MRS")</f>
        <v>MRS</v>
      </c>
      <c r="Q898" s="8" t="str">
        <f>IFERROR(VLOOKUP(L898,#REF!,4,0),"0,00")</f>
        <v>0,00</v>
      </c>
      <c r="R898" s="9" t="s">
        <v>42</v>
      </c>
      <c r="S898" s="9">
        <f>COUNTIF(D898,"*_SEG_*")</f>
        <v>0</v>
      </c>
      <c r="T898" s="9">
        <f>COUNTIF(D898,"*_MAN_*")</f>
        <v>0</v>
      </c>
      <c r="U898" s="9">
        <f>(RIGHT(D898,4))*1</f>
        <v>30</v>
      </c>
      <c r="V898" s="9" t="str">
        <f>IFERROR(VLOOKUP(I898,#REF!,2,0),"Sinalização")</f>
        <v>Sinalização</v>
      </c>
    </row>
    <row r="899" spans="1:22" x14ac:dyDescent="0.25">
      <c r="A899" s="3" t="s">
        <v>22</v>
      </c>
      <c r="B899" s="4">
        <v>23510519</v>
      </c>
      <c r="C899" s="5" t="s">
        <v>23</v>
      </c>
      <c r="D899" s="6" t="s">
        <v>829</v>
      </c>
      <c r="E899" s="6" t="s">
        <v>25</v>
      </c>
      <c r="F899" s="11">
        <v>46165</v>
      </c>
      <c r="G899" s="6" t="s">
        <v>1079</v>
      </c>
      <c r="H899" s="7" t="s">
        <v>26</v>
      </c>
      <c r="I899" s="7" t="s">
        <v>499</v>
      </c>
      <c r="J899" s="7" t="s">
        <v>830</v>
      </c>
      <c r="K899" s="7" t="s">
        <v>29</v>
      </c>
      <c r="L899" s="3" t="str">
        <f>E899&amp;D899</f>
        <v>E.SP.IPAT_EE_INS_CONF_S_I_CIRCUITO VIA CA_0030</v>
      </c>
      <c r="M899" s="3" t="str">
        <f>IFERROR(MID(D899,SEARCH("S_I_",D899,1),3),"")</f>
        <v>S_I</v>
      </c>
      <c r="N899" s="3" t="str">
        <f>IFERROR(MID(D899,SEARCH("C_I_",D899,1),3),"")</f>
        <v/>
      </c>
      <c r="O899" s="3" t="str">
        <f>IF(AND(M899="",N899=""),"Extra","")</f>
        <v/>
      </c>
      <c r="P899" s="3" t="str">
        <f>IF(Q899=0,"TERCEIRO","MRS")</f>
        <v>MRS</v>
      </c>
      <c r="Q899" s="8" t="str">
        <f>IFERROR(VLOOKUP(L899,#REF!,4,0),"0,00")</f>
        <v>0,00</v>
      </c>
      <c r="R899" s="9" t="s">
        <v>42</v>
      </c>
      <c r="S899" s="9">
        <f>COUNTIF(D899,"*_SEG_*")</f>
        <v>0</v>
      </c>
      <c r="T899" s="9">
        <f>COUNTIF(D899,"*_MAN_*")</f>
        <v>0</v>
      </c>
      <c r="U899" s="9">
        <f>(RIGHT(D899,4))*1</f>
        <v>30</v>
      </c>
      <c r="V899" s="9" t="str">
        <f>IFERROR(VLOOKUP(I899,#REF!,2,0),"Sinalização")</f>
        <v>Sinalização</v>
      </c>
    </row>
    <row r="900" spans="1:22" x14ac:dyDescent="0.25">
      <c r="A900" s="3" t="s">
        <v>22</v>
      </c>
      <c r="B900" s="4">
        <v>23510521</v>
      </c>
      <c r="C900" s="5" t="s">
        <v>23</v>
      </c>
      <c r="D900" s="6" t="s">
        <v>829</v>
      </c>
      <c r="E900" s="6" t="s">
        <v>25</v>
      </c>
      <c r="F900" s="11">
        <v>46165</v>
      </c>
      <c r="G900" s="6" t="s">
        <v>1079</v>
      </c>
      <c r="H900" s="7" t="s">
        <v>26</v>
      </c>
      <c r="I900" s="7" t="s">
        <v>569</v>
      </c>
      <c r="J900" s="7" t="s">
        <v>830</v>
      </c>
      <c r="K900" s="7" t="s">
        <v>29</v>
      </c>
      <c r="L900" s="3" t="str">
        <f>E900&amp;D900</f>
        <v>E.SP.IPAT_EE_INS_CONF_S_I_CIRCUITO VIA CA_0030</v>
      </c>
      <c r="M900" s="3" t="str">
        <f>IFERROR(MID(D900,SEARCH("S_I_",D900,1),3),"")</f>
        <v>S_I</v>
      </c>
      <c r="N900" s="3" t="str">
        <f>IFERROR(MID(D900,SEARCH("C_I_",D900,1),3),"")</f>
        <v/>
      </c>
      <c r="O900" s="3" t="str">
        <f>IF(AND(M900="",N900=""),"Extra","")</f>
        <v/>
      </c>
      <c r="P900" s="3" t="str">
        <f>IF(Q900=0,"TERCEIRO","MRS")</f>
        <v>MRS</v>
      </c>
      <c r="Q900" s="8" t="str">
        <f>IFERROR(VLOOKUP(L900,#REF!,4,0),"0,00")</f>
        <v>0,00</v>
      </c>
      <c r="R900" s="9" t="s">
        <v>42</v>
      </c>
      <c r="S900" s="9">
        <f>COUNTIF(D900,"*_SEG_*")</f>
        <v>0</v>
      </c>
      <c r="T900" s="9">
        <f>COUNTIF(D900,"*_MAN_*")</f>
        <v>0</v>
      </c>
      <c r="U900" s="9">
        <f>(RIGHT(D900,4))*1</f>
        <v>30</v>
      </c>
      <c r="V900" s="9" t="str">
        <f>IFERROR(VLOOKUP(I900,#REF!,2,0),"Sinalização")</f>
        <v>Sinalização</v>
      </c>
    </row>
    <row r="901" spans="1:22" x14ac:dyDescent="0.25">
      <c r="A901" s="3" t="s">
        <v>22</v>
      </c>
      <c r="B901" s="4">
        <v>23510522</v>
      </c>
      <c r="C901" s="5" t="s">
        <v>23</v>
      </c>
      <c r="D901" s="6" t="s">
        <v>829</v>
      </c>
      <c r="E901" s="6" t="s">
        <v>25</v>
      </c>
      <c r="F901" s="11">
        <v>46165</v>
      </c>
      <c r="G901" s="6" t="s">
        <v>1079</v>
      </c>
      <c r="H901" s="7" t="s">
        <v>32</v>
      </c>
      <c r="I901" s="7" t="s">
        <v>307</v>
      </c>
      <c r="J901" s="7" t="s">
        <v>830</v>
      </c>
      <c r="K901" s="7" t="s">
        <v>29</v>
      </c>
      <c r="L901" s="3" t="str">
        <f>E901&amp;D901</f>
        <v>E.SP.IPAT_EE_INS_CONF_S_I_CIRCUITO VIA CA_0030</v>
      </c>
      <c r="M901" s="3" t="str">
        <f>IFERROR(MID(D901,SEARCH("S_I_",D901,1),3),"")</f>
        <v>S_I</v>
      </c>
      <c r="N901" s="3" t="str">
        <f>IFERROR(MID(D901,SEARCH("C_I_",D901,1),3),"")</f>
        <v/>
      </c>
      <c r="O901" s="3" t="str">
        <f>IF(AND(M901="",N901=""),"Extra","")</f>
        <v/>
      </c>
      <c r="P901" s="3" t="str">
        <f>IF(Q901=0,"TERCEIRO","MRS")</f>
        <v>MRS</v>
      </c>
      <c r="Q901" s="8" t="str">
        <f>IFERROR(VLOOKUP(L901,#REF!,4,0),"0,00")</f>
        <v>0,00</v>
      </c>
      <c r="R901" s="9" t="s">
        <v>42</v>
      </c>
      <c r="S901" s="9">
        <f>COUNTIF(D901,"*_SEG_*")</f>
        <v>0</v>
      </c>
      <c r="T901" s="9">
        <f>COUNTIF(D901,"*_MAN_*")</f>
        <v>0</v>
      </c>
      <c r="U901" s="9">
        <f>(RIGHT(D901,4))*1</f>
        <v>30</v>
      </c>
      <c r="V901" s="9" t="str">
        <f>IFERROR(VLOOKUP(I901,#REF!,2,0),"Sinalização")</f>
        <v>Sinalização</v>
      </c>
    </row>
    <row r="902" spans="1:22" x14ac:dyDescent="0.25">
      <c r="A902" s="3" t="s">
        <v>22</v>
      </c>
      <c r="B902" s="4">
        <v>23510524</v>
      </c>
      <c r="C902" s="5" t="s">
        <v>23</v>
      </c>
      <c r="D902" s="6" t="s">
        <v>829</v>
      </c>
      <c r="E902" s="6" t="s">
        <v>25</v>
      </c>
      <c r="F902" s="11">
        <v>46165</v>
      </c>
      <c r="G902" s="6" t="s">
        <v>1079</v>
      </c>
      <c r="H902" s="7" t="s">
        <v>32</v>
      </c>
      <c r="I902" s="7" t="s">
        <v>235</v>
      </c>
      <c r="J902" s="7" t="s">
        <v>830</v>
      </c>
      <c r="K902" s="7" t="s">
        <v>29</v>
      </c>
      <c r="L902" s="3" t="str">
        <f>E902&amp;D902</f>
        <v>E.SP.IPAT_EE_INS_CONF_S_I_CIRCUITO VIA CA_0030</v>
      </c>
      <c r="M902" s="3" t="str">
        <f>IFERROR(MID(D902,SEARCH("S_I_",D902,1),3),"")</f>
        <v>S_I</v>
      </c>
      <c r="N902" s="3" t="str">
        <f>IFERROR(MID(D902,SEARCH("C_I_",D902,1),3),"")</f>
        <v/>
      </c>
      <c r="O902" s="3" t="str">
        <f>IF(AND(M902="",N902=""),"Extra","")</f>
        <v/>
      </c>
      <c r="P902" s="3" t="str">
        <f>IF(Q902=0,"TERCEIRO","MRS")</f>
        <v>MRS</v>
      </c>
      <c r="Q902" s="8" t="str">
        <f>IFERROR(VLOOKUP(L902,#REF!,4,0),"0,00")</f>
        <v>0,00</v>
      </c>
      <c r="R902" s="9" t="s">
        <v>42</v>
      </c>
      <c r="S902" s="9">
        <f>COUNTIF(D902,"*_SEG_*")</f>
        <v>0</v>
      </c>
      <c r="T902" s="9">
        <f>COUNTIF(D902,"*_MAN_*")</f>
        <v>0</v>
      </c>
      <c r="U902" s="9">
        <f>(RIGHT(D902,4))*1</f>
        <v>30</v>
      </c>
      <c r="V902" s="9" t="str">
        <f>IFERROR(VLOOKUP(I902,#REF!,2,0),"Sinalização")</f>
        <v>Sinalização</v>
      </c>
    </row>
    <row r="903" spans="1:22" x14ac:dyDescent="0.25">
      <c r="A903" s="3" t="s">
        <v>22</v>
      </c>
      <c r="B903" s="4">
        <v>23510526</v>
      </c>
      <c r="C903" s="5" t="s">
        <v>23</v>
      </c>
      <c r="D903" s="6" t="s">
        <v>829</v>
      </c>
      <c r="E903" s="6" t="s">
        <v>25</v>
      </c>
      <c r="F903" s="11">
        <v>46165</v>
      </c>
      <c r="G903" s="6" t="s">
        <v>1079</v>
      </c>
      <c r="H903" s="7" t="s">
        <v>26</v>
      </c>
      <c r="I903" s="7" t="s">
        <v>214</v>
      </c>
      <c r="J903" s="7" t="s">
        <v>830</v>
      </c>
      <c r="K903" s="7" t="s">
        <v>29</v>
      </c>
      <c r="L903" s="3" t="str">
        <f>E903&amp;D903</f>
        <v>E.SP.IPAT_EE_INS_CONF_S_I_CIRCUITO VIA CA_0030</v>
      </c>
      <c r="M903" s="3" t="str">
        <f>IFERROR(MID(D903,SEARCH("S_I_",D903,1),3),"")</f>
        <v>S_I</v>
      </c>
      <c r="N903" s="3" t="str">
        <f>IFERROR(MID(D903,SEARCH("C_I_",D903,1),3),"")</f>
        <v/>
      </c>
      <c r="O903" s="3" t="str">
        <f>IF(AND(M903="",N903=""),"Extra","")</f>
        <v/>
      </c>
      <c r="P903" s="3" t="str">
        <f>IF(Q903=0,"TERCEIRO","MRS")</f>
        <v>MRS</v>
      </c>
      <c r="Q903" s="8" t="str">
        <f>IFERROR(VLOOKUP(L903,#REF!,4,0),"0,00")</f>
        <v>0,00</v>
      </c>
      <c r="R903" s="9" t="s">
        <v>42</v>
      </c>
      <c r="S903" s="9">
        <f>COUNTIF(D903,"*_SEG_*")</f>
        <v>0</v>
      </c>
      <c r="T903" s="9">
        <f>COUNTIF(D903,"*_MAN_*")</f>
        <v>0</v>
      </c>
      <c r="U903" s="9">
        <f>(RIGHT(D903,4))*1</f>
        <v>30</v>
      </c>
      <c r="V903" s="9" t="str">
        <f>IFERROR(VLOOKUP(I903,#REF!,2,0),"Sinalização")</f>
        <v>Sinalização</v>
      </c>
    </row>
    <row r="904" spans="1:22" x14ac:dyDescent="0.25">
      <c r="A904" s="3" t="s">
        <v>22</v>
      </c>
      <c r="B904" s="4">
        <v>23510531</v>
      </c>
      <c r="C904" s="5" t="s">
        <v>23</v>
      </c>
      <c r="D904" s="6" t="s">
        <v>829</v>
      </c>
      <c r="E904" s="6" t="s">
        <v>25</v>
      </c>
      <c r="F904" s="11">
        <v>46165</v>
      </c>
      <c r="G904" s="6" t="s">
        <v>1079</v>
      </c>
      <c r="H904" s="7" t="s">
        <v>26</v>
      </c>
      <c r="I904" s="7" t="s">
        <v>961</v>
      </c>
      <c r="J904" s="7" t="s">
        <v>830</v>
      </c>
      <c r="K904" s="7" t="s">
        <v>29</v>
      </c>
      <c r="L904" s="3" t="str">
        <f>E904&amp;D904</f>
        <v>E.SP.IPAT_EE_INS_CONF_S_I_CIRCUITO VIA CA_0030</v>
      </c>
      <c r="M904" s="3" t="str">
        <f>IFERROR(MID(D904,SEARCH("S_I_",D904,1),3),"")</f>
        <v>S_I</v>
      </c>
      <c r="N904" s="3" t="str">
        <f>IFERROR(MID(D904,SEARCH("C_I_",D904,1),3),"")</f>
        <v/>
      </c>
      <c r="O904" s="3" t="str">
        <f>IF(AND(M904="",N904=""),"Extra","")</f>
        <v/>
      </c>
      <c r="P904" s="3" t="str">
        <f>IF(Q904=0,"TERCEIRO","MRS")</f>
        <v>MRS</v>
      </c>
      <c r="Q904" s="8" t="str">
        <f>IFERROR(VLOOKUP(L904,#REF!,4,0),"0,00")</f>
        <v>0,00</v>
      </c>
      <c r="R904" s="9" t="s">
        <v>42</v>
      </c>
      <c r="S904" s="9">
        <f>COUNTIF(D904,"*_SEG_*")</f>
        <v>0</v>
      </c>
      <c r="T904" s="9">
        <f>COUNTIF(D904,"*_MAN_*")</f>
        <v>0</v>
      </c>
      <c r="U904" s="9">
        <f>(RIGHT(D904,4))*1</f>
        <v>30</v>
      </c>
      <c r="V904" s="9" t="str">
        <f>IFERROR(VLOOKUP(I904,#REF!,2,0),"Sinalização")</f>
        <v>Sinalização</v>
      </c>
    </row>
    <row r="905" spans="1:22" x14ac:dyDescent="0.25">
      <c r="A905" s="3" t="s">
        <v>22</v>
      </c>
      <c r="B905" s="4">
        <v>23510533</v>
      </c>
      <c r="C905" s="5" t="s">
        <v>23</v>
      </c>
      <c r="D905" s="6" t="s">
        <v>829</v>
      </c>
      <c r="E905" s="6" t="s">
        <v>25</v>
      </c>
      <c r="F905" s="11">
        <v>46165</v>
      </c>
      <c r="G905" s="6" t="s">
        <v>1079</v>
      </c>
      <c r="H905" s="7" t="s">
        <v>32</v>
      </c>
      <c r="I905" s="7" t="s">
        <v>962</v>
      </c>
      <c r="J905" s="7" t="s">
        <v>830</v>
      </c>
      <c r="K905" s="7" t="s">
        <v>29</v>
      </c>
      <c r="L905" s="3" t="str">
        <f>E905&amp;D905</f>
        <v>E.SP.IPAT_EE_INS_CONF_S_I_CIRCUITO VIA CA_0030</v>
      </c>
      <c r="M905" s="3" t="str">
        <f>IFERROR(MID(D905,SEARCH("S_I_",D905,1),3),"")</f>
        <v>S_I</v>
      </c>
      <c r="N905" s="3" t="str">
        <f>IFERROR(MID(D905,SEARCH("C_I_",D905,1),3),"")</f>
        <v/>
      </c>
      <c r="O905" s="3" t="str">
        <f>IF(AND(M905="",N905=""),"Extra","")</f>
        <v/>
      </c>
      <c r="P905" s="3" t="str">
        <f>IF(Q905=0,"TERCEIRO","MRS")</f>
        <v>MRS</v>
      </c>
      <c r="Q905" s="8" t="str">
        <f>IFERROR(VLOOKUP(L905,#REF!,4,0),"0,00")</f>
        <v>0,00</v>
      </c>
      <c r="R905" s="9" t="s">
        <v>42</v>
      </c>
      <c r="S905" s="9">
        <f>COUNTIF(D905,"*_SEG_*")</f>
        <v>0</v>
      </c>
      <c r="T905" s="9">
        <f>COUNTIF(D905,"*_MAN_*")</f>
        <v>0</v>
      </c>
      <c r="U905" s="9">
        <f>(RIGHT(D905,4))*1</f>
        <v>30</v>
      </c>
      <c r="V905" s="9" t="str">
        <f>IFERROR(VLOOKUP(I905,#REF!,2,0),"Sinalização")</f>
        <v>Sinalização</v>
      </c>
    </row>
    <row r="906" spans="1:22" x14ac:dyDescent="0.25">
      <c r="A906" s="3" t="s">
        <v>22</v>
      </c>
      <c r="B906" s="4">
        <v>23510536</v>
      </c>
      <c r="C906" s="5" t="s">
        <v>23</v>
      </c>
      <c r="D906" s="6" t="s">
        <v>829</v>
      </c>
      <c r="E906" s="6" t="s">
        <v>25</v>
      </c>
      <c r="F906" s="11">
        <v>46165</v>
      </c>
      <c r="G906" s="6" t="s">
        <v>1079</v>
      </c>
      <c r="H906" s="7" t="s">
        <v>32</v>
      </c>
      <c r="I906" s="7" t="s">
        <v>963</v>
      </c>
      <c r="J906" s="7" t="s">
        <v>830</v>
      </c>
      <c r="K906" s="7" t="s">
        <v>29</v>
      </c>
      <c r="L906" s="3" t="str">
        <f>E906&amp;D906</f>
        <v>E.SP.IPAT_EE_INS_CONF_S_I_CIRCUITO VIA CA_0030</v>
      </c>
      <c r="M906" s="3" t="str">
        <f>IFERROR(MID(D906,SEARCH("S_I_",D906,1),3),"")</f>
        <v>S_I</v>
      </c>
      <c r="N906" s="3" t="str">
        <f>IFERROR(MID(D906,SEARCH("C_I_",D906,1),3),"")</f>
        <v/>
      </c>
      <c r="O906" s="3" t="str">
        <f>IF(AND(M906="",N906=""),"Extra","")</f>
        <v/>
      </c>
      <c r="P906" s="3" t="str">
        <f>IF(Q906=0,"TERCEIRO","MRS")</f>
        <v>MRS</v>
      </c>
      <c r="Q906" s="8" t="str">
        <f>IFERROR(VLOOKUP(L906,#REF!,4,0),"0,00")</f>
        <v>0,00</v>
      </c>
      <c r="R906" s="9" t="s">
        <v>42</v>
      </c>
      <c r="S906" s="9">
        <f>COUNTIF(D906,"*_SEG_*")</f>
        <v>0</v>
      </c>
      <c r="T906" s="9">
        <f>COUNTIF(D906,"*_MAN_*")</f>
        <v>0</v>
      </c>
      <c r="U906" s="9">
        <f>(RIGHT(D906,4))*1</f>
        <v>30</v>
      </c>
      <c r="V906" s="9" t="str">
        <f>IFERROR(VLOOKUP(I906,#REF!,2,0),"Sinalização")</f>
        <v>Sinalização</v>
      </c>
    </row>
    <row r="907" spans="1:22" x14ac:dyDescent="0.25">
      <c r="A907" s="3" t="s">
        <v>22</v>
      </c>
      <c r="B907" s="4">
        <v>23510537</v>
      </c>
      <c r="C907" s="5" t="s">
        <v>23</v>
      </c>
      <c r="D907" s="6" t="s">
        <v>829</v>
      </c>
      <c r="E907" s="6" t="s">
        <v>25</v>
      </c>
      <c r="F907" s="11">
        <v>46165</v>
      </c>
      <c r="G907" s="6" t="s">
        <v>1079</v>
      </c>
      <c r="H907" s="7" t="s">
        <v>26</v>
      </c>
      <c r="I907" s="7" t="s">
        <v>964</v>
      </c>
      <c r="J907" s="7" t="s">
        <v>830</v>
      </c>
      <c r="K907" s="7" t="s">
        <v>29</v>
      </c>
      <c r="L907" s="3" t="str">
        <f>E907&amp;D907</f>
        <v>E.SP.IPAT_EE_INS_CONF_S_I_CIRCUITO VIA CA_0030</v>
      </c>
      <c r="M907" s="3" t="str">
        <f>IFERROR(MID(D907,SEARCH("S_I_",D907,1),3),"")</f>
        <v>S_I</v>
      </c>
      <c r="N907" s="3" t="str">
        <f>IFERROR(MID(D907,SEARCH("C_I_",D907,1),3),"")</f>
        <v/>
      </c>
      <c r="O907" s="3" t="str">
        <f>IF(AND(M907="",N907=""),"Extra","")</f>
        <v/>
      </c>
      <c r="P907" s="3" t="str">
        <f>IF(Q907=0,"TERCEIRO","MRS")</f>
        <v>MRS</v>
      </c>
      <c r="Q907" s="8" t="str">
        <f>IFERROR(VLOOKUP(L907,#REF!,4,0),"0,00")</f>
        <v>0,00</v>
      </c>
      <c r="R907" s="9" t="s">
        <v>42</v>
      </c>
      <c r="S907" s="9">
        <f>COUNTIF(D907,"*_SEG_*")</f>
        <v>0</v>
      </c>
      <c r="T907" s="9">
        <f>COUNTIF(D907,"*_MAN_*")</f>
        <v>0</v>
      </c>
      <c r="U907" s="9">
        <f>(RIGHT(D907,4))*1</f>
        <v>30</v>
      </c>
      <c r="V907" s="9" t="str">
        <f>IFERROR(VLOOKUP(I907,#REF!,2,0),"Sinalização")</f>
        <v>Sinalização</v>
      </c>
    </row>
    <row r="908" spans="1:22" x14ac:dyDescent="0.25">
      <c r="A908" s="3" t="s">
        <v>22</v>
      </c>
      <c r="B908" s="4">
        <v>23510538</v>
      </c>
      <c r="C908" s="5" t="s">
        <v>23</v>
      </c>
      <c r="D908" s="6" t="s">
        <v>829</v>
      </c>
      <c r="E908" s="6" t="s">
        <v>25</v>
      </c>
      <c r="F908" s="11">
        <v>46165</v>
      </c>
      <c r="G908" s="6" t="s">
        <v>1079</v>
      </c>
      <c r="H908" s="7" t="s">
        <v>26</v>
      </c>
      <c r="I908" s="7" t="s">
        <v>757</v>
      </c>
      <c r="J908" s="7" t="s">
        <v>830</v>
      </c>
      <c r="K908" s="7" t="s">
        <v>29</v>
      </c>
      <c r="L908" s="3" t="str">
        <f>E908&amp;D908</f>
        <v>E.SP.IPAT_EE_INS_CONF_S_I_CIRCUITO VIA CA_0030</v>
      </c>
      <c r="M908" s="3" t="str">
        <f>IFERROR(MID(D908,SEARCH("S_I_",D908,1),3),"")</f>
        <v>S_I</v>
      </c>
      <c r="N908" s="3" t="str">
        <f>IFERROR(MID(D908,SEARCH("C_I_",D908,1),3),"")</f>
        <v/>
      </c>
      <c r="O908" s="3" t="str">
        <f>IF(AND(M908="",N908=""),"Extra","")</f>
        <v/>
      </c>
      <c r="P908" s="3" t="str">
        <f>IF(Q908=0,"TERCEIRO","MRS")</f>
        <v>MRS</v>
      </c>
      <c r="Q908" s="8" t="str">
        <f>IFERROR(VLOOKUP(L908,#REF!,4,0),"0,00")</f>
        <v>0,00</v>
      </c>
      <c r="R908" s="9" t="s">
        <v>42</v>
      </c>
      <c r="S908" s="9">
        <f>COUNTIF(D908,"*_SEG_*")</f>
        <v>0</v>
      </c>
      <c r="T908" s="9">
        <f>COUNTIF(D908,"*_MAN_*")</f>
        <v>0</v>
      </c>
      <c r="U908" s="9">
        <f>(RIGHT(D908,4))*1</f>
        <v>30</v>
      </c>
      <c r="V908" s="9" t="str">
        <f>IFERROR(VLOOKUP(I908,#REF!,2,0),"Sinalização")</f>
        <v>Sinalização</v>
      </c>
    </row>
    <row r="909" spans="1:22" x14ac:dyDescent="0.25">
      <c r="A909" s="3" t="s">
        <v>22</v>
      </c>
      <c r="B909" s="4">
        <v>23510540</v>
      </c>
      <c r="C909" s="5" t="s">
        <v>23</v>
      </c>
      <c r="D909" s="6" t="s">
        <v>829</v>
      </c>
      <c r="E909" s="6" t="s">
        <v>25</v>
      </c>
      <c r="F909" s="11">
        <v>46165</v>
      </c>
      <c r="G909" s="6" t="s">
        <v>1079</v>
      </c>
      <c r="H909" s="7" t="s">
        <v>32</v>
      </c>
      <c r="I909" s="7" t="s">
        <v>768</v>
      </c>
      <c r="J909" s="7" t="s">
        <v>830</v>
      </c>
      <c r="K909" s="7" t="s">
        <v>29</v>
      </c>
      <c r="L909" s="3" t="str">
        <f>E909&amp;D909</f>
        <v>E.SP.IPAT_EE_INS_CONF_S_I_CIRCUITO VIA CA_0030</v>
      </c>
      <c r="M909" s="3" t="str">
        <f>IFERROR(MID(D909,SEARCH("S_I_",D909,1),3),"")</f>
        <v>S_I</v>
      </c>
      <c r="N909" s="3" t="str">
        <f>IFERROR(MID(D909,SEARCH("C_I_",D909,1),3),"")</f>
        <v/>
      </c>
      <c r="O909" s="3" t="str">
        <f>IF(AND(M909="",N909=""),"Extra","")</f>
        <v/>
      </c>
      <c r="P909" s="3" t="str">
        <f>IF(Q909=0,"TERCEIRO","MRS")</f>
        <v>MRS</v>
      </c>
      <c r="Q909" s="8" t="str">
        <f>IFERROR(VLOOKUP(L909,#REF!,4,0),"0,00")</f>
        <v>0,00</v>
      </c>
      <c r="R909" s="9" t="s">
        <v>42</v>
      </c>
      <c r="S909" s="9">
        <f>COUNTIF(D909,"*_SEG_*")</f>
        <v>0</v>
      </c>
      <c r="T909" s="9">
        <f>COUNTIF(D909,"*_MAN_*")</f>
        <v>0</v>
      </c>
      <c r="U909" s="9">
        <f>(RIGHT(D909,4))*1</f>
        <v>30</v>
      </c>
      <c r="V909" s="9" t="str">
        <f>IFERROR(VLOOKUP(I909,#REF!,2,0),"Sinalização")</f>
        <v>Sinalização</v>
      </c>
    </row>
    <row r="910" spans="1:22" x14ac:dyDescent="0.25">
      <c r="A910" s="3" t="s">
        <v>22</v>
      </c>
      <c r="B910" s="4">
        <v>23510541</v>
      </c>
      <c r="C910" s="5" t="s">
        <v>23</v>
      </c>
      <c r="D910" s="6" t="s">
        <v>829</v>
      </c>
      <c r="E910" s="6" t="s">
        <v>25</v>
      </c>
      <c r="F910" s="11">
        <v>46165</v>
      </c>
      <c r="G910" s="6" t="s">
        <v>1079</v>
      </c>
      <c r="H910" s="7" t="s">
        <v>32</v>
      </c>
      <c r="I910" s="7" t="s">
        <v>758</v>
      </c>
      <c r="J910" s="7" t="s">
        <v>830</v>
      </c>
      <c r="K910" s="7" t="s">
        <v>29</v>
      </c>
      <c r="L910" s="3" t="str">
        <f>E910&amp;D910</f>
        <v>E.SP.IPAT_EE_INS_CONF_S_I_CIRCUITO VIA CA_0030</v>
      </c>
      <c r="M910" s="3" t="str">
        <f>IFERROR(MID(D910,SEARCH("S_I_",D910,1),3),"")</f>
        <v>S_I</v>
      </c>
      <c r="N910" s="3" t="str">
        <f>IFERROR(MID(D910,SEARCH("C_I_",D910,1),3),"")</f>
        <v/>
      </c>
      <c r="O910" s="3" t="str">
        <f>IF(AND(M910="",N910=""),"Extra","")</f>
        <v/>
      </c>
      <c r="P910" s="3" t="str">
        <f>IF(Q910=0,"TERCEIRO","MRS")</f>
        <v>MRS</v>
      </c>
      <c r="Q910" s="8" t="str">
        <f>IFERROR(VLOOKUP(L910,#REF!,4,0),"0,00")</f>
        <v>0,00</v>
      </c>
      <c r="R910" s="9" t="s">
        <v>42</v>
      </c>
      <c r="S910" s="9">
        <f>COUNTIF(D910,"*_SEG_*")</f>
        <v>0</v>
      </c>
      <c r="T910" s="9">
        <f>COUNTIF(D910,"*_MAN_*")</f>
        <v>0</v>
      </c>
      <c r="U910" s="9">
        <f>(RIGHT(D910,4))*1</f>
        <v>30</v>
      </c>
      <c r="V910" s="9" t="str">
        <f>IFERROR(VLOOKUP(I910,#REF!,2,0),"Sinalização")</f>
        <v>Sinalização</v>
      </c>
    </row>
    <row r="911" spans="1:22" x14ac:dyDescent="0.25">
      <c r="A911" s="3" t="s">
        <v>22</v>
      </c>
      <c r="B911" s="4">
        <v>23510543</v>
      </c>
      <c r="C911" s="5" t="s">
        <v>23</v>
      </c>
      <c r="D911" s="6" t="s">
        <v>829</v>
      </c>
      <c r="E911" s="6" t="s">
        <v>25</v>
      </c>
      <c r="F911" s="11">
        <v>46165</v>
      </c>
      <c r="G911" s="6" t="s">
        <v>1079</v>
      </c>
      <c r="H911" s="7" t="s">
        <v>26</v>
      </c>
      <c r="I911" s="7" t="s">
        <v>756</v>
      </c>
      <c r="J911" s="7" t="s">
        <v>830</v>
      </c>
      <c r="K911" s="7" t="s">
        <v>29</v>
      </c>
      <c r="L911" s="3" t="str">
        <f>E911&amp;D911</f>
        <v>E.SP.IPAT_EE_INS_CONF_S_I_CIRCUITO VIA CA_0030</v>
      </c>
      <c r="M911" s="3" t="str">
        <f>IFERROR(MID(D911,SEARCH("S_I_",D911,1),3),"")</f>
        <v>S_I</v>
      </c>
      <c r="N911" s="3" t="str">
        <f>IFERROR(MID(D911,SEARCH("C_I_",D911,1),3),"")</f>
        <v/>
      </c>
      <c r="O911" s="3" t="str">
        <f>IF(AND(M911="",N911=""),"Extra","")</f>
        <v/>
      </c>
      <c r="P911" s="3" t="str">
        <f>IF(Q911=0,"TERCEIRO","MRS")</f>
        <v>MRS</v>
      </c>
      <c r="Q911" s="8" t="str">
        <f>IFERROR(VLOOKUP(L911,#REF!,4,0),"0,00")</f>
        <v>0,00</v>
      </c>
      <c r="R911" s="9" t="s">
        <v>42</v>
      </c>
      <c r="S911" s="9">
        <f>COUNTIF(D911,"*_SEG_*")</f>
        <v>0</v>
      </c>
      <c r="T911" s="9">
        <f>COUNTIF(D911,"*_MAN_*")</f>
        <v>0</v>
      </c>
      <c r="U911" s="9">
        <f>(RIGHT(D911,4))*1</f>
        <v>30</v>
      </c>
      <c r="V911" s="9" t="str">
        <f>IFERROR(VLOOKUP(I911,#REF!,2,0),"Sinalização")</f>
        <v>Sinalização</v>
      </c>
    </row>
    <row r="912" spans="1:22" x14ac:dyDescent="0.25">
      <c r="A912" s="3" t="s">
        <v>22</v>
      </c>
      <c r="B912" s="4">
        <v>23510545</v>
      </c>
      <c r="C912" s="5" t="s">
        <v>23</v>
      </c>
      <c r="D912" s="6" t="s">
        <v>829</v>
      </c>
      <c r="E912" s="6" t="s">
        <v>25</v>
      </c>
      <c r="F912" s="11">
        <v>46165</v>
      </c>
      <c r="G912" s="6" t="s">
        <v>1079</v>
      </c>
      <c r="H912" s="7" t="s">
        <v>26</v>
      </c>
      <c r="I912" s="7" t="s">
        <v>759</v>
      </c>
      <c r="J912" s="7" t="s">
        <v>830</v>
      </c>
      <c r="K912" s="7" t="s">
        <v>29</v>
      </c>
      <c r="L912" s="3" t="str">
        <f>E912&amp;D912</f>
        <v>E.SP.IPAT_EE_INS_CONF_S_I_CIRCUITO VIA CA_0030</v>
      </c>
      <c r="M912" s="3" t="str">
        <f>IFERROR(MID(D912,SEARCH("S_I_",D912,1),3),"")</f>
        <v>S_I</v>
      </c>
      <c r="N912" s="3" t="str">
        <f>IFERROR(MID(D912,SEARCH("C_I_",D912,1),3),"")</f>
        <v/>
      </c>
      <c r="O912" s="3" t="str">
        <f>IF(AND(M912="",N912=""),"Extra","")</f>
        <v/>
      </c>
      <c r="P912" s="3" t="str">
        <f>IF(Q912=0,"TERCEIRO","MRS")</f>
        <v>MRS</v>
      </c>
      <c r="Q912" s="8" t="str">
        <f>IFERROR(VLOOKUP(L912,#REF!,4,0),"0,00")</f>
        <v>0,00</v>
      </c>
      <c r="R912" s="9" t="s">
        <v>42</v>
      </c>
      <c r="S912" s="9">
        <f>COUNTIF(D912,"*_SEG_*")</f>
        <v>0</v>
      </c>
      <c r="T912" s="9">
        <f>COUNTIF(D912,"*_MAN_*")</f>
        <v>0</v>
      </c>
      <c r="U912" s="9">
        <f>(RIGHT(D912,4))*1</f>
        <v>30</v>
      </c>
      <c r="V912" s="9" t="str">
        <f>IFERROR(VLOOKUP(I912,#REF!,2,0),"Sinalização")</f>
        <v>Sinalização</v>
      </c>
    </row>
    <row r="913" spans="1:22" x14ac:dyDescent="0.25">
      <c r="A913" s="3" t="s">
        <v>22</v>
      </c>
      <c r="B913" s="4">
        <v>23510549</v>
      </c>
      <c r="C913" s="5" t="s">
        <v>23</v>
      </c>
      <c r="D913" s="6" t="s">
        <v>829</v>
      </c>
      <c r="E913" s="6" t="s">
        <v>25</v>
      </c>
      <c r="F913" s="11">
        <v>46165</v>
      </c>
      <c r="G913" s="6" t="s">
        <v>1079</v>
      </c>
      <c r="H913" s="7" t="s">
        <v>32</v>
      </c>
      <c r="I913" s="7" t="s">
        <v>994</v>
      </c>
      <c r="J913" s="7" t="s">
        <v>830</v>
      </c>
      <c r="K913" s="7" t="s">
        <v>29</v>
      </c>
      <c r="L913" s="3" t="str">
        <f>E913&amp;D913</f>
        <v>E.SP.IPAT_EE_INS_CONF_S_I_CIRCUITO VIA CA_0030</v>
      </c>
      <c r="M913" s="3" t="str">
        <f>IFERROR(MID(D913,SEARCH("S_I_",D913,1),3),"")</f>
        <v>S_I</v>
      </c>
      <c r="N913" s="3" t="str">
        <f>IFERROR(MID(D913,SEARCH("C_I_",D913,1),3),"")</f>
        <v/>
      </c>
      <c r="O913" s="3" t="str">
        <f>IF(AND(M913="",N913=""),"Extra","")</f>
        <v/>
      </c>
      <c r="P913" s="3" t="str">
        <f>IF(Q913=0,"TERCEIRO","MRS")</f>
        <v>MRS</v>
      </c>
      <c r="Q913" s="8" t="str">
        <f>IFERROR(VLOOKUP(L913,#REF!,4,0),"0,00")</f>
        <v>0,00</v>
      </c>
      <c r="R913" s="9" t="s">
        <v>42</v>
      </c>
      <c r="S913" s="9">
        <f>COUNTIF(D913,"*_SEG_*")</f>
        <v>0</v>
      </c>
      <c r="T913" s="9">
        <f>COUNTIF(D913,"*_MAN_*")</f>
        <v>0</v>
      </c>
      <c r="U913" s="9">
        <f>(RIGHT(D913,4))*1</f>
        <v>30</v>
      </c>
      <c r="V913" s="9" t="str">
        <f>IFERROR(VLOOKUP(I913,#REF!,2,0),"Sinalização")</f>
        <v>Sinalização</v>
      </c>
    </row>
    <row r="914" spans="1:22" x14ac:dyDescent="0.25">
      <c r="A914" s="3" t="s">
        <v>22</v>
      </c>
      <c r="B914" s="4">
        <v>23510551</v>
      </c>
      <c r="C914" s="5" t="s">
        <v>23</v>
      </c>
      <c r="D914" s="6" t="s">
        <v>829</v>
      </c>
      <c r="E914" s="6" t="s">
        <v>25</v>
      </c>
      <c r="F914" s="11">
        <v>46165</v>
      </c>
      <c r="G914" s="6" t="s">
        <v>1079</v>
      </c>
      <c r="H914" s="7" t="s">
        <v>32</v>
      </c>
      <c r="I914" s="7" t="s">
        <v>995</v>
      </c>
      <c r="J914" s="7" t="s">
        <v>830</v>
      </c>
      <c r="K914" s="7" t="s">
        <v>29</v>
      </c>
      <c r="L914" s="3" t="str">
        <f>E914&amp;D914</f>
        <v>E.SP.IPAT_EE_INS_CONF_S_I_CIRCUITO VIA CA_0030</v>
      </c>
      <c r="M914" s="3" t="str">
        <f>IFERROR(MID(D914,SEARCH("S_I_",D914,1),3),"")</f>
        <v>S_I</v>
      </c>
      <c r="N914" s="3" t="str">
        <f>IFERROR(MID(D914,SEARCH("C_I_",D914,1),3),"")</f>
        <v/>
      </c>
      <c r="O914" s="3" t="str">
        <f>IF(AND(M914="",N914=""),"Extra","")</f>
        <v/>
      </c>
      <c r="P914" s="3" t="str">
        <f>IF(Q914=0,"TERCEIRO","MRS")</f>
        <v>MRS</v>
      </c>
      <c r="Q914" s="8" t="str">
        <f>IFERROR(VLOOKUP(L914,#REF!,4,0),"0,00")</f>
        <v>0,00</v>
      </c>
      <c r="R914" s="9" t="s">
        <v>42</v>
      </c>
      <c r="S914" s="9">
        <f>COUNTIF(D914,"*_SEG_*")</f>
        <v>0</v>
      </c>
      <c r="T914" s="9">
        <f>COUNTIF(D914,"*_MAN_*")</f>
        <v>0</v>
      </c>
      <c r="U914" s="9">
        <f>(RIGHT(D914,4))*1</f>
        <v>30</v>
      </c>
      <c r="V914" s="9" t="str">
        <f>IFERROR(VLOOKUP(I914,#REF!,2,0),"Sinalização")</f>
        <v>Sinalização</v>
      </c>
    </row>
    <row r="915" spans="1:22" x14ac:dyDescent="0.25">
      <c r="A915" s="3" t="s">
        <v>22</v>
      </c>
      <c r="B915" s="4">
        <v>23510552</v>
      </c>
      <c r="C915" s="5" t="s">
        <v>23</v>
      </c>
      <c r="D915" s="6" t="s">
        <v>829</v>
      </c>
      <c r="E915" s="6" t="s">
        <v>25</v>
      </c>
      <c r="F915" s="11">
        <v>46165</v>
      </c>
      <c r="G915" s="6" t="s">
        <v>1079</v>
      </c>
      <c r="H915" s="7" t="s">
        <v>26</v>
      </c>
      <c r="I915" s="7" t="s">
        <v>996</v>
      </c>
      <c r="J915" s="7" t="s">
        <v>830</v>
      </c>
      <c r="K915" s="7" t="s">
        <v>29</v>
      </c>
      <c r="L915" s="3" t="str">
        <f>E915&amp;D915</f>
        <v>E.SP.IPAT_EE_INS_CONF_S_I_CIRCUITO VIA CA_0030</v>
      </c>
      <c r="M915" s="3" t="str">
        <f>IFERROR(MID(D915,SEARCH("S_I_",D915,1),3),"")</f>
        <v>S_I</v>
      </c>
      <c r="N915" s="3" t="str">
        <f>IFERROR(MID(D915,SEARCH("C_I_",D915,1),3),"")</f>
        <v/>
      </c>
      <c r="O915" s="3" t="str">
        <f>IF(AND(M915="",N915=""),"Extra","")</f>
        <v/>
      </c>
      <c r="P915" s="3" t="str">
        <f>IF(Q915=0,"TERCEIRO","MRS")</f>
        <v>MRS</v>
      </c>
      <c r="Q915" s="8" t="str">
        <f>IFERROR(VLOOKUP(L915,#REF!,4,0),"0,00")</f>
        <v>0,00</v>
      </c>
      <c r="R915" s="9" t="s">
        <v>42</v>
      </c>
      <c r="S915" s="9">
        <f>COUNTIF(D915,"*_SEG_*")</f>
        <v>0</v>
      </c>
      <c r="T915" s="9">
        <f>COUNTIF(D915,"*_MAN_*")</f>
        <v>0</v>
      </c>
      <c r="U915" s="9">
        <f>(RIGHT(D915,4))*1</f>
        <v>30</v>
      </c>
      <c r="V915" s="9" t="str">
        <f>IFERROR(VLOOKUP(I915,#REF!,2,0),"Sinalização")</f>
        <v>Sinalização</v>
      </c>
    </row>
    <row r="916" spans="1:22" x14ac:dyDescent="0.25">
      <c r="A916" s="3" t="s">
        <v>22</v>
      </c>
      <c r="B916" s="4">
        <v>23510553</v>
      </c>
      <c r="C916" s="5" t="s">
        <v>23</v>
      </c>
      <c r="D916" s="6" t="s">
        <v>829</v>
      </c>
      <c r="E916" s="6" t="s">
        <v>25</v>
      </c>
      <c r="F916" s="11">
        <v>46165</v>
      </c>
      <c r="G916" s="6" t="s">
        <v>1079</v>
      </c>
      <c r="H916" s="7" t="s">
        <v>26</v>
      </c>
      <c r="I916" s="7" t="s">
        <v>997</v>
      </c>
      <c r="J916" s="7" t="s">
        <v>830</v>
      </c>
      <c r="K916" s="7" t="s">
        <v>29</v>
      </c>
      <c r="L916" s="3" t="str">
        <f>E916&amp;D916</f>
        <v>E.SP.IPAT_EE_INS_CONF_S_I_CIRCUITO VIA CA_0030</v>
      </c>
      <c r="M916" s="3" t="str">
        <f>IFERROR(MID(D916,SEARCH("S_I_",D916,1),3),"")</f>
        <v>S_I</v>
      </c>
      <c r="N916" s="3" t="str">
        <f>IFERROR(MID(D916,SEARCH("C_I_",D916,1),3),"")</f>
        <v/>
      </c>
      <c r="O916" s="3" t="str">
        <f>IF(AND(M916="",N916=""),"Extra","")</f>
        <v/>
      </c>
      <c r="P916" s="3" t="str">
        <f>IF(Q916=0,"TERCEIRO","MRS")</f>
        <v>MRS</v>
      </c>
      <c r="Q916" s="8" t="str">
        <f>IFERROR(VLOOKUP(L916,#REF!,4,0),"0,00")</f>
        <v>0,00</v>
      </c>
      <c r="R916" s="9" t="s">
        <v>42</v>
      </c>
      <c r="S916" s="9">
        <f>COUNTIF(D916,"*_SEG_*")</f>
        <v>0</v>
      </c>
      <c r="T916" s="9">
        <f>COUNTIF(D916,"*_MAN_*")</f>
        <v>0</v>
      </c>
      <c r="U916" s="9">
        <f>(RIGHT(D916,4))*1</f>
        <v>30</v>
      </c>
      <c r="V916" s="9" t="str">
        <f>IFERROR(VLOOKUP(I916,#REF!,2,0),"Sinalização")</f>
        <v>Sinalização</v>
      </c>
    </row>
    <row r="917" spans="1:22" x14ac:dyDescent="0.25">
      <c r="A917" s="3" t="s">
        <v>22</v>
      </c>
      <c r="B917" s="4">
        <v>23510554</v>
      </c>
      <c r="C917" s="5" t="s">
        <v>23</v>
      </c>
      <c r="D917" s="6" t="s">
        <v>829</v>
      </c>
      <c r="E917" s="6" t="s">
        <v>25</v>
      </c>
      <c r="F917" s="11">
        <v>46165</v>
      </c>
      <c r="G917" s="6" t="s">
        <v>1079</v>
      </c>
      <c r="H917" s="7" t="s">
        <v>32</v>
      </c>
      <c r="I917" s="7" t="s">
        <v>369</v>
      </c>
      <c r="J917" s="7" t="s">
        <v>830</v>
      </c>
      <c r="K917" s="7" t="s">
        <v>29</v>
      </c>
      <c r="L917" s="3" t="str">
        <f>E917&amp;D917</f>
        <v>E.SP.IPAT_EE_INS_CONF_S_I_CIRCUITO VIA CA_0030</v>
      </c>
      <c r="M917" s="3" t="str">
        <f>IFERROR(MID(D917,SEARCH("S_I_",D917,1),3),"")</f>
        <v>S_I</v>
      </c>
      <c r="N917" s="3" t="str">
        <f>IFERROR(MID(D917,SEARCH("C_I_",D917,1),3),"")</f>
        <v/>
      </c>
      <c r="O917" s="3" t="str">
        <f>IF(AND(M917="",N917=""),"Extra","")</f>
        <v/>
      </c>
      <c r="P917" s="3" t="str">
        <f>IF(Q917=0,"TERCEIRO","MRS")</f>
        <v>MRS</v>
      </c>
      <c r="Q917" s="8" t="str">
        <f>IFERROR(VLOOKUP(L917,#REF!,4,0),"0,00")</f>
        <v>0,00</v>
      </c>
      <c r="R917" s="9" t="s">
        <v>42</v>
      </c>
      <c r="S917" s="9">
        <f>COUNTIF(D917,"*_SEG_*")</f>
        <v>0</v>
      </c>
      <c r="T917" s="9">
        <f>COUNTIF(D917,"*_MAN_*")</f>
        <v>0</v>
      </c>
      <c r="U917" s="9">
        <f>(RIGHT(D917,4))*1</f>
        <v>30</v>
      </c>
      <c r="V917" s="9" t="str">
        <f>IFERROR(VLOOKUP(I917,#REF!,2,0),"Sinalização")</f>
        <v>Sinalização</v>
      </c>
    </row>
    <row r="918" spans="1:22" x14ac:dyDescent="0.25">
      <c r="A918" s="3" t="s">
        <v>22</v>
      </c>
      <c r="B918" s="4">
        <v>23510555</v>
      </c>
      <c r="C918" s="5" t="s">
        <v>23</v>
      </c>
      <c r="D918" s="6" t="s">
        <v>829</v>
      </c>
      <c r="E918" s="6" t="s">
        <v>25</v>
      </c>
      <c r="F918" s="11">
        <v>46165</v>
      </c>
      <c r="G918" s="6" t="s">
        <v>1079</v>
      </c>
      <c r="H918" s="7" t="s">
        <v>32</v>
      </c>
      <c r="I918" s="7" t="s">
        <v>370</v>
      </c>
      <c r="J918" s="7" t="s">
        <v>830</v>
      </c>
      <c r="K918" s="7" t="s">
        <v>29</v>
      </c>
      <c r="L918" s="3" t="str">
        <f>E918&amp;D918</f>
        <v>E.SP.IPAT_EE_INS_CONF_S_I_CIRCUITO VIA CA_0030</v>
      </c>
      <c r="M918" s="3" t="str">
        <f>IFERROR(MID(D918,SEARCH("S_I_",D918,1),3),"")</f>
        <v>S_I</v>
      </c>
      <c r="N918" s="3" t="str">
        <f>IFERROR(MID(D918,SEARCH("C_I_",D918,1),3),"")</f>
        <v/>
      </c>
      <c r="O918" s="3" t="str">
        <f>IF(AND(M918="",N918=""),"Extra","")</f>
        <v/>
      </c>
      <c r="P918" s="3" t="str">
        <f>IF(Q918=0,"TERCEIRO","MRS")</f>
        <v>MRS</v>
      </c>
      <c r="Q918" s="8" t="str">
        <f>IFERROR(VLOOKUP(L918,#REF!,4,0),"0,00")</f>
        <v>0,00</v>
      </c>
      <c r="R918" s="9" t="s">
        <v>42</v>
      </c>
      <c r="S918" s="9">
        <f>COUNTIF(D918,"*_SEG_*")</f>
        <v>0</v>
      </c>
      <c r="T918" s="9">
        <f>COUNTIF(D918,"*_MAN_*")</f>
        <v>0</v>
      </c>
      <c r="U918" s="9">
        <f>(RIGHT(D918,4))*1</f>
        <v>30</v>
      </c>
      <c r="V918" s="9" t="str">
        <f>IFERROR(VLOOKUP(I918,#REF!,2,0),"Sinalização")</f>
        <v>Sinalização</v>
      </c>
    </row>
    <row r="919" spans="1:22" x14ac:dyDescent="0.25">
      <c r="A919" s="3" t="s">
        <v>22</v>
      </c>
      <c r="B919" s="4">
        <v>23510556</v>
      </c>
      <c r="C919" s="5" t="s">
        <v>23</v>
      </c>
      <c r="D919" s="6" t="s">
        <v>829</v>
      </c>
      <c r="E919" s="6" t="s">
        <v>25</v>
      </c>
      <c r="F919" s="11">
        <v>46165</v>
      </c>
      <c r="G919" s="6" t="s">
        <v>1079</v>
      </c>
      <c r="H919" s="7" t="s">
        <v>26</v>
      </c>
      <c r="I919" s="7" t="s">
        <v>761</v>
      </c>
      <c r="J919" s="7" t="s">
        <v>830</v>
      </c>
      <c r="K919" s="7" t="s">
        <v>29</v>
      </c>
      <c r="L919" s="3" t="str">
        <f>E919&amp;D919</f>
        <v>E.SP.IPAT_EE_INS_CONF_S_I_CIRCUITO VIA CA_0030</v>
      </c>
      <c r="M919" s="3" t="str">
        <f>IFERROR(MID(D919,SEARCH("S_I_",D919,1),3),"")</f>
        <v>S_I</v>
      </c>
      <c r="N919" s="3" t="str">
        <f>IFERROR(MID(D919,SEARCH("C_I_",D919,1),3),"")</f>
        <v/>
      </c>
      <c r="O919" s="3" t="str">
        <f>IF(AND(M919="",N919=""),"Extra","")</f>
        <v/>
      </c>
      <c r="P919" s="3" t="str">
        <f>IF(Q919=0,"TERCEIRO","MRS")</f>
        <v>MRS</v>
      </c>
      <c r="Q919" s="8" t="str">
        <f>IFERROR(VLOOKUP(L919,#REF!,4,0),"0,00")</f>
        <v>0,00</v>
      </c>
      <c r="R919" s="9" t="s">
        <v>42</v>
      </c>
      <c r="S919" s="9">
        <f>COUNTIF(D919,"*_SEG_*")</f>
        <v>0</v>
      </c>
      <c r="T919" s="9">
        <f>COUNTIF(D919,"*_MAN_*")</f>
        <v>0</v>
      </c>
      <c r="U919" s="9">
        <f>(RIGHT(D919,4))*1</f>
        <v>30</v>
      </c>
      <c r="V919" s="9" t="str">
        <f>IFERROR(VLOOKUP(I919,#REF!,2,0),"Sinalização")</f>
        <v>Sinalização</v>
      </c>
    </row>
    <row r="920" spans="1:22" x14ac:dyDescent="0.25">
      <c r="A920" s="3" t="s">
        <v>22</v>
      </c>
      <c r="B920" s="4">
        <v>23510557</v>
      </c>
      <c r="C920" s="5" t="s">
        <v>23</v>
      </c>
      <c r="D920" s="6" t="s">
        <v>829</v>
      </c>
      <c r="E920" s="6" t="s">
        <v>25</v>
      </c>
      <c r="F920" s="11">
        <v>46165</v>
      </c>
      <c r="G920" s="6" t="s">
        <v>1079</v>
      </c>
      <c r="H920" s="7" t="s">
        <v>26</v>
      </c>
      <c r="I920" s="7" t="s">
        <v>406</v>
      </c>
      <c r="J920" s="7" t="s">
        <v>830</v>
      </c>
      <c r="K920" s="7" t="s">
        <v>29</v>
      </c>
      <c r="L920" s="3" t="str">
        <f>E920&amp;D920</f>
        <v>E.SP.IPAT_EE_INS_CONF_S_I_CIRCUITO VIA CA_0030</v>
      </c>
      <c r="M920" s="3" t="str">
        <f>IFERROR(MID(D920,SEARCH("S_I_",D920,1),3),"")</f>
        <v>S_I</v>
      </c>
      <c r="N920" s="3" t="str">
        <f>IFERROR(MID(D920,SEARCH("C_I_",D920,1),3),"")</f>
        <v/>
      </c>
      <c r="O920" s="3" t="str">
        <f>IF(AND(M920="",N920=""),"Extra","")</f>
        <v/>
      </c>
      <c r="P920" s="3" t="str">
        <f>IF(Q920=0,"TERCEIRO","MRS")</f>
        <v>MRS</v>
      </c>
      <c r="Q920" s="8" t="str">
        <f>IFERROR(VLOOKUP(L920,#REF!,4,0),"0,00")</f>
        <v>0,00</v>
      </c>
      <c r="R920" s="9" t="s">
        <v>42</v>
      </c>
      <c r="S920" s="9">
        <f>COUNTIF(D920,"*_SEG_*")</f>
        <v>0</v>
      </c>
      <c r="T920" s="9">
        <f>COUNTIF(D920,"*_MAN_*")</f>
        <v>0</v>
      </c>
      <c r="U920" s="9">
        <f>(RIGHT(D920,4))*1</f>
        <v>30</v>
      </c>
      <c r="V920" s="9" t="str">
        <f>IFERROR(VLOOKUP(I920,#REF!,2,0),"Sinalização")</f>
        <v>Sinalização</v>
      </c>
    </row>
    <row r="921" spans="1:22" x14ac:dyDescent="0.25">
      <c r="A921" s="3" t="s">
        <v>22</v>
      </c>
      <c r="B921" s="4">
        <v>23510558</v>
      </c>
      <c r="C921" s="5" t="s">
        <v>23</v>
      </c>
      <c r="D921" s="6" t="s">
        <v>829</v>
      </c>
      <c r="E921" s="6" t="s">
        <v>25</v>
      </c>
      <c r="F921" s="11">
        <v>46165</v>
      </c>
      <c r="G921" s="6" t="s">
        <v>1079</v>
      </c>
      <c r="H921" s="7" t="s">
        <v>32</v>
      </c>
      <c r="I921" s="7" t="s">
        <v>733</v>
      </c>
      <c r="J921" s="7" t="s">
        <v>830</v>
      </c>
      <c r="K921" s="7" t="s">
        <v>29</v>
      </c>
      <c r="L921" s="3" t="str">
        <f>E921&amp;D921</f>
        <v>E.SP.IPAT_EE_INS_CONF_S_I_CIRCUITO VIA CA_0030</v>
      </c>
      <c r="M921" s="3" t="str">
        <f>IFERROR(MID(D921,SEARCH("S_I_",D921,1),3),"")</f>
        <v>S_I</v>
      </c>
      <c r="N921" s="3" t="str">
        <f>IFERROR(MID(D921,SEARCH("C_I_",D921,1),3),"")</f>
        <v/>
      </c>
      <c r="O921" s="3" t="str">
        <f>IF(AND(M921="",N921=""),"Extra","")</f>
        <v/>
      </c>
      <c r="P921" s="3" t="str">
        <f>IF(Q921=0,"TERCEIRO","MRS")</f>
        <v>MRS</v>
      </c>
      <c r="Q921" s="8" t="str">
        <f>IFERROR(VLOOKUP(L921,#REF!,4,0),"0,00")</f>
        <v>0,00</v>
      </c>
      <c r="R921" s="9" t="s">
        <v>42</v>
      </c>
      <c r="S921" s="9">
        <f>COUNTIF(D921,"*_SEG_*")</f>
        <v>0</v>
      </c>
      <c r="T921" s="9">
        <f>COUNTIF(D921,"*_MAN_*")</f>
        <v>0</v>
      </c>
      <c r="U921" s="9">
        <f>(RIGHT(D921,4))*1</f>
        <v>30</v>
      </c>
      <c r="V921" s="9" t="str">
        <f>IFERROR(VLOOKUP(I921,#REF!,2,0),"Sinalização")</f>
        <v>Sinalização</v>
      </c>
    </row>
    <row r="922" spans="1:22" x14ac:dyDescent="0.25">
      <c r="A922" s="3" t="s">
        <v>22</v>
      </c>
      <c r="B922" s="4">
        <v>23510560</v>
      </c>
      <c r="C922" s="5" t="s">
        <v>23</v>
      </c>
      <c r="D922" s="6" t="s">
        <v>829</v>
      </c>
      <c r="E922" s="6" t="s">
        <v>25</v>
      </c>
      <c r="F922" s="11">
        <v>46165</v>
      </c>
      <c r="G922" s="6" t="s">
        <v>1079</v>
      </c>
      <c r="H922" s="7" t="s">
        <v>32</v>
      </c>
      <c r="I922" s="7" t="s">
        <v>740</v>
      </c>
      <c r="J922" s="7" t="s">
        <v>830</v>
      </c>
      <c r="K922" s="7" t="s">
        <v>29</v>
      </c>
      <c r="L922" s="3" t="str">
        <f>E922&amp;D922</f>
        <v>E.SP.IPAT_EE_INS_CONF_S_I_CIRCUITO VIA CA_0030</v>
      </c>
      <c r="M922" s="3" t="str">
        <f>IFERROR(MID(D922,SEARCH("S_I_",D922,1),3),"")</f>
        <v>S_I</v>
      </c>
      <c r="N922" s="3" t="str">
        <f>IFERROR(MID(D922,SEARCH("C_I_",D922,1),3),"")</f>
        <v/>
      </c>
      <c r="O922" s="3" t="str">
        <f>IF(AND(M922="",N922=""),"Extra","")</f>
        <v/>
      </c>
      <c r="P922" s="3" t="str">
        <f>IF(Q922=0,"TERCEIRO","MRS")</f>
        <v>MRS</v>
      </c>
      <c r="Q922" s="8" t="str">
        <f>IFERROR(VLOOKUP(L922,#REF!,4,0),"0,00")</f>
        <v>0,00</v>
      </c>
      <c r="R922" s="9" t="s">
        <v>42</v>
      </c>
      <c r="S922" s="9">
        <f>COUNTIF(D922,"*_SEG_*")</f>
        <v>0</v>
      </c>
      <c r="T922" s="9">
        <f>COUNTIF(D922,"*_MAN_*")</f>
        <v>0</v>
      </c>
      <c r="U922" s="9">
        <f>(RIGHT(D922,4))*1</f>
        <v>30</v>
      </c>
      <c r="V922" s="9" t="str">
        <f>IFERROR(VLOOKUP(I922,#REF!,2,0),"Sinalização")</f>
        <v>Sinalização</v>
      </c>
    </row>
    <row r="923" spans="1:22" x14ac:dyDescent="0.25">
      <c r="A923" s="3" t="s">
        <v>22</v>
      </c>
      <c r="B923" s="4">
        <v>23510561</v>
      </c>
      <c r="C923" s="5" t="s">
        <v>23</v>
      </c>
      <c r="D923" s="6" t="s">
        <v>829</v>
      </c>
      <c r="E923" s="6" t="s">
        <v>25</v>
      </c>
      <c r="F923" s="11">
        <v>46165</v>
      </c>
      <c r="G923" s="6" t="s">
        <v>1079</v>
      </c>
      <c r="H923" s="7" t="s">
        <v>26</v>
      </c>
      <c r="I923" s="7" t="s">
        <v>734</v>
      </c>
      <c r="J923" s="7" t="s">
        <v>830</v>
      </c>
      <c r="K923" s="7" t="s">
        <v>29</v>
      </c>
      <c r="L923" s="3" t="str">
        <f>E923&amp;D923</f>
        <v>E.SP.IPAT_EE_INS_CONF_S_I_CIRCUITO VIA CA_0030</v>
      </c>
      <c r="M923" s="3" t="str">
        <f>IFERROR(MID(D923,SEARCH("S_I_",D923,1),3),"")</f>
        <v>S_I</v>
      </c>
      <c r="N923" s="3" t="str">
        <f>IFERROR(MID(D923,SEARCH("C_I_",D923,1),3),"")</f>
        <v/>
      </c>
      <c r="O923" s="3" t="str">
        <f>IF(AND(M923="",N923=""),"Extra","")</f>
        <v/>
      </c>
      <c r="P923" s="3" t="str">
        <f>IF(Q923=0,"TERCEIRO","MRS")</f>
        <v>MRS</v>
      </c>
      <c r="Q923" s="8" t="str">
        <f>IFERROR(VLOOKUP(L923,#REF!,4,0),"0,00")</f>
        <v>0,00</v>
      </c>
      <c r="R923" s="9" t="s">
        <v>42</v>
      </c>
      <c r="S923" s="9">
        <f>COUNTIF(D923,"*_SEG_*")</f>
        <v>0</v>
      </c>
      <c r="T923" s="9">
        <f>COUNTIF(D923,"*_MAN_*")</f>
        <v>0</v>
      </c>
      <c r="U923" s="9">
        <f>(RIGHT(D923,4))*1</f>
        <v>30</v>
      </c>
      <c r="V923" s="9" t="str">
        <f>IFERROR(VLOOKUP(I923,#REF!,2,0),"Sinalização")</f>
        <v>Sinalização</v>
      </c>
    </row>
    <row r="924" spans="1:22" x14ac:dyDescent="0.25">
      <c r="A924" s="3" t="s">
        <v>22</v>
      </c>
      <c r="B924" s="4">
        <v>23510562</v>
      </c>
      <c r="C924" s="5" t="s">
        <v>23</v>
      </c>
      <c r="D924" s="6" t="s">
        <v>829</v>
      </c>
      <c r="E924" s="6" t="s">
        <v>25</v>
      </c>
      <c r="F924" s="11">
        <v>46165</v>
      </c>
      <c r="G924" s="6" t="s">
        <v>1079</v>
      </c>
      <c r="H924" s="7" t="s">
        <v>26</v>
      </c>
      <c r="I924" s="7" t="s">
        <v>760</v>
      </c>
      <c r="J924" s="7" t="s">
        <v>830</v>
      </c>
      <c r="K924" s="7" t="s">
        <v>29</v>
      </c>
      <c r="L924" s="3" t="str">
        <f>E924&amp;D924</f>
        <v>E.SP.IPAT_EE_INS_CONF_S_I_CIRCUITO VIA CA_0030</v>
      </c>
      <c r="M924" s="3" t="str">
        <f>IFERROR(MID(D924,SEARCH("S_I_",D924,1),3),"")</f>
        <v>S_I</v>
      </c>
      <c r="N924" s="3" t="str">
        <f>IFERROR(MID(D924,SEARCH("C_I_",D924,1),3),"")</f>
        <v/>
      </c>
      <c r="O924" s="3" t="str">
        <f>IF(AND(M924="",N924=""),"Extra","")</f>
        <v/>
      </c>
      <c r="P924" s="3" t="str">
        <f>IF(Q924=0,"TERCEIRO","MRS")</f>
        <v>MRS</v>
      </c>
      <c r="Q924" s="8" t="str">
        <f>IFERROR(VLOOKUP(L924,#REF!,4,0),"0,00")</f>
        <v>0,00</v>
      </c>
      <c r="R924" s="9" t="s">
        <v>42</v>
      </c>
      <c r="S924" s="9">
        <f>COUNTIF(D924,"*_SEG_*")</f>
        <v>0</v>
      </c>
      <c r="T924" s="9">
        <f>COUNTIF(D924,"*_MAN_*")</f>
        <v>0</v>
      </c>
      <c r="U924" s="9">
        <f>(RIGHT(D924,4))*1</f>
        <v>30</v>
      </c>
      <c r="V924" s="9" t="str">
        <f>IFERROR(VLOOKUP(I924,#REF!,2,0),"Sinalização")</f>
        <v>Sinalização</v>
      </c>
    </row>
    <row r="925" spans="1:22" x14ac:dyDescent="0.25">
      <c r="A925" s="3" t="s">
        <v>22</v>
      </c>
      <c r="B925" s="4">
        <v>23510563</v>
      </c>
      <c r="C925" s="5" t="s">
        <v>23</v>
      </c>
      <c r="D925" s="6" t="s">
        <v>829</v>
      </c>
      <c r="E925" s="6" t="s">
        <v>25</v>
      </c>
      <c r="F925" s="11">
        <v>46165</v>
      </c>
      <c r="G925" s="6" t="s">
        <v>1079</v>
      </c>
      <c r="H925" s="7" t="s">
        <v>32</v>
      </c>
      <c r="I925" s="7" t="s">
        <v>570</v>
      </c>
      <c r="J925" s="7" t="s">
        <v>830</v>
      </c>
      <c r="K925" s="7" t="s">
        <v>29</v>
      </c>
      <c r="L925" s="3" t="str">
        <f>E925&amp;D925</f>
        <v>E.SP.IPAT_EE_INS_CONF_S_I_CIRCUITO VIA CA_0030</v>
      </c>
      <c r="M925" s="3" t="str">
        <f>IFERROR(MID(D925,SEARCH("S_I_",D925,1),3),"")</f>
        <v>S_I</v>
      </c>
      <c r="N925" s="3" t="str">
        <f>IFERROR(MID(D925,SEARCH("C_I_",D925,1),3),"")</f>
        <v/>
      </c>
      <c r="O925" s="3" t="str">
        <f>IF(AND(M925="",N925=""),"Extra","")</f>
        <v/>
      </c>
      <c r="P925" s="3" t="str">
        <f>IF(Q925=0,"TERCEIRO","MRS")</f>
        <v>MRS</v>
      </c>
      <c r="Q925" s="8" t="str">
        <f>IFERROR(VLOOKUP(L925,#REF!,4,0),"0,00")</f>
        <v>0,00</v>
      </c>
      <c r="R925" s="9" t="s">
        <v>42</v>
      </c>
      <c r="S925" s="9">
        <f>COUNTIF(D925,"*_SEG_*")</f>
        <v>0</v>
      </c>
      <c r="T925" s="9">
        <f>COUNTIF(D925,"*_MAN_*")</f>
        <v>0</v>
      </c>
      <c r="U925" s="9">
        <f>(RIGHT(D925,4))*1</f>
        <v>30</v>
      </c>
      <c r="V925" s="9" t="str">
        <f>IFERROR(VLOOKUP(I925,#REF!,2,0),"Sinalização")</f>
        <v>Sinalização</v>
      </c>
    </row>
    <row r="926" spans="1:22" x14ac:dyDescent="0.25">
      <c r="A926" s="3" t="s">
        <v>22</v>
      </c>
      <c r="B926" s="4">
        <v>23510564</v>
      </c>
      <c r="C926" s="5" t="s">
        <v>23</v>
      </c>
      <c r="D926" s="6" t="s">
        <v>829</v>
      </c>
      <c r="E926" s="6" t="s">
        <v>25</v>
      </c>
      <c r="F926" s="11">
        <v>46165</v>
      </c>
      <c r="G926" s="6" t="s">
        <v>1079</v>
      </c>
      <c r="H926" s="7" t="s">
        <v>32</v>
      </c>
      <c r="I926" s="7" t="s">
        <v>572</v>
      </c>
      <c r="J926" s="7" t="s">
        <v>830</v>
      </c>
      <c r="K926" s="7" t="s">
        <v>29</v>
      </c>
      <c r="L926" s="3" t="str">
        <f>E926&amp;D926</f>
        <v>E.SP.IPAT_EE_INS_CONF_S_I_CIRCUITO VIA CA_0030</v>
      </c>
      <c r="M926" s="3" t="str">
        <f>IFERROR(MID(D926,SEARCH("S_I_",D926,1),3),"")</f>
        <v>S_I</v>
      </c>
      <c r="N926" s="3" t="str">
        <f>IFERROR(MID(D926,SEARCH("C_I_",D926,1),3),"")</f>
        <v/>
      </c>
      <c r="O926" s="3" t="str">
        <f>IF(AND(M926="",N926=""),"Extra","")</f>
        <v/>
      </c>
      <c r="P926" s="3" t="str">
        <f>IF(Q926=0,"TERCEIRO","MRS")</f>
        <v>MRS</v>
      </c>
      <c r="Q926" s="8" t="str">
        <f>IFERROR(VLOOKUP(L926,#REF!,4,0),"0,00")</f>
        <v>0,00</v>
      </c>
      <c r="R926" s="9" t="s">
        <v>42</v>
      </c>
      <c r="S926" s="9">
        <f>COUNTIF(D926,"*_SEG_*")</f>
        <v>0</v>
      </c>
      <c r="T926" s="9">
        <f>COUNTIF(D926,"*_MAN_*")</f>
        <v>0</v>
      </c>
      <c r="U926" s="9">
        <f>(RIGHT(D926,4))*1</f>
        <v>30</v>
      </c>
      <c r="V926" s="9" t="str">
        <f>IFERROR(VLOOKUP(I926,#REF!,2,0),"Sinalização")</f>
        <v>Sinalização</v>
      </c>
    </row>
    <row r="927" spans="1:22" x14ac:dyDescent="0.25">
      <c r="A927" s="3" t="s">
        <v>22</v>
      </c>
      <c r="B927" s="4">
        <v>23510565</v>
      </c>
      <c r="C927" s="5" t="s">
        <v>23</v>
      </c>
      <c r="D927" s="6" t="s">
        <v>829</v>
      </c>
      <c r="E927" s="6" t="s">
        <v>25</v>
      </c>
      <c r="F927" s="11">
        <v>46165</v>
      </c>
      <c r="G927" s="6" t="s">
        <v>1079</v>
      </c>
      <c r="H927" s="7" t="s">
        <v>26</v>
      </c>
      <c r="I927" s="7" t="s">
        <v>571</v>
      </c>
      <c r="J927" s="7" t="s">
        <v>830</v>
      </c>
      <c r="K927" s="7" t="s">
        <v>29</v>
      </c>
      <c r="L927" s="3" t="str">
        <f>E927&amp;D927</f>
        <v>E.SP.IPAT_EE_INS_CONF_S_I_CIRCUITO VIA CA_0030</v>
      </c>
      <c r="M927" s="3" t="str">
        <f>IFERROR(MID(D927,SEARCH("S_I_",D927,1),3),"")</f>
        <v>S_I</v>
      </c>
      <c r="N927" s="3" t="str">
        <f>IFERROR(MID(D927,SEARCH("C_I_",D927,1),3),"")</f>
        <v/>
      </c>
      <c r="O927" s="3" t="str">
        <f>IF(AND(M927="",N927=""),"Extra","")</f>
        <v/>
      </c>
      <c r="P927" s="3" t="str">
        <f>IF(Q927=0,"TERCEIRO","MRS")</f>
        <v>MRS</v>
      </c>
      <c r="Q927" s="8" t="str">
        <f>IFERROR(VLOOKUP(L927,#REF!,4,0),"0,00")</f>
        <v>0,00</v>
      </c>
      <c r="R927" s="9" t="s">
        <v>42</v>
      </c>
      <c r="S927" s="9">
        <f>COUNTIF(D927,"*_SEG_*")</f>
        <v>0</v>
      </c>
      <c r="T927" s="9">
        <f>COUNTIF(D927,"*_MAN_*")</f>
        <v>0</v>
      </c>
      <c r="U927" s="9">
        <f>(RIGHT(D927,4))*1</f>
        <v>30</v>
      </c>
      <c r="V927" s="9" t="str">
        <f>IFERROR(VLOOKUP(I927,#REF!,2,0),"Sinalização")</f>
        <v>Sinalização</v>
      </c>
    </row>
    <row r="928" spans="1:22" x14ac:dyDescent="0.25">
      <c r="A928" s="3" t="s">
        <v>22</v>
      </c>
      <c r="B928" s="4">
        <v>23510566</v>
      </c>
      <c r="C928" s="5" t="s">
        <v>23</v>
      </c>
      <c r="D928" s="6" t="s">
        <v>829</v>
      </c>
      <c r="E928" s="6" t="s">
        <v>25</v>
      </c>
      <c r="F928" s="11">
        <v>46165</v>
      </c>
      <c r="G928" s="6" t="s">
        <v>1079</v>
      </c>
      <c r="H928" s="7" t="s">
        <v>26</v>
      </c>
      <c r="I928" s="7" t="s">
        <v>495</v>
      </c>
      <c r="J928" s="7" t="s">
        <v>830</v>
      </c>
      <c r="K928" s="7" t="s">
        <v>29</v>
      </c>
      <c r="L928" s="3" t="str">
        <f>E928&amp;D928</f>
        <v>E.SP.IPAT_EE_INS_CONF_S_I_CIRCUITO VIA CA_0030</v>
      </c>
      <c r="M928" s="3" t="str">
        <f>IFERROR(MID(D928,SEARCH("S_I_",D928,1),3),"")</f>
        <v>S_I</v>
      </c>
      <c r="N928" s="3" t="str">
        <f>IFERROR(MID(D928,SEARCH("C_I_",D928,1),3),"")</f>
        <v/>
      </c>
      <c r="O928" s="3" t="str">
        <f>IF(AND(M928="",N928=""),"Extra","")</f>
        <v/>
      </c>
      <c r="P928" s="3" t="str">
        <f>IF(Q928=0,"TERCEIRO","MRS")</f>
        <v>MRS</v>
      </c>
      <c r="Q928" s="8" t="str">
        <f>IFERROR(VLOOKUP(L928,#REF!,4,0),"0,00")</f>
        <v>0,00</v>
      </c>
      <c r="R928" s="9" t="s">
        <v>42</v>
      </c>
      <c r="S928" s="9">
        <f>COUNTIF(D928,"*_SEG_*")</f>
        <v>0</v>
      </c>
      <c r="T928" s="9">
        <f>COUNTIF(D928,"*_MAN_*")</f>
        <v>0</v>
      </c>
      <c r="U928" s="9">
        <f>(RIGHT(D928,4))*1</f>
        <v>30</v>
      </c>
      <c r="V928" s="9" t="str">
        <f>IFERROR(VLOOKUP(I928,#REF!,2,0),"Sinalização")</f>
        <v>Sinalização</v>
      </c>
    </row>
    <row r="929" spans="1:22" x14ac:dyDescent="0.25">
      <c r="A929" s="3" t="s">
        <v>22</v>
      </c>
      <c r="B929" s="4">
        <v>23510567</v>
      </c>
      <c r="C929" s="5" t="s">
        <v>23</v>
      </c>
      <c r="D929" s="6" t="s">
        <v>829</v>
      </c>
      <c r="E929" s="6" t="s">
        <v>25</v>
      </c>
      <c r="F929" s="11">
        <v>46165</v>
      </c>
      <c r="G929" s="6" t="s">
        <v>1079</v>
      </c>
      <c r="H929" s="7" t="s">
        <v>32</v>
      </c>
      <c r="I929" s="7" t="s">
        <v>999</v>
      </c>
      <c r="J929" s="7" t="s">
        <v>830</v>
      </c>
      <c r="K929" s="7" t="s">
        <v>29</v>
      </c>
      <c r="L929" s="3" t="str">
        <f>E929&amp;D929</f>
        <v>E.SP.IPAT_EE_INS_CONF_S_I_CIRCUITO VIA CA_0030</v>
      </c>
      <c r="M929" s="3" t="str">
        <f>IFERROR(MID(D929,SEARCH("S_I_",D929,1),3),"")</f>
        <v>S_I</v>
      </c>
      <c r="N929" s="3" t="str">
        <f>IFERROR(MID(D929,SEARCH("C_I_",D929,1),3),"")</f>
        <v/>
      </c>
      <c r="O929" s="3" t="str">
        <f>IF(AND(M929="",N929=""),"Extra","")</f>
        <v/>
      </c>
      <c r="P929" s="3" t="str">
        <f>IF(Q929=0,"TERCEIRO","MRS")</f>
        <v>MRS</v>
      </c>
      <c r="Q929" s="8" t="str">
        <f>IFERROR(VLOOKUP(L929,#REF!,4,0),"0,00")</f>
        <v>0,00</v>
      </c>
      <c r="R929" s="9" t="s">
        <v>42</v>
      </c>
      <c r="S929" s="9">
        <f>COUNTIF(D929,"*_SEG_*")</f>
        <v>0</v>
      </c>
      <c r="T929" s="9">
        <f>COUNTIF(D929,"*_MAN_*")</f>
        <v>0</v>
      </c>
      <c r="U929" s="9">
        <f>(RIGHT(D929,4))*1</f>
        <v>30</v>
      </c>
      <c r="V929" s="9" t="str">
        <f>IFERROR(VLOOKUP(I929,#REF!,2,0),"Sinalização")</f>
        <v>Sinalização</v>
      </c>
    </row>
    <row r="930" spans="1:22" x14ac:dyDescent="0.25">
      <c r="A930" s="3" t="s">
        <v>22</v>
      </c>
      <c r="B930" s="4">
        <v>23510568</v>
      </c>
      <c r="C930" s="5" t="s">
        <v>23</v>
      </c>
      <c r="D930" s="6" t="s">
        <v>829</v>
      </c>
      <c r="E930" s="6" t="s">
        <v>25</v>
      </c>
      <c r="F930" s="11">
        <v>46165</v>
      </c>
      <c r="G930" s="6" t="s">
        <v>1079</v>
      </c>
      <c r="H930" s="7" t="s">
        <v>32</v>
      </c>
      <c r="I930" s="7" t="s">
        <v>341</v>
      </c>
      <c r="J930" s="7" t="s">
        <v>830</v>
      </c>
      <c r="K930" s="7" t="s">
        <v>29</v>
      </c>
      <c r="L930" s="3" t="str">
        <f>E930&amp;D930</f>
        <v>E.SP.IPAT_EE_INS_CONF_S_I_CIRCUITO VIA CA_0030</v>
      </c>
      <c r="M930" s="3" t="str">
        <f>IFERROR(MID(D930,SEARCH("S_I_",D930,1),3),"")</f>
        <v>S_I</v>
      </c>
      <c r="N930" s="3" t="str">
        <f>IFERROR(MID(D930,SEARCH("C_I_",D930,1),3),"")</f>
        <v/>
      </c>
      <c r="O930" s="3" t="str">
        <f>IF(AND(M930="",N930=""),"Extra","")</f>
        <v/>
      </c>
      <c r="P930" s="3" t="str">
        <f>IF(Q930=0,"TERCEIRO","MRS")</f>
        <v>MRS</v>
      </c>
      <c r="Q930" s="8" t="str">
        <f>IFERROR(VLOOKUP(L930,#REF!,4,0),"0,00")</f>
        <v>0,00</v>
      </c>
      <c r="R930" s="9" t="s">
        <v>42</v>
      </c>
      <c r="S930" s="9">
        <f>COUNTIF(D930,"*_SEG_*")</f>
        <v>0</v>
      </c>
      <c r="T930" s="9">
        <f>COUNTIF(D930,"*_MAN_*")</f>
        <v>0</v>
      </c>
      <c r="U930" s="9">
        <f>(RIGHT(D930,4))*1</f>
        <v>30</v>
      </c>
      <c r="V930" s="9" t="str">
        <f>IFERROR(VLOOKUP(I930,#REF!,2,0),"Sinalização")</f>
        <v>Sinalização</v>
      </c>
    </row>
    <row r="931" spans="1:22" x14ac:dyDescent="0.25">
      <c r="A931" s="3" t="s">
        <v>22</v>
      </c>
      <c r="B931" s="4">
        <v>23510569</v>
      </c>
      <c r="C931" s="5" t="s">
        <v>23</v>
      </c>
      <c r="D931" s="6" t="s">
        <v>829</v>
      </c>
      <c r="E931" s="6" t="s">
        <v>25</v>
      </c>
      <c r="F931" s="11">
        <v>46165</v>
      </c>
      <c r="G931" s="6" t="s">
        <v>1079</v>
      </c>
      <c r="H931" s="7" t="s">
        <v>26</v>
      </c>
      <c r="I931" s="7" t="s">
        <v>767</v>
      </c>
      <c r="J931" s="7" t="s">
        <v>830</v>
      </c>
      <c r="K931" s="7" t="s">
        <v>29</v>
      </c>
      <c r="L931" s="3" t="str">
        <f>E931&amp;D931</f>
        <v>E.SP.IPAT_EE_INS_CONF_S_I_CIRCUITO VIA CA_0030</v>
      </c>
      <c r="M931" s="3" t="str">
        <f>IFERROR(MID(D931,SEARCH("S_I_",D931,1),3),"")</f>
        <v>S_I</v>
      </c>
      <c r="N931" s="3" t="str">
        <f>IFERROR(MID(D931,SEARCH("C_I_",D931,1),3),"")</f>
        <v/>
      </c>
      <c r="O931" s="3" t="str">
        <f>IF(AND(M931="",N931=""),"Extra","")</f>
        <v/>
      </c>
      <c r="P931" s="3" t="str">
        <f>IF(Q931=0,"TERCEIRO","MRS")</f>
        <v>MRS</v>
      </c>
      <c r="Q931" s="8" t="str">
        <f>IFERROR(VLOOKUP(L931,#REF!,4,0),"0,00")</f>
        <v>0,00</v>
      </c>
      <c r="R931" s="9" t="s">
        <v>42</v>
      </c>
      <c r="S931" s="9">
        <f>COUNTIF(D931,"*_SEG_*")</f>
        <v>0</v>
      </c>
      <c r="T931" s="9">
        <f>COUNTIF(D931,"*_MAN_*")</f>
        <v>0</v>
      </c>
      <c r="U931" s="9">
        <f>(RIGHT(D931,4))*1</f>
        <v>30</v>
      </c>
      <c r="V931" s="9" t="str">
        <f>IFERROR(VLOOKUP(I931,#REF!,2,0),"Sinalização")</f>
        <v>Sinalização</v>
      </c>
    </row>
    <row r="932" spans="1:22" x14ac:dyDescent="0.25">
      <c r="A932" s="3" t="s">
        <v>22</v>
      </c>
      <c r="B932" s="4">
        <v>23510572</v>
      </c>
      <c r="C932" s="5" t="s">
        <v>23</v>
      </c>
      <c r="D932" s="6" t="s">
        <v>829</v>
      </c>
      <c r="E932" s="6" t="s">
        <v>25</v>
      </c>
      <c r="F932" s="11">
        <v>46165</v>
      </c>
      <c r="G932" s="6" t="s">
        <v>1079</v>
      </c>
      <c r="H932" s="7" t="s">
        <v>26</v>
      </c>
      <c r="I932" s="7" t="s">
        <v>438</v>
      </c>
      <c r="J932" s="7" t="s">
        <v>830</v>
      </c>
      <c r="K932" s="7" t="s">
        <v>29</v>
      </c>
      <c r="L932" s="3" t="str">
        <f>E932&amp;D932</f>
        <v>E.SP.IPAT_EE_INS_CONF_S_I_CIRCUITO VIA CA_0030</v>
      </c>
      <c r="M932" s="3" t="str">
        <f>IFERROR(MID(D932,SEARCH("S_I_",D932,1),3),"")</f>
        <v>S_I</v>
      </c>
      <c r="N932" s="3" t="str">
        <f>IFERROR(MID(D932,SEARCH("C_I_",D932,1),3),"")</f>
        <v/>
      </c>
      <c r="O932" s="3" t="str">
        <f>IF(AND(M932="",N932=""),"Extra","")</f>
        <v/>
      </c>
      <c r="P932" s="3" t="str">
        <f>IF(Q932=0,"TERCEIRO","MRS")</f>
        <v>MRS</v>
      </c>
      <c r="Q932" s="8" t="str">
        <f>IFERROR(VLOOKUP(L932,#REF!,4,0),"0,00")</f>
        <v>0,00</v>
      </c>
      <c r="R932" s="9" t="s">
        <v>42</v>
      </c>
      <c r="S932" s="9">
        <f>COUNTIF(D932,"*_SEG_*")</f>
        <v>0</v>
      </c>
      <c r="T932" s="9">
        <f>COUNTIF(D932,"*_MAN_*")</f>
        <v>0</v>
      </c>
      <c r="U932" s="9">
        <f>(RIGHT(D932,4))*1</f>
        <v>30</v>
      </c>
      <c r="V932" s="9" t="str">
        <f>IFERROR(VLOOKUP(I932,#REF!,2,0),"Sinalização")</f>
        <v>Sinalização</v>
      </c>
    </row>
    <row r="933" spans="1:22" x14ac:dyDescent="0.25">
      <c r="A933" s="3" t="s">
        <v>22</v>
      </c>
      <c r="B933" s="4">
        <v>23510573</v>
      </c>
      <c r="C933" s="5" t="s">
        <v>23</v>
      </c>
      <c r="D933" s="6" t="s">
        <v>829</v>
      </c>
      <c r="E933" s="6" t="s">
        <v>25</v>
      </c>
      <c r="F933" s="11">
        <v>46165</v>
      </c>
      <c r="G933" s="6" t="s">
        <v>1079</v>
      </c>
      <c r="H933" s="7" t="s">
        <v>32</v>
      </c>
      <c r="I933" s="7" t="s">
        <v>437</v>
      </c>
      <c r="J933" s="7" t="s">
        <v>830</v>
      </c>
      <c r="K933" s="7" t="s">
        <v>29</v>
      </c>
      <c r="L933" s="3" t="str">
        <f>E933&amp;D933</f>
        <v>E.SP.IPAT_EE_INS_CONF_S_I_CIRCUITO VIA CA_0030</v>
      </c>
      <c r="M933" s="3" t="str">
        <f>IFERROR(MID(D933,SEARCH("S_I_",D933,1),3),"")</f>
        <v>S_I</v>
      </c>
      <c r="N933" s="3" t="str">
        <f>IFERROR(MID(D933,SEARCH("C_I_",D933,1),3),"")</f>
        <v/>
      </c>
      <c r="O933" s="3" t="str">
        <f>IF(AND(M933="",N933=""),"Extra","")</f>
        <v/>
      </c>
      <c r="P933" s="3" t="str">
        <f>IF(Q933=0,"TERCEIRO","MRS")</f>
        <v>MRS</v>
      </c>
      <c r="Q933" s="8" t="str">
        <f>IFERROR(VLOOKUP(L933,#REF!,4,0),"0,00")</f>
        <v>0,00</v>
      </c>
      <c r="R933" s="9" t="s">
        <v>42</v>
      </c>
      <c r="S933" s="9">
        <f>COUNTIF(D933,"*_SEG_*")</f>
        <v>0</v>
      </c>
      <c r="T933" s="9">
        <f>COUNTIF(D933,"*_MAN_*")</f>
        <v>0</v>
      </c>
      <c r="U933" s="9">
        <f>(RIGHT(D933,4))*1</f>
        <v>30</v>
      </c>
      <c r="V933" s="9" t="str">
        <f>IFERROR(VLOOKUP(I933,#REF!,2,0),"Sinalização")</f>
        <v>Sinalização</v>
      </c>
    </row>
    <row r="934" spans="1:22" x14ac:dyDescent="0.25">
      <c r="A934" s="3" t="s">
        <v>22</v>
      </c>
      <c r="B934" s="4">
        <v>23510574</v>
      </c>
      <c r="C934" s="5" t="s">
        <v>23</v>
      </c>
      <c r="D934" s="6" t="s">
        <v>829</v>
      </c>
      <c r="E934" s="6" t="s">
        <v>25</v>
      </c>
      <c r="F934" s="11">
        <v>46165</v>
      </c>
      <c r="G934" s="6" t="s">
        <v>1079</v>
      </c>
      <c r="H934" s="7" t="s">
        <v>32</v>
      </c>
      <c r="I934" s="7" t="s">
        <v>435</v>
      </c>
      <c r="J934" s="7" t="s">
        <v>830</v>
      </c>
      <c r="K934" s="7" t="s">
        <v>29</v>
      </c>
      <c r="L934" s="3" t="str">
        <f>E934&amp;D934</f>
        <v>E.SP.IPAT_EE_INS_CONF_S_I_CIRCUITO VIA CA_0030</v>
      </c>
      <c r="M934" s="3" t="str">
        <f>IFERROR(MID(D934,SEARCH("S_I_",D934,1),3),"")</f>
        <v>S_I</v>
      </c>
      <c r="N934" s="3" t="str">
        <f>IFERROR(MID(D934,SEARCH("C_I_",D934,1),3),"")</f>
        <v/>
      </c>
      <c r="O934" s="3" t="str">
        <f>IF(AND(M934="",N934=""),"Extra","")</f>
        <v/>
      </c>
      <c r="P934" s="3" t="str">
        <f>IF(Q934=0,"TERCEIRO","MRS")</f>
        <v>MRS</v>
      </c>
      <c r="Q934" s="8" t="str">
        <f>IFERROR(VLOOKUP(L934,#REF!,4,0),"0,00")</f>
        <v>0,00</v>
      </c>
      <c r="R934" s="9" t="s">
        <v>42</v>
      </c>
      <c r="S934" s="9">
        <f>COUNTIF(D934,"*_SEG_*")</f>
        <v>0</v>
      </c>
      <c r="T934" s="9">
        <f>COUNTIF(D934,"*_MAN_*")</f>
        <v>0</v>
      </c>
      <c r="U934" s="9">
        <f>(RIGHT(D934,4))*1</f>
        <v>30</v>
      </c>
      <c r="V934" s="9" t="str">
        <f>IFERROR(VLOOKUP(I934,#REF!,2,0),"Sinalização")</f>
        <v>Sinalização</v>
      </c>
    </row>
    <row r="935" spans="1:22" x14ac:dyDescent="0.25">
      <c r="A935" s="3" t="s">
        <v>22</v>
      </c>
      <c r="B935" s="4">
        <v>23510575</v>
      </c>
      <c r="C935" s="5" t="s">
        <v>23</v>
      </c>
      <c r="D935" s="6" t="s">
        <v>829</v>
      </c>
      <c r="E935" s="6" t="s">
        <v>25</v>
      </c>
      <c r="F935" s="11">
        <v>46165</v>
      </c>
      <c r="G935" s="6" t="s">
        <v>1079</v>
      </c>
      <c r="H935" s="7" t="s">
        <v>26</v>
      </c>
      <c r="I935" s="7" t="s">
        <v>436</v>
      </c>
      <c r="J935" s="7" t="s">
        <v>830</v>
      </c>
      <c r="K935" s="7" t="s">
        <v>29</v>
      </c>
      <c r="L935" s="3" t="str">
        <f>E935&amp;D935</f>
        <v>E.SP.IPAT_EE_INS_CONF_S_I_CIRCUITO VIA CA_0030</v>
      </c>
      <c r="M935" s="3" t="str">
        <f>IFERROR(MID(D935,SEARCH("S_I_",D935,1),3),"")</f>
        <v>S_I</v>
      </c>
      <c r="N935" s="3" t="str">
        <f>IFERROR(MID(D935,SEARCH("C_I_",D935,1),3),"")</f>
        <v/>
      </c>
      <c r="O935" s="3" t="str">
        <f>IF(AND(M935="",N935=""),"Extra","")</f>
        <v/>
      </c>
      <c r="P935" s="3" t="str">
        <f>IF(Q935=0,"TERCEIRO","MRS")</f>
        <v>MRS</v>
      </c>
      <c r="Q935" s="8" t="str">
        <f>IFERROR(VLOOKUP(L935,#REF!,4,0),"0,00")</f>
        <v>0,00</v>
      </c>
      <c r="R935" s="9" t="s">
        <v>42</v>
      </c>
      <c r="S935" s="9">
        <f>COUNTIF(D935,"*_SEG_*")</f>
        <v>0</v>
      </c>
      <c r="T935" s="9">
        <f>COUNTIF(D935,"*_MAN_*")</f>
        <v>0</v>
      </c>
      <c r="U935" s="9">
        <f>(RIGHT(D935,4))*1</f>
        <v>30</v>
      </c>
      <c r="V935" s="9" t="str">
        <f>IFERROR(VLOOKUP(I935,#REF!,2,0),"Sinalização")</f>
        <v>Sinalização</v>
      </c>
    </row>
    <row r="936" spans="1:22" x14ac:dyDescent="0.25">
      <c r="A936" s="3" t="s">
        <v>22</v>
      </c>
      <c r="B936" s="4">
        <v>23510576</v>
      </c>
      <c r="C936" s="5" t="s">
        <v>23</v>
      </c>
      <c r="D936" s="6" t="s">
        <v>829</v>
      </c>
      <c r="E936" s="6" t="s">
        <v>25</v>
      </c>
      <c r="F936" s="11">
        <v>46165</v>
      </c>
      <c r="G936" s="6" t="s">
        <v>1079</v>
      </c>
      <c r="H936" s="7" t="s">
        <v>26</v>
      </c>
      <c r="I936" s="7" t="s">
        <v>434</v>
      </c>
      <c r="J936" s="7" t="s">
        <v>830</v>
      </c>
      <c r="K936" s="7" t="s">
        <v>29</v>
      </c>
      <c r="L936" s="3" t="str">
        <f>E936&amp;D936</f>
        <v>E.SP.IPAT_EE_INS_CONF_S_I_CIRCUITO VIA CA_0030</v>
      </c>
      <c r="M936" s="3" t="str">
        <f>IFERROR(MID(D936,SEARCH("S_I_",D936,1),3),"")</f>
        <v>S_I</v>
      </c>
      <c r="N936" s="3" t="str">
        <f>IFERROR(MID(D936,SEARCH("C_I_",D936,1),3),"")</f>
        <v/>
      </c>
      <c r="O936" s="3" t="str">
        <f>IF(AND(M936="",N936=""),"Extra","")</f>
        <v/>
      </c>
      <c r="P936" s="3" t="str">
        <f>IF(Q936=0,"TERCEIRO","MRS")</f>
        <v>MRS</v>
      </c>
      <c r="Q936" s="8" t="str">
        <f>IFERROR(VLOOKUP(L936,#REF!,4,0),"0,00")</f>
        <v>0,00</v>
      </c>
      <c r="R936" s="9" t="s">
        <v>42</v>
      </c>
      <c r="S936" s="9">
        <f>COUNTIF(D936,"*_SEG_*")</f>
        <v>0</v>
      </c>
      <c r="T936" s="9">
        <f>COUNTIF(D936,"*_MAN_*")</f>
        <v>0</v>
      </c>
      <c r="U936" s="9">
        <f>(RIGHT(D936,4))*1</f>
        <v>30</v>
      </c>
      <c r="V936" s="9" t="str">
        <f>IFERROR(VLOOKUP(I936,#REF!,2,0),"Sinalização")</f>
        <v>Sinalização</v>
      </c>
    </row>
    <row r="937" spans="1:22" x14ac:dyDescent="0.25">
      <c r="A937" s="3" t="s">
        <v>22</v>
      </c>
      <c r="B937" s="4">
        <v>23510578</v>
      </c>
      <c r="C937" s="5" t="s">
        <v>23</v>
      </c>
      <c r="D937" s="6" t="s">
        <v>831</v>
      </c>
      <c r="E937" s="6" t="s">
        <v>25</v>
      </c>
      <c r="F937" s="11">
        <v>46165</v>
      </c>
      <c r="G937" s="6" t="s">
        <v>1079</v>
      </c>
      <c r="H937" s="7" t="s">
        <v>32</v>
      </c>
      <c r="I937" s="7" t="s">
        <v>963</v>
      </c>
      <c r="J937" s="7" t="s">
        <v>832</v>
      </c>
      <c r="K937" s="7" t="s">
        <v>29</v>
      </c>
      <c r="L937" s="3" t="str">
        <f>E937&amp;D937</f>
        <v>E.SP.IPAEE_INS_SEG_C_I_CIRCUITO VIA CA_1_0030</v>
      </c>
      <c r="M937" s="3" t="str">
        <f>IFERROR(MID(D937,SEARCH("S_I_",D937,1),3),"")</f>
        <v/>
      </c>
      <c r="N937" s="3" t="str">
        <f>IFERROR(MID(D937,SEARCH("C_I_",D937,1),3),"")</f>
        <v>C_I</v>
      </c>
      <c r="O937" s="3" t="str">
        <f>IF(AND(M937="",N937=""),"Extra","")</f>
        <v/>
      </c>
      <c r="P937" s="3" t="str">
        <f>IF(Q937=0,"TERCEIRO","MRS")</f>
        <v>MRS</v>
      </c>
      <c r="Q937" s="8" t="str">
        <f>IFERROR(VLOOKUP(L937,#REF!,4,0),"0,00")</f>
        <v>0,00</v>
      </c>
      <c r="R937" s="9" t="s">
        <v>30</v>
      </c>
      <c r="S937" s="9">
        <f>COUNTIF(D937,"*_SEG_*")</f>
        <v>1</v>
      </c>
      <c r="T937" s="9">
        <f>COUNTIF(D937,"*_MAN_*")</f>
        <v>0</v>
      </c>
      <c r="U937" s="9">
        <f>(RIGHT(D937,4))*1</f>
        <v>30</v>
      </c>
      <c r="V937" s="9" t="str">
        <f>IFERROR(VLOOKUP(I937,#REF!,2,0),"Sinalização")</f>
        <v>Sinalização</v>
      </c>
    </row>
    <row r="938" spans="1:22" x14ac:dyDescent="0.25">
      <c r="A938" s="3" t="s">
        <v>22</v>
      </c>
      <c r="B938" s="4">
        <v>23510580</v>
      </c>
      <c r="C938" s="5" t="s">
        <v>23</v>
      </c>
      <c r="D938" s="6" t="s">
        <v>831</v>
      </c>
      <c r="E938" s="6" t="s">
        <v>25</v>
      </c>
      <c r="F938" s="11">
        <v>46165</v>
      </c>
      <c r="G938" s="6" t="s">
        <v>1079</v>
      </c>
      <c r="H938" s="7" t="s">
        <v>32</v>
      </c>
      <c r="I938" s="7" t="s">
        <v>756</v>
      </c>
      <c r="J938" s="7" t="s">
        <v>832</v>
      </c>
      <c r="K938" s="7" t="s">
        <v>29</v>
      </c>
      <c r="L938" s="3" t="str">
        <f>E938&amp;D938</f>
        <v>E.SP.IPAEE_INS_SEG_C_I_CIRCUITO VIA CA_1_0030</v>
      </c>
      <c r="M938" s="3" t="str">
        <f>IFERROR(MID(D938,SEARCH("S_I_",D938,1),3),"")</f>
        <v/>
      </c>
      <c r="N938" s="3" t="str">
        <f>IFERROR(MID(D938,SEARCH("C_I_",D938,1),3),"")</f>
        <v>C_I</v>
      </c>
      <c r="O938" s="3" t="str">
        <f>IF(AND(M938="",N938=""),"Extra","")</f>
        <v/>
      </c>
      <c r="P938" s="3" t="str">
        <f>IF(Q938=0,"TERCEIRO","MRS")</f>
        <v>MRS</v>
      </c>
      <c r="Q938" s="8" t="str">
        <f>IFERROR(VLOOKUP(L938,#REF!,4,0),"0,00")</f>
        <v>0,00</v>
      </c>
      <c r="R938" s="9" t="s">
        <v>30</v>
      </c>
      <c r="S938" s="9">
        <f>COUNTIF(D938,"*_SEG_*")</f>
        <v>1</v>
      </c>
      <c r="T938" s="9">
        <f>COUNTIF(D938,"*_MAN_*")</f>
        <v>0</v>
      </c>
      <c r="U938" s="9">
        <f>(RIGHT(D938,4))*1</f>
        <v>30</v>
      </c>
      <c r="V938" s="9" t="str">
        <f>IFERROR(VLOOKUP(I938,#REF!,2,0),"Sinalização")</f>
        <v>Sinalização</v>
      </c>
    </row>
    <row r="939" spans="1:22" x14ac:dyDescent="0.25">
      <c r="A939" s="3" t="s">
        <v>22</v>
      </c>
      <c r="B939" s="4">
        <v>23510583</v>
      </c>
      <c r="C939" s="5" t="s">
        <v>23</v>
      </c>
      <c r="D939" s="6" t="s">
        <v>831</v>
      </c>
      <c r="E939" s="6" t="s">
        <v>25</v>
      </c>
      <c r="F939" s="11">
        <v>46165</v>
      </c>
      <c r="G939" s="6" t="s">
        <v>1079</v>
      </c>
      <c r="H939" s="7" t="s">
        <v>26</v>
      </c>
      <c r="I939" s="7" t="s">
        <v>757</v>
      </c>
      <c r="J939" s="7" t="s">
        <v>832</v>
      </c>
      <c r="K939" s="7" t="s">
        <v>29</v>
      </c>
      <c r="L939" s="3" t="str">
        <f>E939&amp;D939</f>
        <v>E.SP.IPAEE_INS_SEG_C_I_CIRCUITO VIA CA_1_0030</v>
      </c>
      <c r="M939" s="3" t="str">
        <f>IFERROR(MID(D939,SEARCH("S_I_",D939,1),3),"")</f>
        <v/>
      </c>
      <c r="N939" s="3" t="str">
        <f>IFERROR(MID(D939,SEARCH("C_I_",D939,1),3),"")</f>
        <v>C_I</v>
      </c>
      <c r="O939" s="3" t="str">
        <f>IF(AND(M939="",N939=""),"Extra","")</f>
        <v/>
      </c>
      <c r="P939" s="3" t="str">
        <f>IF(Q939=0,"TERCEIRO","MRS")</f>
        <v>MRS</v>
      </c>
      <c r="Q939" s="8" t="str">
        <f>IFERROR(VLOOKUP(L939,#REF!,4,0),"0,00")</f>
        <v>0,00</v>
      </c>
      <c r="R939" s="9" t="s">
        <v>30</v>
      </c>
      <c r="S939" s="9">
        <f>COUNTIF(D939,"*_SEG_*")</f>
        <v>1</v>
      </c>
      <c r="T939" s="9">
        <f>COUNTIF(D939,"*_MAN_*")</f>
        <v>0</v>
      </c>
      <c r="U939" s="9">
        <f>(RIGHT(D939,4))*1</f>
        <v>30</v>
      </c>
      <c r="V939" s="9" t="str">
        <f>IFERROR(VLOOKUP(I939,#REF!,2,0),"Sinalização")</f>
        <v>Sinalização</v>
      </c>
    </row>
    <row r="940" spans="1:22" x14ac:dyDescent="0.25">
      <c r="A940" s="3" t="s">
        <v>22</v>
      </c>
      <c r="B940" s="4">
        <v>23510597</v>
      </c>
      <c r="C940" s="5" t="s">
        <v>23</v>
      </c>
      <c r="D940" s="6" t="s">
        <v>831</v>
      </c>
      <c r="E940" s="6" t="s">
        <v>25</v>
      </c>
      <c r="F940" s="11">
        <v>46165</v>
      </c>
      <c r="G940" s="6" t="s">
        <v>1079</v>
      </c>
      <c r="H940" s="7" t="s">
        <v>26</v>
      </c>
      <c r="I940" s="7" t="s">
        <v>758</v>
      </c>
      <c r="J940" s="7" t="s">
        <v>832</v>
      </c>
      <c r="K940" s="7" t="s">
        <v>29</v>
      </c>
      <c r="L940" s="3" t="str">
        <f>E940&amp;D940</f>
        <v>E.SP.IPAEE_INS_SEG_C_I_CIRCUITO VIA CA_1_0030</v>
      </c>
      <c r="M940" s="3" t="str">
        <f>IFERROR(MID(D940,SEARCH("S_I_",D940,1),3),"")</f>
        <v/>
      </c>
      <c r="N940" s="3" t="str">
        <f>IFERROR(MID(D940,SEARCH("C_I_",D940,1),3),"")</f>
        <v>C_I</v>
      </c>
      <c r="O940" s="3" t="str">
        <f>IF(AND(M940="",N940=""),"Extra","")</f>
        <v/>
      </c>
      <c r="P940" s="3" t="str">
        <f>IF(Q940=0,"TERCEIRO","MRS")</f>
        <v>MRS</v>
      </c>
      <c r="Q940" s="8" t="str">
        <f>IFERROR(VLOOKUP(L940,#REF!,4,0),"0,00")</f>
        <v>0,00</v>
      </c>
      <c r="R940" s="9" t="s">
        <v>30</v>
      </c>
      <c r="S940" s="9">
        <f>COUNTIF(D940,"*_SEG_*")</f>
        <v>1</v>
      </c>
      <c r="T940" s="9">
        <f>COUNTIF(D940,"*_MAN_*")</f>
        <v>0</v>
      </c>
      <c r="U940" s="9">
        <f>(RIGHT(D940,4))*1</f>
        <v>30</v>
      </c>
      <c r="V940" s="9" t="str">
        <f>IFERROR(VLOOKUP(I940,#REF!,2,0),"Sinalização")</f>
        <v>Sinalização</v>
      </c>
    </row>
    <row r="941" spans="1:22" x14ac:dyDescent="0.25">
      <c r="A941" s="3" t="s">
        <v>22</v>
      </c>
      <c r="B941" s="4">
        <v>23510600</v>
      </c>
      <c r="C941" s="5" t="s">
        <v>23</v>
      </c>
      <c r="D941" s="6" t="s">
        <v>831</v>
      </c>
      <c r="E941" s="6" t="s">
        <v>25</v>
      </c>
      <c r="F941" s="11">
        <v>46165</v>
      </c>
      <c r="G941" s="6" t="s">
        <v>1079</v>
      </c>
      <c r="H941" s="7" t="s">
        <v>32</v>
      </c>
      <c r="I941" s="7" t="s">
        <v>768</v>
      </c>
      <c r="J941" s="7" t="s">
        <v>832</v>
      </c>
      <c r="K941" s="7" t="s">
        <v>29</v>
      </c>
      <c r="L941" s="3" t="str">
        <f>E941&amp;D941</f>
        <v>E.SP.IPAEE_INS_SEG_C_I_CIRCUITO VIA CA_1_0030</v>
      </c>
      <c r="M941" s="3" t="str">
        <f>IFERROR(MID(D941,SEARCH("S_I_",D941,1),3),"")</f>
        <v/>
      </c>
      <c r="N941" s="3" t="str">
        <f>IFERROR(MID(D941,SEARCH("C_I_",D941,1),3),"")</f>
        <v>C_I</v>
      </c>
      <c r="O941" s="3" t="str">
        <f>IF(AND(M941="",N941=""),"Extra","")</f>
        <v/>
      </c>
      <c r="P941" s="3" t="str">
        <f>IF(Q941=0,"TERCEIRO","MRS")</f>
        <v>MRS</v>
      </c>
      <c r="Q941" s="8" t="str">
        <f>IFERROR(VLOOKUP(L941,#REF!,4,0),"0,00")</f>
        <v>0,00</v>
      </c>
      <c r="R941" s="9" t="s">
        <v>30</v>
      </c>
      <c r="S941" s="9">
        <f>COUNTIF(D941,"*_SEG_*")</f>
        <v>1</v>
      </c>
      <c r="T941" s="9">
        <f>COUNTIF(D941,"*_MAN_*")</f>
        <v>0</v>
      </c>
      <c r="U941" s="9">
        <f>(RIGHT(D941,4))*1</f>
        <v>30</v>
      </c>
      <c r="V941" s="9" t="str">
        <f>IFERROR(VLOOKUP(I941,#REF!,2,0),"Sinalização")</f>
        <v>Sinalização</v>
      </c>
    </row>
    <row r="942" spans="1:22" x14ac:dyDescent="0.25">
      <c r="A942" s="3" t="s">
        <v>22</v>
      </c>
      <c r="B942" s="4">
        <v>23510602</v>
      </c>
      <c r="C942" s="5" t="s">
        <v>23</v>
      </c>
      <c r="D942" s="6" t="s">
        <v>831</v>
      </c>
      <c r="E942" s="6" t="s">
        <v>25</v>
      </c>
      <c r="F942" s="11">
        <v>46165</v>
      </c>
      <c r="G942" s="6" t="s">
        <v>1079</v>
      </c>
      <c r="H942" s="7" t="s">
        <v>32</v>
      </c>
      <c r="I942" s="7" t="s">
        <v>759</v>
      </c>
      <c r="J942" s="7" t="s">
        <v>832</v>
      </c>
      <c r="K942" s="7" t="s">
        <v>29</v>
      </c>
      <c r="L942" s="3" t="str">
        <f>E942&amp;D942</f>
        <v>E.SP.IPAEE_INS_SEG_C_I_CIRCUITO VIA CA_1_0030</v>
      </c>
      <c r="M942" s="3" t="str">
        <f>IFERROR(MID(D942,SEARCH("S_I_",D942,1),3),"")</f>
        <v/>
      </c>
      <c r="N942" s="3" t="str">
        <f>IFERROR(MID(D942,SEARCH("C_I_",D942,1),3),"")</f>
        <v>C_I</v>
      </c>
      <c r="O942" s="3" t="str">
        <f>IF(AND(M942="",N942=""),"Extra","")</f>
        <v/>
      </c>
      <c r="P942" s="3" t="str">
        <f>IF(Q942=0,"TERCEIRO","MRS")</f>
        <v>MRS</v>
      </c>
      <c r="Q942" s="8" t="str">
        <f>IFERROR(VLOOKUP(L942,#REF!,4,0),"0,00")</f>
        <v>0,00</v>
      </c>
      <c r="R942" s="9" t="s">
        <v>30</v>
      </c>
      <c r="S942" s="9">
        <f>COUNTIF(D942,"*_SEG_*")</f>
        <v>1</v>
      </c>
      <c r="T942" s="9">
        <f>COUNTIF(D942,"*_MAN_*")</f>
        <v>0</v>
      </c>
      <c r="U942" s="9">
        <f>(RIGHT(D942,4))*1</f>
        <v>30</v>
      </c>
      <c r="V942" s="9" t="str">
        <f>IFERROR(VLOOKUP(I942,#REF!,2,0),"Sinalização")</f>
        <v>Sinalização</v>
      </c>
    </row>
    <row r="943" spans="1:22" x14ac:dyDescent="0.25">
      <c r="A943" s="3" t="s">
        <v>22</v>
      </c>
      <c r="B943" s="4">
        <v>23510607</v>
      </c>
      <c r="C943" s="5" t="s">
        <v>23</v>
      </c>
      <c r="D943" s="6" t="s">
        <v>831</v>
      </c>
      <c r="E943" s="6" t="s">
        <v>25</v>
      </c>
      <c r="F943" s="11">
        <v>46165</v>
      </c>
      <c r="G943" s="6" t="s">
        <v>1079</v>
      </c>
      <c r="H943" s="7" t="s">
        <v>26</v>
      </c>
      <c r="I943" s="7" t="s">
        <v>346</v>
      </c>
      <c r="J943" s="7" t="s">
        <v>832</v>
      </c>
      <c r="K943" s="7" t="s">
        <v>29</v>
      </c>
      <c r="L943" s="3" t="str">
        <f>E943&amp;D943</f>
        <v>E.SP.IPAEE_INS_SEG_C_I_CIRCUITO VIA CA_1_0030</v>
      </c>
      <c r="M943" s="3" t="str">
        <f>IFERROR(MID(D943,SEARCH("S_I_",D943,1),3),"")</f>
        <v/>
      </c>
      <c r="N943" s="3" t="str">
        <f>IFERROR(MID(D943,SEARCH("C_I_",D943,1),3),"")</f>
        <v>C_I</v>
      </c>
      <c r="O943" s="3" t="str">
        <f>IF(AND(M943="",N943=""),"Extra","")</f>
        <v/>
      </c>
      <c r="P943" s="3" t="str">
        <f>IF(Q943=0,"TERCEIRO","MRS")</f>
        <v>MRS</v>
      </c>
      <c r="Q943" s="8" t="str">
        <f>IFERROR(VLOOKUP(L943,#REF!,4,0),"0,00")</f>
        <v>0,00</v>
      </c>
      <c r="R943" s="9" t="s">
        <v>30</v>
      </c>
      <c r="S943" s="9">
        <f>COUNTIF(D943,"*_SEG_*")</f>
        <v>1</v>
      </c>
      <c r="T943" s="9">
        <f>COUNTIF(D943,"*_MAN_*")</f>
        <v>0</v>
      </c>
      <c r="U943" s="9">
        <f>(RIGHT(D943,4))*1</f>
        <v>30</v>
      </c>
      <c r="V943" s="9" t="str">
        <f>IFERROR(VLOOKUP(I943,#REF!,2,0),"Sinalização")</f>
        <v>Sinalização</v>
      </c>
    </row>
    <row r="944" spans="1:22" x14ac:dyDescent="0.25">
      <c r="A944" s="3" t="s">
        <v>22</v>
      </c>
      <c r="B944" s="4">
        <v>23510612</v>
      </c>
      <c r="C944" s="5" t="s">
        <v>23</v>
      </c>
      <c r="D944" s="6" t="s">
        <v>831</v>
      </c>
      <c r="E944" s="6" t="s">
        <v>25</v>
      </c>
      <c r="F944" s="11">
        <v>46165</v>
      </c>
      <c r="G944" s="6" t="s">
        <v>1079</v>
      </c>
      <c r="H944" s="7" t="s">
        <v>26</v>
      </c>
      <c r="I944" s="7" t="s">
        <v>194</v>
      </c>
      <c r="J944" s="7" t="s">
        <v>832</v>
      </c>
      <c r="K944" s="7" t="s">
        <v>29</v>
      </c>
      <c r="L944" s="3" t="str">
        <f>E944&amp;D944</f>
        <v>E.SP.IPAEE_INS_SEG_C_I_CIRCUITO VIA CA_1_0030</v>
      </c>
      <c r="M944" s="3" t="str">
        <f>IFERROR(MID(D944,SEARCH("S_I_",D944,1),3),"")</f>
        <v/>
      </c>
      <c r="N944" s="3" t="str">
        <f>IFERROR(MID(D944,SEARCH("C_I_",D944,1),3),"")</f>
        <v>C_I</v>
      </c>
      <c r="O944" s="3" t="str">
        <f>IF(AND(M944="",N944=""),"Extra","")</f>
        <v/>
      </c>
      <c r="P944" s="3" t="str">
        <f>IF(Q944=0,"TERCEIRO","MRS")</f>
        <v>MRS</v>
      </c>
      <c r="Q944" s="8" t="str">
        <f>IFERROR(VLOOKUP(L944,#REF!,4,0),"0,00")</f>
        <v>0,00</v>
      </c>
      <c r="R944" s="9" t="s">
        <v>30</v>
      </c>
      <c r="S944" s="9">
        <f>COUNTIF(D944,"*_SEG_*")</f>
        <v>1</v>
      </c>
      <c r="T944" s="9">
        <f>COUNTIF(D944,"*_MAN_*")</f>
        <v>0</v>
      </c>
      <c r="U944" s="9">
        <f>(RIGHT(D944,4))*1</f>
        <v>30</v>
      </c>
      <c r="V944" s="9" t="str">
        <f>IFERROR(VLOOKUP(I944,#REF!,2,0),"Sinalização")</f>
        <v>Sinalização</v>
      </c>
    </row>
    <row r="945" spans="1:22" x14ac:dyDescent="0.25">
      <c r="A945" s="3" t="s">
        <v>22</v>
      </c>
      <c r="B945" s="4">
        <v>23510615</v>
      </c>
      <c r="C945" s="5" t="s">
        <v>23</v>
      </c>
      <c r="D945" s="6" t="s">
        <v>831</v>
      </c>
      <c r="E945" s="6" t="s">
        <v>25</v>
      </c>
      <c r="F945" s="11">
        <v>46165</v>
      </c>
      <c r="G945" s="6" t="s">
        <v>1079</v>
      </c>
      <c r="H945" s="7" t="s">
        <v>32</v>
      </c>
      <c r="I945" s="7" t="s">
        <v>766</v>
      </c>
      <c r="J945" s="7" t="s">
        <v>832</v>
      </c>
      <c r="K945" s="7" t="s">
        <v>29</v>
      </c>
      <c r="L945" s="3" t="str">
        <f>E945&amp;D945</f>
        <v>E.SP.IPAEE_INS_SEG_C_I_CIRCUITO VIA CA_1_0030</v>
      </c>
      <c r="M945" s="3" t="str">
        <f>IFERROR(MID(D945,SEARCH("S_I_",D945,1),3),"")</f>
        <v/>
      </c>
      <c r="N945" s="3" t="str">
        <f>IFERROR(MID(D945,SEARCH("C_I_",D945,1),3),"")</f>
        <v>C_I</v>
      </c>
      <c r="O945" s="3" t="str">
        <f>IF(AND(M945="",N945=""),"Extra","")</f>
        <v/>
      </c>
      <c r="P945" s="3" t="str">
        <f>IF(Q945=0,"TERCEIRO","MRS")</f>
        <v>MRS</v>
      </c>
      <c r="Q945" s="8" t="str">
        <f>IFERROR(VLOOKUP(L945,#REF!,4,0),"0,00")</f>
        <v>0,00</v>
      </c>
      <c r="R945" s="9" t="s">
        <v>30</v>
      </c>
      <c r="S945" s="9">
        <f>COUNTIF(D945,"*_SEG_*")</f>
        <v>1</v>
      </c>
      <c r="T945" s="9">
        <f>COUNTIF(D945,"*_MAN_*")</f>
        <v>0</v>
      </c>
      <c r="U945" s="9">
        <f>(RIGHT(D945,4))*1</f>
        <v>30</v>
      </c>
      <c r="V945" s="9" t="str">
        <f>IFERROR(VLOOKUP(I945,#REF!,2,0),"Sinalização")</f>
        <v>Sinalização</v>
      </c>
    </row>
    <row r="946" spans="1:22" x14ac:dyDescent="0.25">
      <c r="A946" s="3" t="s">
        <v>22</v>
      </c>
      <c r="B946" s="4">
        <v>23510616</v>
      </c>
      <c r="C946" s="5" t="s">
        <v>23</v>
      </c>
      <c r="D946" s="6" t="s">
        <v>831</v>
      </c>
      <c r="E946" s="6" t="s">
        <v>25</v>
      </c>
      <c r="F946" s="11">
        <v>46165</v>
      </c>
      <c r="G946" s="6" t="s">
        <v>1079</v>
      </c>
      <c r="H946" s="7" t="s">
        <v>32</v>
      </c>
      <c r="I946" s="7" t="s">
        <v>503</v>
      </c>
      <c r="J946" s="7" t="s">
        <v>832</v>
      </c>
      <c r="K946" s="7" t="s">
        <v>29</v>
      </c>
      <c r="L946" s="3" t="str">
        <f>E946&amp;D946</f>
        <v>E.SP.IPAEE_INS_SEG_C_I_CIRCUITO VIA CA_1_0030</v>
      </c>
      <c r="M946" s="3" t="str">
        <f>IFERROR(MID(D946,SEARCH("S_I_",D946,1),3),"")</f>
        <v/>
      </c>
      <c r="N946" s="3" t="str">
        <f>IFERROR(MID(D946,SEARCH("C_I_",D946,1),3),"")</f>
        <v>C_I</v>
      </c>
      <c r="O946" s="3" t="str">
        <f>IF(AND(M946="",N946=""),"Extra","")</f>
        <v/>
      </c>
      <c r="P946" s="3" t="str">
        <f>IF(Q946=0,"TERCEIRO","MRS")</f>
        <v>MRS</v>
      </c>
      <c r="Q946" s="8" t="str">
        <f>IFERROR(VLOOKUP(L946,#REF!,4,0),"0,00")</f>
        <v>0,00</v>
      </c>
      <c r="R946" s="9" t="s">
        <v>30</v>
      </c>
      <c r="S946" s="9">
        <f>COUNTIF(D946,"*_SEG_*")</f>
        <v>1</v>
      </c>
      <c r="T946" s="9">
        <f>COUNTIF(D946,"*_MAN_*")</f>
        <v>0</v>
      </c>
      <c r="U946" s="9">
        <f>(RIGHT(D946,4))*1</f>
        <v>30</v>
      </c>
      <c r="V946" s="9" t="str">
        <f>IFERROR(VLOOKUP(I946,#REF!,2,0),"Sinalização")</f>
        <v>Sinalização</v>
      </c>
    </row>
    <row r="947" spans="1:22" x14ac:dyDescent="0.25">
      <c r="A947" s="3" t="s">
        <v>22</v>
      </c>
      <c r="B947" s="4">
        <v>23510617</v>
      </c>
      <c r="C947" s="5" t="s">
        <v>23</v>
      </c>
      <c r="D947" s="6" t="s">
        <v>831</v>
      </c>
      <c r="E947" s="6" t="s">
        <v>25</v>
      </c>
      <c r="F947" s="11">
        <v>46165</v>
      </c>
      <c r="G947" s="6" t="s">
        <v>1079</v>
      </c>
      <c r="H947" s="7" t="s">
        <v>26</v>
      </c>
      <c r="I947" s="7" t="s">
        <v>501</v>
      </c>
      <c r="J947" s="7" t="s">
        <v>832</v>
      </c>
      <c r="K947" s="7" t="s">
        <v>29</v>
      </c>
      <c r="L947" s="3" t="str">
        <f>E947&amp;D947</f>
        <v>E.SP.IPAEE_INS_SEG_C_I_CIRCUITO VIA CA_1_0030</v>
      </c>
      <c r="M947" s="3" t="str">
        <f>IFERROR(MID(D947,SEARCH("S_I_",D947,1),3),"")</f>
        <v/>
      </c>
      <c r="N947" s="3" t="str">
        <f>IFERROR(MID(D947,SEARCH("C_I_",D947,1),3),"")</f>
        <v>C_I</v>
      </c>
      <c r="O947" s="3" t="str">
        <f>IF(AND(M947="",N947=""),"Extra","")</f>
        <v/>
      </c>
      <c r="P947" s="3" t="str">
        <f>IF(Q947=0,"TERCEIRO","MRS")</f>
        <v>MRS</v>
      </c>
      <c r="Q947" s="8" t="str">
        <f>IFERROR(VLOOKUP(L947,#REF!,4,0),"0,00")</f>
        <v>0,00</v>
      </c>
      <c r="R947" s="9" t="s">
        <v>30</v>
      </c>
      <c r="S947" s="9">
        <f>COUNTIF(D947,"*_SEG_*")</f>
        <v>1</v>
      </c>
      <c r="T947" s="9">
        <f>COUNTIF(D947,"*_MAN_*")</f>
        <v>0</v>
      </c>
      <c r="U947" s="9">
        <f>(RIGHT(D947,4))*1</f>
        <v>30</v>
      </c>
      <c r="V947" s="9" t="str">
        <f>IFERROR(VLOOKUP(I947,#REF!,2,0),"Sinalização")</f>
        <v>Sinalização</v>
      </c>
    </row>
    <row r="948" spans="1:22" x14ac:dyDescent="0.25">
      <c r="A948" s="3" t="s">
        <v>22</v>
      </c>
      <c r="B948" s="4">
        <v>23510619</v>
      </c>
      <c r="C948" s="5" t="s">
        <v>23</v>
      </c>
      <c r="D948" s="6" t="s">
        <v>831</v>
      </c>
      <c r="E948" s="6" t="s">
        <v>25</v>
      </c>
      <c r="F948" s="11">
        <v>46165</v>
      </c>
      <c r="G948" s="6" t="s">
        <v>1079</v>
      </c>
      <c r="H948" s="7" t="s">
        <v>26</v>
      </c>
      <c r="I948" s="7" t="s">
        <v>502</v>
      </c>
      <c r="J948" s="7" t="s">
        <v>832</v>
      </c>
      <c r="K948" s="7" t="s">
        <v>29</v>
      </c>
      <c r="L948" s="3" t="str">
        <f>E948&amp;D948</f>
        <v>E.SP.IPAEE_INS_SEG_C_I_CIRCUITO VIA CA_1_0030</v>
      </c>
      <c r="M948" s="3" t="str">
        <f>IFERROR(MID(D948,SEARCH("S_I_",D948,1),3),"")</f>
        <v/>
      </c>
      <c r="N948" s="3" t="str">
        <f>IFERROR(MID(D948,SEARCH("C_I_",D948,1),3),"")</f>
        <v>C_I</v>
      </c>
      <c r="O948" s="3" t="str">
        <f>IF(AND(M948="",N948=""),"Extra","")</f>
        <v/>
      </c>
      <c r="P948" s="3" t="str">
        <f>IF(Q948=0,"TERCEIRO","MRS")</f>
        <v>MRS</v>
      </c>
      <c r="Q948" s="8" t="str">
        <f>IFERROR(VLOOKUP(L948,#REF!,4,0),"0,00")</f>
        <v>0,00</v>
      </c>
      <c r="R948" s="9" t="s">
        <v>30</v>
      </c>
      <c r="S948" s="9">
        <f>COUNTIF(D948,"*_SEG_*")</f>
        <v>1</v>
      </c>
      <c r="T948" s="9">
        <f>COUNTIF(D948,"*_MAN_*")</f>
        <v>0</v>
      </c>
      <c r="U948" s="9">
        <f>(RIGHT(D948,4))*1</f>
        <v>30</v>
      </c>
      <c r="V948" s="9" t="str">
        <f>IFERROR(VLOOKUP(I948,#REF!,2,0),"Sinalização")</f>
        <v>Sinalização</v>
      </c>
    </row>
    <row r="949" spans="1:22" x14ac:dyDescent="0.25">
      <c r="A949" s="3" t="s">
        <v>22</v>
      </c>
      <c r="B949" s="4">
        <v>23510626</v>
      </c>
      <c r="C949" s="5" t="s">
        <v>23</v>
      </c>
      <c r="D949" s="6" t="s">
        <v>831</v>
      </c>
      <c r="E949" s="6" t="s">
        <v>25</v>
      </c>
      <c r="F949" s="11">
        <v>46165</v>
      </c>
      <c r="G949" s="6" t="s">
        <v>1079</v>
      </c>
      <c r="H949" s="7" t="s">
        <v>32</v>
      </c>
      <c r="I949" s="7" t="s">
        <v>500</v>
      </c>
      <c r="J949" s="7" t="s">
        <v>832</v>
      </c>
      <c r="K949" s="7" t="s">
        <v>29</v>
      </c>
      <c r="L949" s="3" t="str">
        <f>E949&amp;D949</f>
        <v>E.SP.IPAEE_INS_SEG_C_I_CIRCUITO VIA CA_1_0030</v>
      </c>
      <c r="M949" s="3" t="str">
        <f>IFERROR(MID(D949,SEARCH("S_I_",D949,1),3),"")</f>
        <v/>
      </c>
      <c r="N949" s="3" t="str">
        <f>IFERROR(MID(D949,SEARCH("C_I_",D949,1),3),"")</f>
        <v>C_I</v>
      </c>
      <c r="O949" s="3" t="str">
        <f>IF(AND(M949="",N949=""),"Extra","")</f>
        <v/>
      </c>
      <c r="P949" s="3" t="str">
        <f>IF(Q949=0,"TERCEIRO","MRS")</f>
        <v>MRS</v>
      </c>
      <c r="Q949" s="8" t="str">
        <f>IFERROR(VLOOKUP(L949,#REF!,4,0),"0,00")</f>
        <v>0,00</v>
      </c>
      <c r="R949" s="9" t="s">
        <v>30</v>
      </c>
      <c r="S949" s="9">
        <f>COUNTIF(D949,"*_SEG_*")</f>
        <v>1</v>
      </c>
      <c r="T949" s="9">
        <f>COUNTIF(D949,"*_MAN_*")</f>
        <v>0</v>
      </c>
      <c r="U949" s="9">
        <f>(RIGHT(D949,4))*1</f>
        <v>30</v>
      </c>
      <c r="V949" s="9" t="str">
        <f>IFERROR(VLOOKUP(I949,#REF!,2,0),"Sinalização")</f>
        <v>Sinalização</v>
      </c>
    </row>
    <row r="950" spans="1:22" x14ac:dyDescent="0.25">
      <c r="A950" s="3" t="s">
        <v>22</v>
      </c>
      <c r="B950" s="4">
        <v>23510627</v>
      </c>
      <c r="C950" s="5" t="s">
        <v>23</v>
      </c>
      <c r="D950" s="6" t="s">
        <v>831</v>
      </c>
      <c r="E950" s="6" t="s">
        <v>25</v>
      </c>
      <c r="F950" s="11">
        <v>46165</v>
      </c>
      <c r="G950" s="6" t="s">
        <v>1079</v>
      </c>
      <c r="H950" s="7" t="s">
        <v>32</v>
      </c>
      <c r="I950" s="7" t="s">
        <v>499</v>
      </c>
      <c r="J950" s="7" t="s">
        <v>832</v>
      </c>
      <c r="K950" s="7" t="s">
        <v>29</v>
      </c>
      <c r="L950" s="3" t="str">
        <f>E950&amp;D950</f>
        <v>E.SP.IPAEE_INS_SEG_C_I_CIRCUITO VIA CA_1_0030</v>
      </c>
      <c r="M950" s="3" t="str">
        <f>IFERROR(MID(D950,SEARCH("S_I_",D950,1),3),"")</f>
        <v/>
      </c>
      <c r="N950" s="3" t="str">
        <f>IFERROR(MID(D950,SEARCH("C_I_",D950,1),3),"")</f>
        <v>C_I</v>
      </c>
      <c r="O950" s="3" t="str">
        <f>IF(AND(M950="",N950=""),"Extra","")</f>
        <v/>
      </c>
      <c r="P950" s="3" t="str">
        <f>IF(Q950=0,"TERCEIRO","MRS")</f>
        <v>MRS</v>
      </c>
      <c r="Q950" s="8" t="str">
        <f>IFERROR(VLOOKUP(L950,#REF!,4,0),"0,00")</f>
        <v>0,00</v>
      </c>
      <c r="R950" s="9" t="s">
        <v>30</v>
      </c>
      <c r="S950" s="9">
        <f>COUNTIF(D950,"*_SEG_*")</f>
        <v>1</v>
      </c>
      <c r="T950" s="9">
        <f>COUNTIF(D950,"*_MAN_*")</f>
        <v>0</v>
      </c>
      <c r="U950" s="9">
        <f>(RIGHT(D950,4))*1</f>
        <v>30</v>
      </c>
      <c r="V950" s="9" t="str">
        <f>IFERROR(VLOOKUP(I950,#REF!,2,0),"Sinalização")</f>
        <v>Sinalização</v>
      </c>
    </row>
    <row r="951" spans="1:22" x14ac:dyDescent="0.25">
      <c r="A951" s="3" t="s">
        <v>22</v>
      </c>
      <c r="B951" s="4">
        <v>23510629</v>
      </c>
      <c r="C951" s="5" t="s">
        <v>23</v>
      </c>
      <c r="D951" s="6" t="s">
        <v>831</v>
      </c>
      <c r="E951" s="6" t="s">
        <v>25</v>
      </c>
      <c r="F951" s="11">
        <v>46165</v>
      </c>
      <c r="G951" s="6" t="s">
        <v>1079</v>
      </c>
      <c r="H951" s="7" t="s">
        <v>26</v>
      </c>
      <c r="I951" s="7" t="s">
        <v>235</v>
      </c>
      <c r="J951" s="7" t="s">
        <v>832</v>
      </c>
      <c r="K951" s="7" t="s">
        <v>29</v>
      </c>
      <c r="L951" s="3" t="str">
        <f>E951&amp;D951</f>
        <v>E.SP.IPAEE_INS_SEG_C_I_CIRCUITO VIA CA_1_0030</v>
      </c>
      <c r="M951" s="3" t="str">
        <f>IFERROR(MID(D951,SEARCH("S_I_",D951,1),3),"")</f>
        <v/>
      </c>
      <c r="N951" s="3" t="str">
        <f>IFERROR(MID(D951,SEARCH("C_I_",D951,1),3),"")</f>
        <v>C_I</v>
      </c>
      <c r="O951" s="3" t="str">
        <f>IF(AND(M951="",N951=""),"Extra","")</f>
        <v/>
      </c>
      <c r="P951" s="3" t="str">
        <f>IF(Q951=0,"TERCEIRO","MRS")</f>
        <v>MRS</v>
      </c>
      <c r="Q951" s="8" t="str">
        <f>IFERROR(VLOOKUP(L951,#REF!,4,0),"0,00")</f>
        <v>0,00</v>
      </c>
      <c r="R951" s="9" t="s">
        <v>30</v>
      </c>
      <c r="S951" s="9">
        <f>COUNTIF(D951,"*_SEG_*")</f>
        <v>1</v>
      </c>
      <c r="T951" s="9">
        <f>COUNTIF(D951,"*_MAN_*")</f>
        <v>0</v>
      </c>
      <c r="U951" s="9">
        <f>(RIGHT(D951,4))*1</f>
        <v>30</v>
      </c>
      <c r="V951" s="9" t="str">
        <f>IFERROR(VLOOKUP(I951,#REF!,2,0),"Sinalização")</f>
        <v>Sinalização</v>
      </c>
    </row>
    <row r="952" spans="1:22" x14ac:dyDescent="0.25">
      <c r="A952" s="3" t="s">
        <v>22</v>
      </c>
      <c r="B952" s="4">
        <v>23510630</v>
      </c>
      <c r="C952" s="5" t="s">
        <v>23</v>
      </c>
      <c r="D952" s="6" t="s">
        <v>831</v>
      </c>
      <c r="E952" s="6" t="s">
        <v>25</v>
      </c>
      <c r="F952" s="11">
        <v>46165</v>
      </c>
      <c r="G952" s="6" t="s">
        <v>1079</v>
      </c>
      <c r="H952" s="7" t="s">
        <v>26</v>
      </c>
      <c r="I952" s="7" t="s">
        <v>214</v>
      </c>
      <c r="J952" s="7" t="s">
        <v>832</v>
      </c>
      <c r="K952" s="7" t="s">
        <v>29</v>
      </c>
      <c r="L952" s="3" t="str">
        <f>E952&amp;D952</f>
        <v>E.SP.IPAEE_INS_SEG_C_I_CIRCUITO VIA CA_1_0030</v>
      </c>
      <c r="M952" s="3" t="str">
        <f>IFERROR(MID(D952,SEARCH("S_I_",D952,1),3),"")</f>
        <v/>
      </c>
      <c r="N952" s="3" t="str">
        <f>IFERROR(MID(D952,SEARCH("C_I_",D952,1),3),"")</f>
        <v>C_I</v>
      </c>
      <c r="O952" s="3" t="str">
        <f>IF(AND(M952="",N952=""),"Extra","")</f>
        <v/>
      </c>
      <c r="P952" s="3" t="str">
        <f>IF(Q952=0,"TERCEIRO","MRS")</f>
        <v>MRS</v>
      </c>
      <c r="Q952" s="8" t="str">
        <f>IFERROR(VLOOKUP(L952,#REF!,4,0),"0,00")</f>
        <v>0,00</v>
      </c>
      <c r="R952" s="9" t="s">
        <v>30</v>
      </c>
      <c r="S952" s="9">
        <f>COUNTIF(D952,"*_SEG_*")</f>
        <v>1</v>
      </c>
      <c r="T952" s="9">
        <f>COUNTIF(D952,"*_MAN_*")</f>
        <v>0</v>
      </c>
      <c r="U952" s="9">
        <f>(RIGHT(D952,4))*1</f>
        <v>30</v>
      </c>
      <c r="V952" s="9" t="str">
        <f>IFERROR(VLOOKUP(I952,#REF!,2,0),"Sinalização")</f>
        <v>Sinalização</v>
      </c>
    </row>
    <row r="953" spans="1:22" x14ac:dyDescent="0.25">
      <c r="A953" s="3" t="s">
        <v>22</v>
      </c>
      <c r="B953" s="4">
        <v>23510632</v>
      </c>
      <c r="C953" s="5" t="s">
        <v>23</v>
      </c>
      <c r="D953" s="6" t="s">
        <v>831</v>
      </c>
      <c r="E953" s="6" t="s">
        <v>25</v>
      </c>
      <c r="F953" s="11">
        <v>46165</v>
      </c>
      <c r="G953" s="6" t="s">
        <v>1079</v>
      </c>
      <c r="H953" s="7" t="s">
        <v>32</v>
      </c>
      <c r="I953" s="7" t="s">
        <v>961</v>
      </c>
      <c r="J953" s="7" t="s">
        <v>832</v>
      </c>
      <c r="K953" s="7" t="s">
        <v>29</v>
      </c>
      <c r="L953" s="3" t="str">
        <f>E953&amp;D953</f>
        <v>E.SP.IPAEE_INS_SEG_C_I_CIRCUITO VIA CA_1_0030</v>
      </c>
      <c r="M953" s="3" t="str">
        <f>IFERROR(MID(D953,SEARCH("S_I_",D953,1),3),"")</f>
        <v/>
      </c>
      <c r="N953" s="3" t="str">
        <f>IFERROR(MID(D953,SEARCH("C_I_",D953,1),3),"")</f>
        <v>C_I</v>
      </c>
      <c r="O953" s="3" t="str">
        <f>IF(AND(M953="",N953=""),"Extra","")</f>
        <v/>
      </c>
      <c r="P953" s="3" t="str">
        <f>IF(Q953=0,"TERCEIRO","MRS")</f>
        <v>MRS</v>
      </c>
      <c r="Q953" s="8" t="str">
        <f>IFERROR(VLOOKUP(L953,#REF!,4,0),"0,00")</f>
        <v>0,00</v>
      </c>
      <c r="R953" s="9" t="s">
        <v>30</v>
      </c>
      <c r="S953" s="9">
        <f>COUNTIF(D953,"*_SEG_*")</f>
        <v>1</v>
      </c>
      <c r="T953" s="9">
        <f>COUNTIF(D953,"*_MAN_*")</f>
        <v>0</v>
      </c>
      <c r="U953" s="9">
        <f>(RIGHT(D953,4))*1</f>
        <v>30</v>
      </c>
      <c r="V953" s="9" t="str">
        <f>IFERROR(VLOOKUP(I953,#REF!,2,0),"Sinalização")</f>
        <v>Sinalização</v>
      </c>
    </row>
    <row r="954" spans="1:22" x14ac:dyDescent="0.25">
      <c r="A954" s="3" t="s">
        <v>22</v>
      </c>
      <c r="B954" s="4">
        <v>23510633</v>
      </c>
      <c r="C954" s="5" t="s">
        <v>23</v>
      </c>
      <c r="D954" s="6" t="s">
        <v>831</v>
      </c>
      <c r="E954" s="6" t="s">
        <v>25</v>
      </c>
      <c r="F954" s="11">
        <v>46165</v>
      </c>
      <c r="G954" s="6" t="s">
        <v>1079</v>
      </c>
      <c r="H954" s="7" t="s">
        <v>32</v>
      </c>
      <c r="I954" s="7" t="s">
        <v>962</v>
      </c>
      <c r="J954" s="7" t="s">
        <v>832</v>
      </c>
      <c r="K954" s="7" t="s">
        <v>29</v>
      </c>
      <c r="L954" s="3" t="str">
        <f>E954&amp;D954</f>
        <v>E.SP.IPAEE_INS_SEG_C_I_CIRCUITO VIA CA_1_0030</v>
      </c>
      <c r="M954" s="3" t="str">
        <f>IFERROR(MID(D954,SEARCH("S_I_",D954,1),3),"")</f>
        <v/>
      </c>
      <c r="N954" s="3" t="str">
        <f>IFERROR(MID(D954,SEARCH("C_I_",D954,1),3),"")</f>
        <v>C_I</v>
      </c>
      <c r="O954" s="3" t="str">
        <f>IF(AND(M954="",N954=""),"Extra","")</f>
        <v/>
      </c>
      <c r="P954" s="3" t="str">
        <f>IF(Q954=0,"TERCEIRO","MRS")</f>
        <v>MRS</v>
      </c>
      <c r="Q954" s="8" t="str">
        <f>IFERROR(VLOOKUP(L954,#REF!,4,0),"0,00")</f>
        <v>0,00</v>
      </c>
      <c r="R954" s="9" t="s">
        <v>30</v>
      </c>
      <c r="S954" s="9">
        <f>COUNTIF(D954,"*_SEG_*")</f>
        <v>1</v>
      </c>
      <c r="T954" s="9">
        <f>COUNTIF(D954,"*_MAN_*")</f>
        <v>0</v>
      </c>
      <c r="U954" s="9">
        <f>(RIGHT(D954,4))*1</f>
        <v>30</v>
      </c>
      <c r="V954" s="9" t="str">
        <f>IFERROR(VLOOKUP(I954,#REF!,2,0),"Sinalização")</f>
        <v>Sinalização</v>
      </c>
    </row>
    <row r="955" spans="1:22" x14ac:dyDescent="0.25">
      <c r="A955" s="3" t="s">
        <v>22</v>
      </c>
      <c r="B955" s="4">
        <v>23510634</v>
      </c>
      <c r="C955" s="5" t="s">
        <v>23</v>
      </c>
      <c r="D955" s="6" t="s">
        <v>831</v>
      </c>
      <c r="E955" s="6" t="s">
        <v>25</v>
      </c>
      <c r="F955" s="11">
        <v>46165</v>
      </c>
      <c r="G955" s="6" t="s">
        <v>1079</v>
      </c>
      <c r="H955" s="7" t="s">
        <v>26</v>
      </c>
      <c r="I955" s="7" t="s">
        <v>964</v>
      </c>
      <c r="J955" s="7" t="s">
        <v>832</v>
      </c>
      <c r="K955" s="7" t="s">
        <v>29</v>
      </c>
      <c r="L955" s="3" t="str">
        <f>E955&amp;D955</f>
        <v>E.SP.IPAEE_INS_SEG_C_I_CIRCUITO VIA CA_1_0030</v>
      </c>
      <c r="M955" s="3" t="str">
        <f>IFERROR(MID(D955,SEARCH("S_I_",D955,1),3),"")</f>
        <v/>
      </c>
      <c r="N955" s="3" t="str">
        <f>IFERROR(MID(D955,SEARCH("C_I_",D955,1),3),"")</f>
        <v>C_I</v>
      </c>
      <c r="O955" s="3" t="str">
        <f>IF(AND(M955="",N955=""),"Extra","")</f>
        <v/>
      </c>
      <c r="P955" s="3" t="str">
        <f>IF(Q955=0,"TERCEIRO","MRS")</f>
        <v>MRS</v>
      </c>
      <c r="Q955" s="8" t="str">
        <f>IFERROR(VLOOKUP(L955,#REF!,4,0),"0,00")</f>
        <v>0,00</v>
      </c>
      <c r="R955" s="9" t="s">
        <v>30</v>
      </c>
      <c r="S955" s="9">
        <f>COUNTIF(D955,"*_SEG_*")</f>
        <v>1</v>
      </c>
      <c r="T955" s="9">
        <f>COUNTIF(D955,"*_MAN_*")</f>
        <v>0</v>
      </c>
      <c r="U955" s="9">
        <f>(RIGHT(D955,4))*1</f>
        <v>30</v>
      </c>
      <c r="V955" s="9" t="str">
        <f>IFERROR(VLOOKUP(I955,#REF!,2,0),"Sinalização")</f>
        <v>Sinalização</v>
      </c>
    </row>
    <row r="956" spans="1:22" x14ac:dyDescent="0.25">
      <c r="A956" s="3" t="s">
        <v>22</v>
      </c>
      <c r="B956" s="4">
        <v>23510637</v>
      </c>
      <c r="C956" s="5" t="s">
        <v>23</v>
      </c>
      <c r="D956" s="6" t="s">
        <v>831</v>
      </c>
      <c r="E956" s="6" t="s">
        <v>25</v>
      </c>
      <c r="F956" s="11">
        <v>46165</v>
      </c>
      <c r="G956" s="6" t="s">
        <v>1079</v>
      </c>
      <c r="H956" s="7" t="s">
        <v>26</v>
      </c>
      <c r="I956" s="7" t="s">
        <v>761</v>
      </c>
      <c r="J956" s="7" t="s">
        <v>832</v>
      </c>
      <c r="K956" s="7" t="s">
        <v>29</v>
      </c>
      <c r="L956" s="3" t="str">
        <f>E956&amp;D956</f>
        <v>E.SP.IPAEE_INS_SEG_C_I_CIRCUITO VIA CA_1_0030</v>
      </c>
      <c r="M956" s="3" t="str">
        <f>IFERROR(MID(D956,SEARCH("S_I_",D956,1),3),"")</f>
        <v/>
      </c>
      <c r="N956" s="3" t="str">
        <f>IFERROR(MID(D956,SEARCH("C_I_",D956,1),3),"")</f>
        <v>C_I</v>
      </c>
      <c r="O956" s="3" t="str">
        <f>IF(AND(M956="",N956=""),"Extra","")</f>
        <v/>
      </c>
      <c r="P956" s="3" t="str">
        <f>IF(Q956=0,"TERCEIRO","MRS")</f>
        <v>MRS</v>
      </c>
      <c r="Q956" s="8" t="str">
        <f>IFERROR(VLOOKUP(L956,#REF!,4,0),"0,00")</f>
        <v>0,00</v>
      </c>
      <c r="R956" s="9" t="s">
        <v>30</v>
      </c>
      <c r="S956" s="9">
        <f>COUNTIF(D956,"*_SEG_*")</f>
        <v>1</v>
      </c>
      <c r="T956" s="9">
        <f>COUNTIF(D956,"*_MAN_*")</f>
        <v>0</v>
      </c>
      <c r="U956" s="9">
        <f>(RIGHT(D956,4))*1</f>
        <v>30</v>
      </c>
      <c r="V956" s="9" t="str">
        <f>IFERROR(VLOOKUP(I956,#REF!,2,0),"Sinalização")</f>
        <v>Sinalização</v>
      </c>
    </row>
    <row r="957" spans="1:22" x14ac:dyDescent="0.25">
      <c r="A957" s="3" t="s">
        <v>22</v>
      </c>
      <c r="B957" s="4">
        <v>23510638</v>
      </c>
      <c r="C957" s="5" t="s">
        <v>23</v>
      </c>
      <c r="D957" s="6" t="s">
        <v>831</v>
      </c>
      <c r="E957" s="6" t="s">
        <v>25</v>
      </c>
      <c r="F957" s="11">
        <v>46165</v>
      </c>
      <c r="G957" s="6" t="s">
        <v>1079</v>
      </c>
      <c r="H957" s="7" t="s">
        <v>32</v>
      </c>
      <c r="I957" s="7" t="s">
        <v>406</v>
      </c>
      <c r="J957" s="7" t="s">
        <v>832</v>
      </c>
      <c r="K957" s="7" t="s">
        <v>29</v>
      </c>
      <c r="L957" s="3" t="str">
        <f>E957&amp;D957</f>
        <v>E.SP.IPAEE_INS_SEG_C_I_CIRCUITO VIA CA_1_0030</v>
      </c>
      <c r="M957" s="3" t="str">
        <f>IFERROR(MID(D957,SEARCH("S_I_",D957,1),3),"")</f>
        <v/>
      </c>
      <c r="N957" s="3" t="str">
        <f>IFERROR(MID(D957,SEARCH("C_I_",D957,1),3),"")</f>
        <v>C_I</v>
      </c>
      <c r="O957" s="3" t="str">
        <f>IF(AND(M957="",N957=""),"Extra","")</f>
        <v/>
      </c>
      <c r="P957" s="3" t="str">
        <f>IF(Q957=0,"TERCEIRO","MRS")</f>
        <v>MRS</v>
      </c>
      <c r="Q957" s="8" t="str">
        <f>IFERROR(VLOOKUP(L957,#REF!,4,0),"0,00")</f>
        <v>0,00</v>
      </c>
      <c r="R957" s="9" t="s">
        <v>30</v>
      </c>
      <c r="S957" s="9">
        <f>COUNTIF(D957,"*_SEG_*")</f>
        <v>1</v>
      </c>
      <c r="T957" s="9">
        <f>COUNTIF(D957,"*_MAN_*")</f>
        <v>0</v>
      </c>
      <c r="U957" s="9">
        <f>(RIGHT(D957,4))*1</f>
        <v>30</v>
      </c>
      <c r="V957" s="9" t="str">
        <f>IFERROR(VLOOKUP(I957,#REF!,2,0),"Sinalização")</f>
        <v>Sinalização</v>
      </c>
    </row>
    <row r="958" spans="1:22" x14ac:dyDescent="0.25">
      <c r="A958" s="3" t="s">
        <v>22</v>
      </c>
      <c r="B958" s="4">
        <v>23510639</v>
      </c>
      <c r="C958" s="5" t="s">
        <v>23</v>
      </c>
      <c r="D958" s="6" t="s">
        <v>831</v>
      </c>
      <c r="E958" s="6" t="s">
        <v>25</v>
      </c>
      <c r="F958" s="11">
        <v>46165</v>
      </c>
      <c r="G958" s="6" t="s">
        <v>1079</v>
      </c>
      <c r="H958" s="7" t="s">
        <v>32</v>
      </c>
      <c r="I958" s="7" t="s">
        <v>733</v>
      </c>
      <c r="J958" s="7" t="s">
        <v>832</v>
      </c>
      <c r="K958" s="7" t="s">
        <v>29</v>
      </c>
      <c r="L958" s="3" t="str">
        <f>E958&amp;D958</f>
        <v>E.SP.IPAEE_INS_SEG_C_I_CIRCUITO VIA CA_1_0030</v>
      </c>
      <c r="M958" s="3" t="str">
        <f>IFERROR(MID(D958,SEARCH("S_I_",D958,1),3),"")</f>
        <v/>
      </c>
      <c r="N958" s="3" t="str">
        <f>IFERROR(MID(D958,SEARCH("C_I_",D958,1),3),"")</f>
        <v>C_I</v>
      </c>
      <c r="O958" s="3" t="str">
        <f>IF(AND(M958="",N958=""),"Extra","")</f>
        <v/>
      </c>
      <c r="P958" s="3" t="str">
        <f>IF(Q958=0,"TERCEIRO","MRS")</f>
        <v>MRS</v>
      </c>
      <c r="Q958" s="8" t="str">
        <f>IFERROR(VLOOKUP(L958,#REF!,4,0),"0,00")</f>
        <v>0,00</v>
      </c>
      <c r="R958" s="9" t="s">
        <v>30</v>
      </c>
      <c r="S958" s="9">
        <f>COUNTIF(D958,"*_SEG_*")</f>
        <v>1</v>
      </c>
      <c r="T958" s="9">
        <f>COUNTIF(D958,"*_MAN_*")</f>
        <v>0</v>
      </c>
      <c r="U958" s="9">
        <f>(RIGHT(D958,4))*1</f>
        <v>30</v>
      </c>
      <c r="V958" s="9" t="str">
        <f>IFERROR(VLOOKUP(I958,#REF!,2,0),"Sinalização")</f>
        <v>Sinalização</v>
      </c>
    </row>
    <row r="959" spans="1:22" x14ac:dyDescent="0.25">
      <c r="A959" s="3" t="s">
        <v>22</v>
      </c>
      <c r="B959" s="4">
        <v>23510640</v>
      </c>
      <c r="C959" s="5" t="s">
        <v>23</v>
      </c>
      <c r="D959" s="6" t="s">
        <v>831</v>
      </c>
      <c r="E959" s="6" t="s">
        <v>25</v>
      </c>
      <c r="F959" s="11">
        <v>46165</v>
      </c>
      <c r="G959" s="6" t="s">
        <v>1079</v>
      </c>
      <c r="H959" s="7" t="s">
        <v>26</v>
      </c>
      <c r="I959" s="7" t="s">
        <v>740</v>
      </c>
      <c r="J959" s="7" t="s">
        <v>832</v>
      </c>
      <c r="K959" s="7" t="s">
        <v>29</v>
      </c>
      <c r="L959" s="3" t="str">
        <f>E959&amp;D959</f>
        <v>E.SP.IPAEE_INS_SEG_C_I_CIRCUITO VIA CA_1_0030</v>
      </c>
      <c r="M959" s="3" t="str">
        <f>IFERROR(MID(D959,SEARCH("S_I_",D959,1),3),"")</f>
        <v/>
      </c>
      <c r="N959" s="3" t="str">
        <f>IFERROR(MID(D959,SEARCH("C_I_",D959,1),3),"")</f>
        <v>C_I</v>
      </c>
      <c r="O959" s="3" t="str">
        <f>IF(AND(M959="",N959=""),"Extra","")</f>
        <v/>
      </c>
      <c r="P959" s="3" t="str">
        <f>IF(Q959=0,"TERCEIRO","MRS")</f>
        <v>MRS</v>
      </c>
      <c r="Q959" s="8" t="str">
        <f>IFERROR(VLOOKUP(L959,#REF!,4,0),"0,00")</f>
        <v>0,00</v>
      </c>
      <c r="R959" s="9" t="s">
        <v>30</v>
      </c>
      <c r="S959" s="9">
        <f>COUNTIF(D959,"*_SEG_*")</f>
        <v>1</v>
      </c>
      <c r="T959" s="9">
        <f>COUNTIF(D959,"*_MAN_*")</f>
        <v>0</v>
      </c>
      <c r="U959" s="9">
        <f>(RIGHT(D959,4))*1</f>
        <v>30</v>
      </c>
      <c r="V959" s="9" t="str">
        <f>IFERROR(VLOOKUP(I959,#REF!,2,0),"Sinalização")</f>
        <v>Sinalização</v>
      </c>
    </row>
    <row r="960" spans="1:22" x14ac:dyDescent="0.25">
      <c r="A960" s="3" t="s">
        <v>22</v>
      </c>
      <c r="B960" s="4">
        <v>23510641</v>
      </c>
      <c r="C960" s="5" t="s">
        <v>23</v>
      </c>
      <c r="D960" s="6" t="s">
        <v>831</v>
      </c>
      <c r="E960" s="6" t="s">
        <v>25</v>
      </c>
      <c r="F960" s="11">
        <v>46165</v>
      </c>
      <c r="G960" s="6" t="s">
        <v>1079</v>
      </c>
      <c r="H960" s="7" t="s">
        <v>26</v>
      </c>
      <c r="I960" s="7" t="s">
        <v>734</v>
      </c>
      <c r="J960" s="7" t="s">
        <v>832</v>
      </c>
      <c r="K960" s="7" t="s">
        <v>29</v>
      </c>
      <c r="L960" s="3" t="str">
        <f>E960&amp;D960</f>
        <v>E.SP.IPAEE_INS_SEG_C_I_CIRCUITO VIA CA_1_0030</v>
      </c>
      <c r="M960" s="3" t="str">
        <f>IFERROR(MID(D960,SEARCH("S_I_",D960,1),3),"")</f>
        <v/>
      </c>
      <c r="N960" s="3" t="str">
        <f>IFERROR(MID(D960,SEARCH("C_I_",D960,1),3),"")</f>
        <v>C_I</v>
      </c>
      <c r="O960" s="3" t="str">
        <f>IF(AND(M960="",N960=""),"Extra","")</f>
        <v/>
      </c>
      <c r="P960" s="3" t="str">
        <f>IF(Q960=0,"TERCEIRO","MRS")</f>
        <v>MRS</v>
      </c>
      <c r="Q960" s="8" t="str">
        <f>IFERROR(VLOOKUP(L960,#REF!,4,0),"0,00")</f>
        <v>0,00</v>
      </c>
      <c r="R960" s="9" t="s">
        <v>30</v>
      </c>
      <c r="S960" s="9">
        <f>COUNTIF(D960,"*_SEG_*")</f>
        <v>1</v>
      </c>
      <c r="T960" s="9">
        <f>COUNTIF(D960,"*_MAN_*")</f>
        <v>0</v>
      </c>
      <c r="U960" s="9">
        <f>(RIGHT(D960,4))*1</f>
        <v>30</v>
      </c>
      <c r="V960" s="9" t="str">
        <f>IFERROR(VLOOKUP(I960,#REF!,2,0),"Sinalização")</f>
        <v>Sinalização</v>
      </c>
    </row>
    <row r="961" spans="1:22" x14ac:dyDescent="0.25">
      <c r="A961" s="3" t="s">
        <v>22</v>
      </c>
      <c r="B961" s="4">
        <v>23510643</v>
      </c>
      <c r="C961" s="5" t="s">
        <v>23</v>
      </c>
      <c r="D961" s="6" t="s">
        <v>831</v>
      </c>
      <c r="E961" s="6" t="s">
        <v>25</v>
      </c>
      <c r="F961" s="11">
        <v>46165</v>
      </c>
      <c r="G961" s="6" t="s">
        <v>1079</v>
      </c>
      <c r="H961" s="7" t="s">
        <v>32</v>
      </c>
      <c r="I961" s="7" t="s">
        <v>571</v>
      </c>
      <c r="J961" s="7" t="s">
        <v>832</v>
      </c>
      <c r="K961" s="7" t="s">
        <v>29</v>
      </c>
      <c r="L961" s="3" t="str">
        <f>E961&amp;D961</f>
        <v>E.SP.IPAEE_INS_SEG_C_I_CIRCUITO VIA CA_1_0030</v>
      </c>
      <c r="M961" s="3" t="str">
        <f>IFERROR(MID(D961,SEARCH("S_I_",D961,1),3),"")</f>
        <v/>
      </c>
      <c r="N961" s="3" t="str">
        <f>IFERROR(MID(D961,SEARCH("C_I_",D961,1),3),"")</f>
        <v>C_I</v>
      </c>
      <c r="O961" s="3" t="str">
        <f>IF(AND(M961="",N961=""),"Extra","")</f>
        <v/>
      </c>
      <c r="P961" s="3" t="str">
        <f>IF(Q961=0,"TERCEIRO","MRS")</f>
        <v>MRS</v>
      </c>
      <c r="Q961" s="8" t="str">
        <f>IFERROR(VLOOKUP(L961,#REF!,4,0),"0,00")</f>
        <v>0,00</v>
      </c>
      <c r="R961" s="9" t="s">
        <v>30</v>
      </c>
      <c r="S961" s="9">
        <f>COUNTIF(D961,"*_SEG_*")</f>
        <v>1</v>
      </c>
      <c r="T961" s="9">
        <f>COUNTIF(D961,"*_MAN_*")</f>
        <v>0</v>
      </c>
      <c r="U961" s="9">
        <f>(RIGHT(D961,4))*1</f>
        <v>30</v>
      </c>
      <c r="V961" s="9" t="str">
        <f>IFERROR(VLOOKUP(I961,#REF!,2,0),"Sinalização")</f>
        <v>Sinalização</v>
      </c>
    </row>
    <row r="962" spans="1:22" x14ac:dyDescent="0.25">
      <c r="A962" s="3" t="s">
        <v>22</v>
      </c>
      <c r="B962" s="4">
        <v>23510645</v>
      </c>
      <c r="C962" s="5" t="s">
        <v>23</v>
      </c>
      <c r="D962" s="6" t="s">
        <v>831</v>
      </c>
      <c r="E962" s="6" t="s">
        <v>25</v>
      </c>
      <c r="F962" s="11">
        <v>46165</v>
      </c>
      <c r="G962" s="6" t="s">
        <v>1079</v>
      </c>
      <c r="H962" s="7" t="s">
        <v>32</v>
      </c>
      <c r="I962" s="7" t="s">
        <v>760</v>
      </c>
      <c r="J962" s="7" t="s">
        <v>832</v>
      </c>
      <c r="K962" s="7" t="s">
        <v>29</v>
      </c>
      <c r="L962" s="3" t="str">
        <f>E962&amp;D962</f>
        <v>E.SP.IPAEE_INS_SEG_C_I_CIRCUITO VIA CA_1_0030</v>
      </c>
      <c r="M962" s="3" t="str">
        <f>IFERROR(MID(D962,SEARCH("S_I_",D962,1),3),"")</f>
        <v/>
      </c>
      <c r="N962" s="3" t="str">
        <f>IFERROR(MID(D962,SEARCH("C_I_",D962,1),3),"")</f>
        <v>C_I</v>
      </c>
      <c r="O962" s="3" t="str">
        <f>IF(AND(M962="",N962=""),"Extra","")</f>
        <v/>
      </c>
      <c r="P962" s="3" t="str">
        <f>IF(Q962=0,"TERCEIRO","MRS")</f>
        <v>MRS</v>
      </c>
      <c r="Q962" s="8" t="str">
        <f>IFERROR(VLOOKUP(L962,#REF!,4,0),"0,00")</f>
        <v>0,00</v>
      </c>
      <c r="R962" s="9" t="s">
        <v>30</v>
      </c>
      <c r="S962" s="9">
        <f>COUNTIF(D962,"*_SEG_*")</f>
        <v>1</v>
      </c>
      <c r="T962" s="9">
        <f>COUNTIF(D962,"*_MAN_*")</f>
        <v>0</v>
      </c>
      <c r="U962" s="9">
        <f>(RIGHT(D962,4))*1</f>
        <v>30</v>
      </c>
      <c r="V962" s="9" t="str">
        <f>IFERROR(VLOOKUP(I962,#REF!,2,0),"Sinalização")</f>
        <v>Sinalização</v>
      </c>
    </row>
    <row r="963" spans="1:22" x14ac:dyDescent="0.25">
      <c r="A963" s="3" t="s">
        <v>22</v>
      </c>
      <c r="B963" s="4">
        <v>23510646</v>
      </c>
      <c r="C963" s="5" t="s">
        <v>23</v>
      </c>
      <c r="D963" s="6" t="s">
        <v>831</v>
      </c>
      <c r="E963" s="6" t="s">
        <v>25</v>
      </c>
      <c r="F963" s="11">
        <v>46165</v>
      </c>
      <c r="G963" s="6" t="s">
        <v>1079</v>
      </c>
      <c r="H963" s="7" t="s">
        <v>26</v>
      </c>
      <c r="I963" s="7" t="s">
        <v>570</v>
      </c>
      <c r="J963" s="7" t="s">
        <v>832</v>
      </c>
      <c r="K963" s="7" t="s">
        <v>29</v>
      </c>
      <c r="L963" s="3" t="str">
        <f>E963&amp;D963</f>
        <v>E.SP.IPAEE_INS_SEG_C_I_CIRCUITO VIA CA_1_0030</v>
      </c>
      <c r="M963" s="3" t="str">
        <f>IFERROR(MID(D963,SEARCH("S_I_",D963,1),3),"")</f>
        <v/>
      </c>
      <c r="N963" s="3" t="str">
        <f>IFERROR(MID(D963,SEARCH("C_I_",D963,1),3),"")</f>
        <v>C_I</v>
      </c>
      <c r="O963" s="3" t="str">
        <f>IF(AND(M963="",N963=""),"Extra","")</f>
        <v/>
      </c>
      <c r="P963" s="3" t="str">
        <f>IF(Q963=0,"TERCEIRO","MRS")</f>
        <v>MRS</v>
      </c>
      <c r="Q963" s="8" t="str">
        <f>IFERROR(VLOOKUP(L963,#REF!,4,0),"0,00")</f>
        <v>0,00</v>
      </c>
      <c r="R963" s="9" t="s">
        <v>30</v>
      </c>
      <c r="S963" s="9">
        <f>COUNTIF(D963,"*_SEG_*")</f>
        <v>1</v>
      </c>
      <c r="T963" s="9">
        <f>COUNTIF(D963,"*_MAN_*")</f>
        <v>0</v>
      </c>
      <c r="U963" s="9">
        <f>(RIGHT(D963,4))*1</f>
        <v>30</v>
      </c>
      <c r="V963" s="9" t="str">
        <f>IFERROR(VLOOKUP(I963,#REF!,2,0),"Sinalização")</f>
        <v>Sinalização</v>
      </c>
    </row>
    <row r="964" spans="1:22" x14ac:dyDescent="0.25">
      <c r="A964" s="3" t="s">
        <v>22</v>
      </c>
      <c r="B964" s="4">
        <v>23510648</v>
      </c>
      <c r="C964" s="5" t="s">
        <v>23</v>
      </c>
      <c r="D964" s="6" t="s">
        <v>831</v>
      </c>
      <c r="E964" s="6" t="s">
        <v>25</v>
      </c>
      <c r="F964" s="11">
        <v>46165</v>
      </c>
      <c r="G964" s="6" t="s">
        <v>1079</v>
      </c>
      <c r="H964" s="7" t="s">
        <v>26</v>
      </c>
      <c r="I964" s="7" t="s">
        <v>572</v>
      </c>
      <c r="J964" s="7" t="s">
        <v>832</v>
      </c>
      <c r="K964" s="7" t="s">
        <v>29</v>
      </c>
      <c r="L964" s="3" t="str">
        <f>E964&amp;D964</f>
        <v>E.SP.IPAEE_INS_SEG_C_I_CIRCUITO VIA CA_1_0030</v>
      </c>
      <c r="M964" s="3" t="str">
        <f>IFERROR(MID(D964,SEARCH("S_I_",D964,1),3),"")</f>
        <v/>
      </c>
      <c r="N964" s="3" t="str">
        <f>IFERROR(MID(D964,SEARCH("C_I_",D964,1),3),"")</f>
        <v>C_I</v>
      </c>
      <c r="O964" s="3" t="str">
        <f>IF(AND(M964="",N964=""),"Extra","")</f>
        <v/>
      </c>
      <c r="P964" s="3" t="str">
        <f>IF(Q964=0,"TERCEIRO","MRS")</f>
        <v>MRS</v>
      </c>
      <c r="Q964" s="8" t="str">
        <f>IFERROR(VLOOKUP(L964,#REF!,4,0),"0,00")</f>
        <v>0,00</v>
      </c>
      <c r="R964" s="9" t="s">
        <v>30</v>
      </c>
      <c r="S964" s="9">
        <f>COUNTIF(D964,"*_SEG_*")</f>
        <v>1</v>
      </c>
      <c r="T964" s="9">
        <f>COUNTIF(D964,"*_MAN_*")</f>
        <v>0</v>
      </c>
      <c r="U964" s="9">
        <f>(RIGHT(D964,4))*1</f>
        <v>30</v>
      </c>
      <c r="V964" s="9" t="str">
        <f>IFERROR(VLOOKUP(I964,#REF!,2,0),"Sinalização")</f>
        <v>Sinalização</v>
      </c>
    </row>
    <row r="965" spans="1:22" x14ac:dyDescent="0.25">
      <c r="A965" s="3" t="s">
        <v>22</v>
      </c>
      <c r="B965" s="4">
        <v>23510650</v>
      </c>
      <c r="C965" s="5" t="s">
        <v>23</v>
      </c>
      <c r="D965" s="6" t="s">
        <v>831</v>
      </c>
      <c r="E965" s="6" t="s">
        <v>25</v>
      </c>
      <c r="F965" s="11">
        <v>46165</v>
      </c>
      <c r="G965" s="6" t="s">
        <v>1079</v>
      </c>
      <c r="H965" s="7" t="s">
        <v>32</v>
      </c>
      <c r="I965" s="7" t="s">
        <v>341</v>
      </c>
      <c r="J965" s="7" t="s">
        <v>832</v>
      </c>
      <c r="K965" s="7" t="s">
        <v>29</v>
      </c>
      <c r="L965" s="3" t="str">
        <f>E965&amp;D965</f>
        <v>E.SP.IPAEE_INS_SEG_C_I_CIRCUITO VIA CA_1_0030</v>
      </c>
      <c r="M965" s="3" t="str">
        <f>IFERROR(MID(D965,SEARCH("S_I_",D965,1),3),"")</f>
        <v/>
      </c>
      <c r="N965" s="3" t="str">
        <f>IFERROR(MID(D965,SEARCH("C_I_",D965,1),3),"")</f>
        <v>C_I</v>
      </c>
      <c r="O965" s="3" t="str">
        <f>IF(AND(M965="",N965=""),"Extra","")</f>
        <v/>
      </c>
      <c r="P965" s="3" t="str">
        <f>IF(Q965=0,"TERCEIRO","MRS")</f>
        <v>MRS</v>
      </c>
      <c r="Q965" s="8" t="str">
        <f>IFERROR(VLOOKUP(L965,#REF!,4,0),"0,00")</f>
        <v>0,00</v>
      </c>
      <c r="R965" s="9" t="s">
        <v>30</v>
      </c>
      <c r="S965" s="9">
        <f>COUNTIF(D965,"*_SEG_*")</f>
        <v>1</v>
      </c>
      <c r="T965" s="9">
        <f>COUNTIF(D965,"*_MAN_*")</f>
        <v>0</v>
      </c>
      <c r="U965" s="9">
        <f>(RIGHT(D965,4))*1</f>
        <v>30</v>
      </c>
      <c r="V965" s="9" t="str">
        <f>IFERROR(VLOOKUP(I965,#REF!,2,0),"Sinalização")</f>
        <v>Sinalização</v>
      </c>
    </row>
    <row r="966" spans="1:22" x14ac:dyDescent="0.25">
      <c r="A966" s="3" t="s">
        <v>22</v>
      </c>
      <c r="B966" s="4">
        <v>23510652</v>
      </c>
      <c r="C966" s="5" t="s">
        <v>23</v>
      </c>
      <c r="D966" s="6" t="s">
        <v>831</v>
      </c>
      <c r="E966" s="6" t="s">
        <v>25</v>
      </c>
      <c r="F966" s="11">
        <v>46165</v>
      </c>
      <c r="G966" s="6" t="s">
        <v>1079</v>
      </c>
      <c r="H966" s="7" t="s">
        <v>32</v>
      </c>
      <c r="I966" s="7" t="s">
        <v>767</v>
      </c>
      <c r="J966" s="7" t="s">
        <v>832</v>
      </c>
      <c r="K966" s="7" t="s">
        <v>29</v>
      </c>
      <c r="L966" s="3" t="str">
        <f>E966&amp;D966</f>
        <v>E.SP.IPAEE_INS_SEG_C_I_CIRCUITO VIA CA_1_0030</v>
      </c>
      <c r="M966" s="3" t="str">
        <f>IFERROR(MID(D966,SEARCH("S_I_",D966,1),3),"")</f>
        <v/>
      </c>
      <c r="N966" s="3" t="str">
        <f>IFERROR(MID(D966,SEARCH("C_I_",D966,1),3),"")</f>
        <v>C_I</v>
      </c>
      <c r="O966" s="3" t="str">
        <f>IF(AND(M966="",N966=""),"Extra","")</f>
        <v/>
      </c>
      <c r="P966" s="3" t="str">
        <f>IF(Q966=0,"TERCEIRO","MRS")</f>
        <v>MRS</v>
      </c>
      <c r="Q966" s="8" t="str">
        <f>IFERROR(VLOOKUP(L966,#REF!,4,0),"0,00")</f>
        <v>0,00</v>
      </c>
      <c r="R966" s="9" t="s">
        <v>30</v>
      </c>
      <c r="S966" s="9">
        <f>COUNTIF(D966,"*_SEG_*")</f>
        <v>1</v>
      </c>
      <c r="T966" s="9">
        <f>COUNTIF(D966,"*_MAN_*")</f>
        <v>0</v>
      </c>
      <c r="U966" s="9">
        <f>(RIGHT(D966,4))*1</f>
        <v>30</v>
      </c>
      <c r="V966" s="9" t="str">
        <f>IFERROR(VLOOKUP(I966,#REF!,2,0),"Sinalização")</f>
        <v>Sinalização</v>
      </c>
    </row>
    <row r="967" spans="1:22" x14ac:dyDescent="0.25">
      <c r="A967" s="3" t="s">
        <v>22</v>
      </c>
      <c r="B967" s="4">
        <v>23510666</v>
      </c>
      <c r="C967" s="5" t="s">
        <v>23</v>
      </c>
      <c r="D967" s="6" t="s">
        <v>833</v>
      </c>
      <c r="E967" s="6" t="s">
        <v>25</v>
      </c>
      <c r="F967" s="11">
        <v>46165</v>
      </c>
      <c r="G967" s="6" t="s">
        <v>1079</v>
      </c>
      <c r="H967" s="7" t="s">
        <v>26</v>
      </c>
      <c r="I967" s="7" t="s">
        <v>483</v>
      </c>
      <c r="J967" s="7" t="s">
        <v>834</v>
      </c>
      <c r="K967" s="7" t="s">
        <v>29</v>
      </c>
      <c r="L967" s="3" t="str">
        <f>E967&amp;D967</f>
        <v>E.SP.IPAEE_INS_CONF_S_I_MCH 110V GRS 55BR R_0030</v>
      </c>
      <c r="M967" s="3" t="str">
        <f>IFERROR(MID(D967,SEARCH("S_I_",D967,1),3),"")</f>
        <v>S_I</v>
      </c>
      <c r="N967" s="3" t="str">
        <f>IFERROR(MID(D967,SEARCH("C_I_",D967,1),3),"")</f>
        <v/>
      </c>
      <c r="O967" s="3" t="str">
        <f>IF(AND(M967="",N967=""),"Extra","")</f>
        <v/>
      </c>
      <c r="P967" s="3" t="str">
        <f>IF(Q967=0,"TERCEIRO","MRS")</f>
        <v>MRS</v>
      </c>
      <c r="Q967" s="8" t="str">
        <f>IFERROR(VLOOKUP(L967,#REF!,4,0),"0,00")</f>
        <v>0,00</v>
      </c>
      <c r="R967" s="9" t="s">
        <v>57</v>
      </c>
      <c r="S967" s="9">
        <f>COUNTIF(D967,"*_SEG_*")</f>
        <v>0</v>
      </c>
      <c r="T967" s="9">
        <f>COUNTIF(D967,"*_MAN_*")</f>
        <v>0</v>
      </c>
      <c r="U967" s="9">
        <f>(RIGHT(D967,4))*1</f>
        <v>30</v>
      </c>
      <c r="V967" s="9" t="str">
        <f>IFERROR(VLOOKUP(I967,#REF!,2,0),"Sinalização")</f>
        <v>Sinalização</v>
      </c>
    </row>
    <row r="968" spans="1:22" x14ac:dyDescent="0.25">
      <c r="A968" s="3" t="s">
        <v>22</v>
      </c>
      <c r="B968" s="4">
        <v>23510667</v>
      </c>
      <c r="C968" s="5" t="s">
        <v>23</v>
      </c>
      <c r="D968" s="6" t="s">
        <v>833</v>
      </c>
      <c r="E968" s="6" t="s">
        <v>25</v>
      </c>
      <c r="F968" s="11">
        <v>46165</v>
      </c>
      <c r="G968" s="6" t="s">
        <v>1079</v>
      </c>
      <c r="H968" s="7" t="s">
        <v>26</v>
      </c>
      <c r="I968" s="7" t="s">
        <v>599</v>
      </c>
      <c r="J968" s="7" t="s">
        <v>834</v>
      </c>
      <c r="K968" s="7" t="s">
        <v>29</v>
      </c>
      <c r="L968" s="3" t="str">
        <f>E968&amp;D968</f>
        <v>E.SP.IPAEE_INS_CONF_S_I_MCH 110V GRS 55BR R_0030</v>
      </c>
      <c r="M968" s="3" t="str">
        <f>IFERROR(MID(D968,SEARCH("S_I_",D968,1),3),"")</f>
        <v>S_I</v>
      </c>
      <c r="N968" s="3" t="str">
        <f>IFERROR(MID(D968,SEARCH("C_I_",D968,1),3),"")</f>
        <v/>
      </c>
      <c r="O968" s="3" t="str">
        <f>IF(AND(M968="",N968=""),"Extra","")</f>
        <v/>
      </c>
      <c r="P968" s="3" t="str">
        <f>IF(Q968=0,"TERCEIRO","MRS")</f>
        <v>MRS</v>
      </c>
      <c r="Q968" s="8" t="str">
        <f>IFERROR(VLOOKUP(L968,#REF!,4,0),"0,00")</f>
        <v>0,00</v>
      </c>
      <c r="R968" s="9" t="s">
        <v>57</v>
      </c>
      <c r="S968" s="9">
        <f>COUNTIF(D968,"*_SEG_*")</f>
        <v>0</v>
      </c>
      <c r="T968" s="9">
        <f>COUNTIF(D968,"*_MAN_*")</f>
        <v>0</v>
      </c>
      <c r="U968" s="9">
        <f>(RIGHT(D968,4))*1</f>
        <v>30</v>
      </c>
      <c r="V968" s="9" t="str">
        <f>IFERROR(VLOOKUP(I968,#REF!,2,0),"Sinalização")</f>
        <v>Sinalização</v>
      </c>
    </row>
    <row r="969" spans="1:22" x14ac:dyDescent="0.25">
      <c r="A969" s="3" t="s">
        <v>22</v>
      </c>
      <c r="B969" s="4">
        <v>23510668</v>
      </c>
      <c r="C969" s="5" t="s">
        <v>23</v>
      </c>
      <c r="D969" s="6" t="s">
        <v>833</v>
      </c>
      <c r="E969" s="6" t="s">
        <v>25</v>
      </c>
      <c r="F969" s="11">
        <v>46165</v>
      </c>
      <c r="G969" s="6" t="s">
        <v>1079</v>
      </c>
      <c r="H969" s="7" t="s">
        <v>32</v>
      </c>
      <c r="I969" s="7" t="s">
        <v>456</v>
      </c>
      <c r="J969" s="7" t="s">
        <v>834</v>
      </c>
      <c r="K969" s="7" t="s">
        <v>29</v>
      </c>
      <c r="L969" s="3" t="str">
        <f>E969&amp;D969</f>
        <v>E.SP.IPAEE_INS_CONF_S_I_MCH 110V GRS 55BR R_0030</v>
      </c>
      <c r="M969" s="3" t="str">
        <f>IFERROR(MID(D969,SEARCH("S_I_",D969,1),3),"")</f>
        <v>S_I</v>
      </c>
      <c r="N969" s="3" t="str">
        <f>IFERROR(MID(D969,SEARCH("C_I_",D969,1),3),"")</f>
        <v/>
      </c>
      <c r="O969" s="3" t="str">
        <f>IF(AND(M969="",N969=""),"Extra","")</f>
        <v/>
      </c>
      <c r="P969" s="3" t="str">
        <f>IF(Q969=0,"TERCEIRO","MRS")</f>
        <v>MRS</v>
      </c>
      <c r="Q969" s="8" t="str">
        <f>IFERROR(VLOOKUP(L969,#REF!,4,0),"0,00")</f>
        <v>0,00</v>
      </c>
      <c r="R969" s="9" t="s">
        <v>57</v>
      </c>
      <c r="S969" s="9">
        <f>COUNTIF(D969,"*_SEG_*")</f>
        <v>0</v>
      </c>
      <c r="T969" s="9">
        <f>COUNTIF(D969,"*_MAN_*")</f>
        <v>0</v>
      </c>
      <c r="U969" s="9">
        <f>(RIGHT(D969,4))*1</f>
        <v>30</v>
      </c>
      <c r="V969" s="9" t="str">
        <f>IFERROR(VLOOKUP(I969,#REF!,2,0),"Sinalização")</f>
        <v>Sinalização</v>
      </c>
    </row>
    <row r="970" spans="1:22" x14ac:dyDescent="0.25">
      <c r="A970" s="3" t="s">
        <v>22</v>
      </c>
      <c r="B970" s="4">
        <v>23510669</v>
      </c>
      <c r="C970" s="5" t="s">
        <v>23</v>
      </c>
      <c r="D970" s="6" t="s">
        <v>833</v>
      </c>
      <c r="E970" s="6" t="s">
        <v>25</v>
      </c>
      <c r="F970" s="11">
        <v>46165</v>
      </c>
      <c r="G970" s="6" t="s">
        <v>1079</v>
      </c>
      <c r="H970" s="7" t="s">
        <v>32</v>
      </c>
      <c r="I970" s="7" t="s">
        <v>446</v>
      </c>
      <c r="J970" s="7" t="s">
        <v>834</v>
      </c>
      <c r="K970" s="7" t="s">
        <v>29</v>
      </c>
      <c r="L970" s="3" t="str">
        <f>E970&amp;D970</f>
        <v>E.SP.IPAEE_INS_CONF_S_I_MCH 110V GRS 55BR R_0030</v>
      </c>
      <c r="M970" s="3" t="str">
        <f>IFERROR(MID(D970,SEARCH("S_I_",D970,1),3),"")</f>
        <v>S_I</v>
      </c>
      <c r="N970" s="3" t="str">
        <f>IFERROR(MID(D970,SEARCH("C_I_",D970,1),3),"")</f>
        <v/>
      </c>
      <c r="O970" s="3" t="str">
        <f>IF(AND(M970="",N970=""),"Extra","")</f>
        <v/>
      </c>
      <c r="P970" s="3" t="str">
        <f>IF(Q970=0,"TERCEIRO","MRS")</f>
        <v>MRS</v>
      </c>
      <c r="Q970" s="8" t="str">
        <f>IFERROR(VLOOKUP(L970,#REF!,4,0),"0,00")</f>
        <v>0,00</v>
      </c>
      <c r="R970" s="9" t="s">
        <v>57</v>
      </c>
      <c r="S970" s="9">
        <f>COUNTIF(D970,"*_SEG_*")</f>
        <v>0</v>
      </c>
      <c r="T970" s="9">
        <f>COUNTIF(D970,"*_MAN_*")</f>
        <v>0</v>
      </c>
      <c r="U970" s="9">
        <f>(RIGHT(D970,4))*1</f>
        <v>30</v>
      </c>
      <c r="V970" s="9" t="str">
        <f>IFERROR(VLOOKUP(I970,#REF!,2,0),"Sinalização")</f>
        <v>Sinalização</v>
      </c>
    </row>
    <row r="971" spans="1:22" x14ac:dyDescent="0.25">
      <c r="A971" s="3" t="s">
        <v>22</v>
      </c>
      <c r="B971" s="4">
        <v>23510670</v>
      </c>
      <c r="C971" s="5" t="s">
        <v>23</v>
      </c>
      <c r="D971" s="6" t="s">
        <v>833</v>
      </c>
      <c r="E971" s="6" t="s">
        <v>25</v>
      </c>
      <c r="F971" s="11">
        <v>46165</v>
      </c>
      <c r="G971" s="6" t="s">
        <v>1079</v>
      </c>
      <c r="H971" s="7" t="s">
        <v>26</v>
      </c>
      <c r="I971" s="7" t="s">
        <v>419</v>
      </c>
      <c r="J971" s="7" t="s">
        <v>834</v>
      </c>
      <c r="K971" s="7" t="s">
        <v>29</v>
      </c>
      <c r="L971" s="3" t="str">
        <f>E971&amp;D971</f>
        <v>E.SP.IPAEE_INS_CONF_S_I_MCH 110V GRS 55BR R_0030</v>
      </c>
      <c r="M971" s="3" t="str">
        <f>IFERROR(MID(D971,SEARCH("S_I_",D971,1),3),"")</f>
        <v>S_I</v>
      </c>
      <c r="N971" s="3" t="str">
        <f>IFERROR(MID(D971,SEARCH("C_I_",D971,1),3),"")</f>
        <v/>
      </c>
      <c r="O971" s="3" t="str">
        <f>IF(AND(M971="",N971=""),"Extra","")</f>
        <v/>
      </c>
      <c r="P971" s="3" t="str">
        <f>IF(Q971=0,"TERCEIRO","MRS")</f>
        <v>MRS</v>
      </c>
      <c r="Q971" s="8" t="str">
        <f>IFERROR(VLOOKUP(L971,#REF!,4,0),"0,00")</f>
        <v>0,00</v>
      </c>
      <c r="R971" s="9" t="s">
        <v>57</v>
      </c>
      <c r="S971" s="9">
        <f>COUNTIF(D971,"*_SEG_*")</f>
        <v>0</v>
      </c>
      <c r="T971" s="9">
        <f>COUNTIF(D971,"*_MAN_*")</f>
        <v>0</v>
      </c>
      <c r="U971" s="9">
        <f>(RIGHT(D971,4))*1</f>
        <v>30</v>
      </c>
      <c r="V971" s="9" t="str">
        <f>IFERROR(VLOOKUP(I971,#REF!,2,0),"Sinalização")</f>
        <v>Sinalização</v>
      </c>
    </row>
    <row r="972" spans="1:22" x14ac:dyDescent="0.25">
      <c r="A972" s="3" t="s">
        <v>22</v>
      </c>
      <c r="B972" s="4">
        <v>23510671</v>
      </c>
      <c r="C972" s="5" t="s">
        <v>23</v>
      </c>
      <c r="D972" s="6" t="s">
        <v>833</v>
      </c>
      <c r="E972" s="6" t="s">
        <v>25</v>
      </c>
      <c r="F972" s="11">
        <v>46165</v>
      </c>
      <c r="G972" s="6" t="s">
        <v>1079</v>
      </c>
      <c r="H972" s="7" t="s">
        <v>26</v>
      </c>
      <c r="I972" s="7" t="s">
        <v>390</v>
      </c>
      <c r="J972" s="7" t="s">
        <v>834</v>
      </c>
      <c r="K972" s="7" t="s">
        <v>29</v>
      </c>
      <c r="L972" s="3" t="str">
        <f>E972&amp;D972</f>
        <v>E.SP.IPAEE_INS_CONF_S_I_MCH 110V GRS 55BR R_0030</v>
      </c>
      <c r="M972" s="3" t="str">
        <f>IFERROR(MID(D972,SEARCH("S_I_",D972,1),3),"")</f>
        <v>S_I</v>
      </c>
      <c r="N972" s="3" t="str">
        <f>IFERROR(MID(D972,SEARCH("C_I_",D972,1),3),"")</f>
        <v/>
      </c>
      <c r="O972" s="3" t="str">
        <f>IF(AND(M972="",N972=""),"Extra","")</f>
        <v/>
      </c>
      <c r="P972" s="3" t="str">
        <f>IF(Q972=0,"TERCEIRO","MRS")</f>
        <v>MRS</v>
      </c>
      <c r="Q972" s="8" t="str">
        <f>IFERROR(VLOOKUP(L972,#REF!,4,0),"0,00")</f>
        <v>0,00</v>
      </c>
      <c r="R972" s="9" t="s">
        <v>57</v>
      </c>
      <c r="S972" s="9">
        <f>COUNTIF(D972,"*_SEG_*")</f>
        <v>0</v>
      </c>
      <c r="T972" s="9">
        <f>COUNTIF(D972,"*_MAN_*")</f>
        <v>0</v>
      </c>
      <c r="U972" s="9">
        <f>(RIGHT(D972,4))*1</f>
        <v>30</v>
      </c>
      <c r="V972" s="9" t="str">
        <f>IFERROR(VLOOKUP(I972,#REF!,2,0),"Sinalização")</f>
        <v>Sinalização</v>
      </c>
    </row>
    <row r="973" spans="1:22" x14ac:dyDescent="0.25">
      <c r="A973" s="3" t="s">
        <v>22</v>
      </c>
      <c r="B973" s="4">
        <v>23510672</v>
      </c>
      <c r="C973" s="5" t="s">
        <v>23</v>
      </c>
      <c r="D973" s="6" t="s">
        <v>833</v>
      </c>
      <c r="E973" s="6" t="s">
        <v>25</v>
      </c>
      <c r="F973" s="11">
        <v>46165</v>
      </c>
      <c r="G973" s="6" t="s">
        <v>1079</v>
      </c>
      <c r="H973" s="7" t="s">
        <v>32</v>
      </c>
      <c r="I973" s="7" t="s">
        <v>418</v>
      </c>
      <c r="J973" s="7" t="s">
        <v>834</v>
      </c>
      <c r="K973" s="7" t="s">
        <v>29</v>
      </c>
      <c r="L973" s="3" t="str">
        <f>E973&amp;D973</f>
        <v>E.SP.IPAEE_INS_CONF_S_I_MCH 110V GRS 55BR R_0030</v>
      </c>
      <c r="M973" s="3" t="str">
        <f>IFERROR(MID(D973,SEARCH("S_I_",D973,1),3),"")</f>
        <v>S_I</v>
      </c>
      <c r="N973" s="3" t="str">
        <f>IFERROR(MID(D973,SEARCH("C_I_",D973,1),3),"")</f>
        <v/>
      </c>
      <c r="O973" s="3" t="str">
        <f>IF(AND(M973="",N973=""),"Extra","")</f>
        <v/>
      </c>
      <c r="P973" s="3" t="str">
        <f>IF(Q973=0,"TERCEIRO","MRS")</f>
        <v>MRS</v>
      </c>
      <c r="Q973" s="8" t="str">
        <f>IFERROR(VLOOKUP(L973,#REF!,4,0),"0,00")</f>
        <v>0,00</v>
      </c>
      <c r="R973" s="9" t="s">
        <v>57</v>
      </c>
      <c r="S973" s="9">
        <f>COUNTIF(D973,"*_SEG_*")</f>
        <v>0</v>
      </c>
      <c r="T973" s="9">
        <f>COUNTIF(D973,"*_MAN_*")</f>
        <v>0</v>
      </c>
      <c r="U973" s="9">
        <f>(RIGHT(D973,4))*1</f>
        <v>30</v>
      </c>
      <c r="V973" s="9" t="str">
        <f>IFERROR(VLOOKUP(I973,#REF!,2,0),"Sinalização")</f>
        <v>Sinalização</v>
      </c>
    </row>
    <row r="974" spans="1:22" x14ac:dyDescent="0.25">
      <c r="A974" s="3" t="s">
        <v>22</v>
      </c>
      <c r="B974" s="4">
        <v>23510673</v>
      </c>
      <c r="C974" s="5" t="s">
        <v>23</v>
      </c>
      <c r="D974" s="6" t="s">
        <v>833</v>
      </c>
      <c r="E974" s="6" t="s">
        <v>25</v>
      </c>
      <c r="F974" s="11">
        <v>46165</v>
      </c>
      <c r="G974" s="6" t="s">
        <v>1079</v>
      </c>
      <c r="H974" s="7" t="s">
        <v>32</v>
      </c>
      <c r="I974" s="7" t="s">
        <v>479</v>
      </c>
      <c r="J974" s="7" t="s">
        <v>834</v>
      </c>
      <c r="K974" s="7" t="s">
        <v>29</v>
      </c>
      <c r="L974" s="3" t="str">
        <f>E974&amp;D974</f>
        <v>E.SP.IPAEE_INS_CONF_S_I_MCH 110V GRS 55BR R_0030</v>
      </c>
      <c r="M974" s="3" t="str">
        <f>IFERROR(MID(D974,SEARCH("S_I_",D974,1),3),"")</f>
        <v>S_I</v>
      </c>
      <c r="N974" s="3" t="str">
        <f>IFERROR(MID(D974,SEARCH("C_I_",D974,1),3),"")</f>
        <v/>
      </c>
      <c r="O974" s="3" t="str">
        <f>IF(AND(M974="",N974=""),"Extra","")</f>
        <v/>
      </c>
      <c r="P974" s="3" t="str">
        <f>IF(Q974=0,"TERCEIRO","MRS")</f>
        <v>MRS</v>
      </c>
      <c r="Q974" s="8" t="str">
        <f>IFERROR(VLOOKUP(L974,#REF!,4,0),"0,00")</f>
        <v>0,00</v>
      </c>
      <c r="R974" s="9" t="s">
        <v>57</v>
      </c>
      <c r="S974" s="9">
        <f>COUNTIF(D974,"*_SEG_*")</f>
        <v>0</v>
      </c>
      <c r="T974" s="9">
        <f>COUNTIF(D974,"*_MAN_*")</f>
        <v>0</v>
      </c>
      <c r="U974" s="9">
        <f>(RIGHT(D974,4))*1</f>
        <v>30</v>
      </c>
      <c r="V974" s="9" t="str">
        <f>IFERROR(VLOOKUP(I974,#REF!,2,0),"Sinalização")</f>
        <v>Sinalização</v>
      </c>
    </row>
    <row r="975" spans="1:22" x14ac:dyDescent="0.25">
      <c r="A975" s="3" t="s">
        <v>22</v>
      </c>
      <c r="B975" s="4">
        <v>23510674</v>
      </c>
      <c r="C975" s="5" t="s">
        <v>23</v>
      </c>
      <c r="D975" s="6" t="s">
        <v>833</v>
      </c>
      <c r="E975" s="6" t="s">
        <v>25</v>
      </c>
      <c r="F975" s="11">
        <v>46165</v>
      </c>
      <c r="G975" s="6" t="s">
        <v>1079</v>
      </c>
      <c r="H975" s="7" t="s">
        <v>26</v>
      </c>
      <c r="I975" s="7" t="s">
        <v>480</v>
      </c>
      <c r="J975" s="7" t="s">
        <v>834</v>
      </c>
      <c r="K975" s="7" t="s">
        <v>29</v>
      </c>
      <c r="L975" s="3" t="str">
        <f>E975&amp;D975</f>
        <v>E.SP.IPAEE_INS_CONF_S_I_MCH 110V GRS 55BR R_0030</v>
      </c>
      <c r="M975" s="3" t="str">
        <f>IFERROR(MID(D975,SEARCH("S_I_",D975,1),3),"")</f>
        <v>S_I</v>
      </c>
      <c r="N975" s="3" t="str">
        <f>IFERROR(MID(D975,SEARCH("C_I_",D975,1),3),"")</f>
        <v/>
      </c>
      <c r="O975" s="3" t="str">
        <f>IF(AND(M975="",N975=""),"Extra","")</f>
        <v/>
      </c>
      <c r="P975" s="3" t="str">
        <f>IF(Q975=0,"TERCEIRO","MRS")</f>
        <v>MRS</v>
      </c>
      <c r="Q975" s="8" t="str">
        <f>IFERROR(VLOOKUP(L975,#REF!,4,0),"0,00")</f>
        <v>0,00</v>
      </c>
      <c r="R975" s="9" t="s">
        <v>57</v>
      </c>
      <c r="S975" s="9">
        <f>COUNTIF(D975,"*_SEG_*")</f>
        <v>0</v>
      </c>
      <c r="T975" s="9">
        <f>COUNTIF(D975,"*_MAN_*")</f>
        <v>0</v>
      </c>
      <c r="U975" s="9">
        <f>(RIGHT(D975,4))*1</f>
        <v>30</v>
      </c>
      <c r="V975" s="9" t="str">
        <f>IFERROR(VLOOKUP(I975,#REF!,2,0),"Sinalização")</f>
        <v>Sinalização</v>
      </c>
    </row>
    <row r="976" spans="1:22" x14ac:dyDescent="0.25">
      <c r="A976" s="3" t="s">
        <v>22</v>
      </c>
      <c r="B976" s="4">
        <v>23510675</v>
      </c>
      <c r="C976" s="5" t="s">
        <v>23</v>
      </c>
      <c r="D976" s="6" t="s">
        <v>833</v>
      </c>
      <c r="E976" s="6" t="s">
        <v>25</v>
      </c>
      <c r="F976" s="11">
        <v>46165</v>
      </c>
      <c r="G976" s="6" t="s">
        <v>1079</v>
      </c>
      <c r="H976" s="7" t="s">
        <v>26</v>
      </c>
      <c r="I976" s="7" t="s">
        <v>481</v>
      </c>
      <c r="J976" s="7" t="s">
        <v>834</v>
      </c>
      <c r="K976" s="7" t="s">
        <v>29</v>
      </c>
      <c r="L976" s="3" t="str">
        <f>E976&amp;D976</f>
        <v>E.SP.IPAEE_INS_CONF_S_I_MCH 110V GRS 55BR R_0030</v>
      </c>
      <c r="M976" s="3" t="str">
        <f>IFERROR(MID(D976,SEARCH("S_I_",D976,1),3),"")</f>
        <v>S_I</v>
      </c>
      <c r="N976" s="3" t="str">
        <f>IFERROR(MID(D976,SEARCH("C_I_",D976,1),3),"")</f>
        <v/>
      </c>
      <c r="O976" s="3" t="str">
        <f>IF(AND(M976="",N976=""),"Extra","")</f>
        <v/>
      </c>
      <c r="P976" s="3" t="str">
        <f>IF(Q976=0,"TERCEIRO","MRS")</f>
        <v>MRS</v>
      </c>
      <c r="Q976" s="8" t="str">
        <f>IFERROR(VLOOKUP(L976,#REF!,4,0),"0,00")</f>
        <v>0,00</v>
      </c>
      <c r="R976" s="9" t="s">
        <v>57</v>
      </c>
      <c r="S976" s="9">
        <f>COUNTIF(D976,"*_SEG_*")</f>
        <v>0</v>
      </c>
      <c r="T976" s="9">
        <f>COUNTIF(D976,"*_MAN_*")</f>
        <v>0</v>
      </c>
      <c r="U976" s="9">
        <f>(RIGHT(D976,4))*1</f>
        <v>30</v>
      </c>
      <c r="V976" s="9" t="str">
        <f>IFERROR(VLOOKUP(I976,#REF!,2,0),"Sinalização")</f>
        <v>Sinalização</v>
      </c>
    </row>
    <row r="977" spans="1:22" x14ac:dyDescent="0.25">
      <c r="A977" s="3" t="s">
        <v>22</v>
      </c>
      <c r="B977" s="4">
        <v>23510676</v>
      </c>
      <c r="C977" s="5" t="s">
        <v>23</v>
      </c>
      <c r="D977" s="6" t="s">
        <v>833</v>
      </c>
      <c r="E977" s="6" t="s">
        <v>25</v>
      </c>
      <c r="F977" s="11">
        <v>46165</v>
      </c>
      <c r="G977" s="6" t="s">
        <v>1079</v>
      </c>
      <c r="H977" s="7" t="s">
        <v>32</v>
      </c>
      <c r="I977" s="7" t="s">
        <v>482</v>
      </c>
      <c r="J977" s="7" t="s">
        <v>834</v>
      </c>
      <c r="K977" s="7" t="s">
        <v>29</v>
      </c>
      <c r="L977" s="3" t="str">
        <f>E977&amp;D977</f>
        <v>E.SP.IPAEE_INS_CONF_S_I_MCH 110V GRS 55BR R_0030</v>
      </c>
      <c r="M977" s="3" t="str">
        <f>IFERROR(MID(D977,SEARCH("S_I_",D977,1),3),"")</f>
        <v>S_I</v>
      </c>
      <c r="N977" s="3" t="str">
        <f>IFERROR(MID(D977,SEARCH("C_I_",D977,1),3),"")</f>
        <v/>
      </c>
      <c r="O977" s="3" t="str">
        <f>IF(AND(M977="",N977=""),"Extra","")</f>
        <v/>
      </c>
      <c r="P977" s="3" t="str">
        <f>IF(Q977=0,"TERCEIRO","MRS")</f>
        <v>MRS</v>
      </c>
      <c r="Q977" s="8" t="str">
        <f>IFERROR(VLOOKUP(L977,#REF!,4,0),"0,00")</f>
        <v>0,00</v>
      </c>
      <c r="R977" s="9" t="s">
        <v>57</v>
      </c>
      <c r="S977" s="9">
        <f>COUNTIF(D977,"*_SEG_*")</f>
        <v>0</v>
      </c>
      <c r="T977" s="9">
        <f>COUNTIF(D977,"*_MAN_*")</f>
        <v>0</v>
      </c>
      <c r="U977" s="9">
        <f>(RIGHT(D977,4))*1</f>
        <v>30</v>
      </c>
      <c r="V977" s="9" t="str">
        <f>IFERROR(VLOOKUP(I977,#REF!,2,0),"Sinalização")</f>
        <v>Sinalização</v>
      </c>
    </row>
    <row r="978" spans="1:22" x14ac:dyDescent="0.25">
      <c r="A978" s="3" t="s">
        <v>22</v>
      </c>
      <c r="B978" s="4">
        <v>23510699</v>
      </c>
      <c r="C978" s="5" t="s">
        <v>23</v>
      </c>
      <c r="D978" s="6" t="s">
        <v>1000</v>
      </c>
      <c r="E978" s="6" t="s">
        <v>25</v>
      </c>
      <c r="F978" s="11">
        <v>46165</v>
      </c>
      <c r="G978" s="6" t="s">
        <v>1079</v>
      </c>
      <c r="H978" s="7" t="s">
        <v>32</v>
      </c>
      <c r="I978" s="7" t="s">
        <v>1001</v>
      </c>
      <c r="J978" s="7" t="s">
        <v>1002</v>
      </c>
      <c r="K978" s="7" t="s">
        <v>29</v>
      </c>
      <c r="L978" s="3" t="str">
        <f>E978&amp;D978</f>
        <v>E.SP.IPAEE_INS_CONF_S_I_SINAL LUMINOSO PN_0030</v>
      </c>
      <c r="M978" s="3" t="str">
        <f>IFERROR(MID(D978,SEARCH("S_I_",D978,1),3),"")</f>
        <v>S_I</v>
      </c>
      <c r="N978" s="3" t="str">
        <f>IFERROR(MID(D978,SEARCH("C_I_",D978,1),3),"")</f>
        <v/>
      </c>
      <c r="O978" s="3" t="str">
        <f>IF(AND(M978="",N978=""),"Extra","")</f>
        <v/>
      </c>
      <c r="P978" s="3" t="str">
        <f>IF(Q978=0,"TERCEIRO","MRS")</f>
        <v>MRS</v>
      </c>
      <c r="Q978" s="8" t="str">
        <f>IFERROR(VLOOKUP(L978,#REF!,4,0),"0,00")</f>
        <v>0,00</v>
      </c>
      <c r="R978" s="9" t="s">
        <v>57</v>
      </c>
      <c r="S978" s="9">
        <f>COUNTIF(D978,"*_SEG_*")</f>
        <v>0</v>
      </c>
      <c r="T978" s="9">
        <f>COUNTIF(D978,"*_MAN_*")</f>
        <v>0</v>
      </c>
      <c r="U978" s="9">
        <f>(RIGHT(D978,4))*1</f>
        <v>30</v>
      </c>
      <c r="V978" s="9" t="str">
        <f>IFERROR(VLOOKUP(I978,#REF!,2,0),"Sinalização")</f>
        <v>Sinalização</v>
      </c>
    </row>
    <row r="979" spans="1:22" x14ac:dyDescent="0.25">
      <c r="A979" s="3" t="s">
        <v>22</v>
      </c>
      <c r="B979" s="4">
        <v>23510700</v>
      </c>
      <c r="C979" s="5" t="s">
        <v>23</v>
      </c>
      <c r="D979" s="6" t="s">
        <v>1000</v>
      </c>
      <c r="E979" s="6" t="s">
        <v>25</v>
      </c>
      <c r="F979" s="11">
        <v>46165</v>
      </c>
      <c r="G979" s="6" t="s">
        <v>1079</v>
      </c>
      <c r="H979" s="7" t="s">
        <v>26</v>
      </c>
      <c r="I979" s="7" t="s">
        <v>1003</v>
      </c>
      <c r="J979" s="7" t="s">
        <v>1002</v>
      </c>
      <c r="K979" s="7" t="s">
        <v>29</v>
      </c>
      <c r="L979" s="3" t="str">
        <f>E979&amp;D979</f>
        <v>E.SP.IPAEE_INS_CONF_S_I_SINAL LUMINOSO PN_0030</v>
      </c>
      <c r="M979" s="3" t="str">
        <f>IFERROR(MID(D979,SEARCH("S_I_",D979,1),3),"")</f>
        <v>S_I</v>
      </c>
      <c r="N979" s="3" t="str">
        <f>IFERROR(MID(D979,SEARCH("C_I_",D979,1),3),"")</f>
        <v/>
      </c>
      <c r="O979" s="3" t="str">
        <f>IF(AND(M979="",N979=""),"Extra","")</f>
        <v/>
      </c>
      <c r="P979" s="3" t="str">
        <f>IF(Q979=0,"TERCEIRO","MRS")</f>
        <v>MRS</v>
      </c>
      <c r="Q979" s="8" t="str">
        <f>IFERROR(VLOOKUP(L979,#REF!,4,0),"0,00")</f>
        <v>0,00</v>
      </c>
      <c r="R979" s="9" t="s">
        <v>57</v>
      </c>
      <c r="S979" s="9">
        <f>COUNTIF(D979,"*_SEG_*")</f>
        <v>0</v>
      </c>
      <c r="T979" s="9">
        <f>COUNTIF(D979,"*_MAN_*")</f>
        <v>0</v>
      </c>
      <c r="U979" s="9">
        <f>(RIGHT(D979,4))*1</f>
        <v>30</v>
      </c>
      <c r="V979" s="9" t="str">
        <f>IFERROR(VLOOKUP(I979,#REF!,2,0),"Sinalização")</f>
        <v>Sinalização</v>
      </c>
    </row>
    <row r="980" spans="1:22" x14ac:dyDescent="0.25">
      <c r="A980" s="3" t="s">
        <v>22</v>
      </c>
      <c r="B980" s="4">
        <v>23510701</v>
      </c>
      <c r="C980" s="5" t="s">
        <v>23</v>
      </c>
      <c r="D980" s="6" t="s">
        <v>1000</v>
      </c>
      <c r="E980" s="6" t="s">
        <v>25</v>
      </c>
      <c r="F980" s="11">
        <v>46165</v>
      </c>
      <c r="G980" s="6" t="s">
        <v>1079</v>
      </c>
      <c r="H980" s="7" t="s">
        <v>26</v>
      </c>
      <c r="I980" s="7" t="s">
        <v>1004</v>
      </c>
      <c r="J980" s="7" t="s">
        <v>1002</v>
      </c>
      <c r="K980" s="7" t="s">
        <v>29</v>
      </c>
      <c r="L980" s="3" t="str">
        <f>E980&amp;D980</f>
        <v>E.SP.IPAEE_INS_CONF_S_I_SINAL LUMINOSO PN_0030</v>
      </c>
      <c r="M980" s="3" t="str">
        <f>IFERROR(MID(D980,SEARCH("S_I_",D980,1),3),"")</f>
        <v>S_I</v>
      </c>
      <c r="N980" s="3" t="str">
        <f>IFERROR(MID(D980,SEARCH("C_I_",D980,1),3),"")</f>
        <v/>
      </c>
      <c r="O980" s="3" t="str">
        <f>IF(AND(M980="",N980=""),"Extra","")</f>
        <v/>
      </c>
      <c r="P980" s="3" t="str">
        <f>IF(Q980=0,"TERCEIRO","MRS")</f>
        <v>MRS</v>
      </c>
      <c r="Q980" s="8" t="str">
        <f>IFERROR(VLOOKUP(L980,#REF!,4,0),"0,00")</f>
        <v>0,00</v>
      </c>
      <c r="R980" s="9" t="s">
        <v>57</v>
      </c>
      <c r="S980" s="9">
        <f>COUNTIF(D980,"*_SEG_*")</f>
        <v>0</v>
      </c>
      <c r="T980" s="9">
        <f>COUNTIF(D980,"*_MAN_*")</f>
        <v>0</v>
      </c>
      <c r="U980" s="9">
        <f>(RIGHT(D980,4))*1</f>
        <v>30</v>
      </c>
      <c r="V980" s="9" t="str">
        <f>IFERROR(VLOOKUP(I980,#REF!,2,0),"Sinalização")</f>
        <v>Sinalização</v>
      </c>
    </row>
    <row r="981" spans="1:22" x14ac:dyDescent="0.25">
      <c r="A981" s="3" t="s">
        <v>22</v>
      </c>
      <c r="B981" s="4">
        <v>23510702</v>
      </c>
      <c r="C981" s="5" t="s">
        <v>23</v>
      </c>
      <c r="D981" s="6" t="s">
        <v>1000</v>
      </c>
      <c r="E981" s="6" t="s">
        <v>25</v>
      </c>
      <c r="F981" s="11">
        <v>46165</v>
      </c>
      <c r="G981" s="6" t="s">
        <v>1079</v>
      </c>
      <c r="H981" s="7" t="s">
        <v>32</v>
      </c>
      <c r="I981" s="7" t="s">
        <v>1005</v>
      </c>
      <c r="J981" s="7" t="s">
        <v>1002</v>
      </c>
      <c r="K981" s="7" t="s">
        <v>29</v>
      </c>
      <c r="L981" s="3" t="str">
        <f>E981&amp;D981</f>
        <v>E.SP.IPAEE_INS_CONF_S_I_SINAL LUMINOSO PN_0030</v>
      </c>
      <c r="M981" s="3" t="str">
        <f>IFERROR(MID(D981,SEARCH("S_I_",D981,1),3),"")</f>
        <v>S_I</v>
      </c>
      <c r="N981" s="3" t="str">
        <f>IFERROR(MID(D981,SEARCH("C_I_",D981,1),3),"")</f>
        <v/>
      </c>
      <c r="O981" s="3" t="str">
        <f>IF(AND(M981="",N981=""),"Extra","")</f>
        <v/>
      </c>
      <c r="P981" s="3" t="str">
        <f>IF(Q981=0,"TERCEIRO","MRS")</f>
        <v>MRS</v>
      </c>
      <c r="Q981" s="8" t="str">
        <f>IFERROR(VLOOKUP(L981,#REF!,4,0),"0,00")</f>
        <v>0,00</v>
      </c>
      <c r="R981" s="9" t="s">
        <v>57</v>
      </c>
      <c r="S981" s="9">
        <f>COUNTIF(D981,"*_SEG_*")</f>
        <v>0</v>
      </c>
      <c r="T981" s="9">
        <f>COUNTIF(D981,"*_MAN_*")</f>
        <v>0</v>
      </c>
      <c r="U981" s="9">
        <f>(RIGHT(D981,4))*1</f>
        <v>30</v>
      </c>
      <c r="V981" s="9" t="str">
        <f>IFERROR(VLOOKUP(I981,#REF!,2,0),"Sinalização")</f>
        <v>Sinalização</v>
      </c>
    </row>
    <row r="982" spans="1:22" x14ac:dyDescent="0.25">
      <c r="A982" s="3" t="s">
        <v>22</v>
      </c>
      <c r="B982" s="4">
        <v>23510703</v>
      </c>
      <c r="C982" s="5" t="s">
        <v>23</v>
      </c>
      <c r="D982" s="6" t="s">
        <v>1000</v>
      </c>
      <c r="E982" s="6" t="s">
        <v>25</v>
      </c>
      <c r="F982" s="11">
        <v>46165</v>
      </c>
      <c r="G982" s="6" t="s">
        <v>1079</v>
      </c>
      <c r="H982" s="7" t="s">
        <v>32</v>
      </c>
      <c r="I982" s="7" t="s">
        <v>524</v>
      </c>
      <c r="J982" s="7" t="s">
        <v>1002</v>
      </c>
      <c r="K982" s="7" t="s">
        <v>29</v>
      </c>
      <c r="L982" s="3" t="str">
        <f>E982&amp;D982</f>
        <v>E.SP.IPAEE_INS_CONF_S_I_SINAL LUMINOSO PN_0030</v>
      </c>
      <c r="M982" s="3" t="str">
        <f>IFERROR(MID(D982,SEARCH("S_I_",D982,1),3),"")</f>
        <v>S_I</v>
      </c>
      <c r="N982" s="3" t="str">
        <f>IFERROR(MID(D982,SEARCH("C_I_",D982,1),3),"")</f>
        <v/>
      </c>
      <c r="O982" s="3" t="str">
        <f>IF(AND(M982="",N982=""),"Extra","")</f>
        <v/>
      </c>
      <c r="P982" s="3" t="str">
        <f>IF(Q982=0,"TERCEIRO","MRS")</f>
        <v>MRS</v>
      </c>
      <c r="Q982" s="8" t="str">
        <f>IFERROR(VLOOKUP(L982,#REF!,4,0),"0,00")</f>
        <v>0,00</v>
      </c>
      <c r="R982" s="9" t="s">
        <v>57</v>
      </c>
      <c r="S982" s="9">
        <f>COUNTIF(D982,"*_SEG_*")</f>
        <v>0</v>
      </c>
      <c r="T982" s="9">
        <f>COUNTIF(D982,"*_MAN_*")</f>
        <v>0</v>
      </c>
      <c r="U982" s="9">
        <f>(RIGHT(D982,4))*1</f>
        <v>30</v>
      </c>
      <c r="V982" s="9" t="str">
        <f>IFERROR(VLOOKUP(I982,#REF!,2,0),"Sinalização")</f>
        <v>Sinalização</v>
      </c>
    </row>
    <row r="983" spans="1:22" x14ac:dyDescent="0.25">
      <c r="A983" s="3" t="s">
        <v>22</v>
      </c>
      <c r="B983" s="4">
        <v>23510704</v>
      </c>
      <c r="C983" s="5" t="s">
        <v>23</v>
      </c>
      <c r="D983" s="6" t="s">
        <v>1000</v>
      </c>
      <c r="E983" s="6" t="s">
        <v>25</v>
      </c>
      <c r="F983" s="11">
        <v>46165</v>
      </c>
      <c r="G983" s="6" t="s">
        <v>1079</v>
      </c>
      <c r="H983" s="7" t="s">
        <v>26</v>
      </c>
      <c r="I983" s="7" t="s">
        <v>526</v>
      </c>
      <c r="J983" s="7" t="s">
        <v>1002</v>
      </c>
      <c r="K983" s="7" t="s">
        <v>29</v>
      </c>
      <c r="L983" s="3" t="str">
        <f>E983&amp;D983</f>
        <v>E.SP.IPAEE_INS_CONF_S_I_SINAL LUMINOSO PN_0030</v>
      </c>
      <c r="M983" s="3" t="str">
        <f>IFERROR(MID(D983,SEARCH("S_I_",D983,1),3),"")</f>
        <v>S_I</v>
      </c>
      <c r="N983" s="3" t="str">
        <f>IFERROR(MID(D983,SEARCH("C_I_",D983,1),3),"")</f>
        <v/>
      </c>
      <c r="O983" s="3" t="str">
        <f>IF(AND(M983="",N983=""),"Extra","")</f>
        <v/>
      </c>
      <c r="P983" s="3" t="str">
        <f>IF(Q983=0,"TERCEIRO","MRS")</f>
        <v>MRS</v>
      </c>
      <c r="Q983" s="8" t="str">
        <f>IFERROR(VLOOKUP(L983,#REF!,4,0),"0,00")</f>
        <v>0,00</v>
      </c>
      <c r="R983" s="9" t="s">
        <v>57</v>
      </c>
      <c r="S983" s="9">
        <f>COUNTIF(D983,"*_SEG_*")</f>
        <v>0</v>
      </c>
      <c r="T983" s="9">
        <f>COUNTIF(D983,"*_MAN_*")</f>
        <v>0</v>
      </c>
      <c r="U983" s="9">
        <f>(RIGHT(D983,4))*1</f>
        <v>30</v>
      </c>
      <c r="V983" s="9" t="str">
        <f>IFERROR(VLOOKUP(I983,#REF!,2,0),"Sinalização")</f>
        <v>Sinalização</v>
      </c>
    </row>
    <row r="984" spans="1:22" x14ac:dyDescent="0.25">
      <c r="A984" s="3" t="s">
        <v>22</v>
      </c>
      <c r="B984" s="4">
        <v>23510705</v>
      </c>
      <c r="C984" s="5" t="s">
        <v>23</v>
      </c>
      <c r="D984" s="6" t="s">
        <v>1000</v>
      </c>
      <c r="E984" s="6" t="s">
        <v>25</v>
      </c>
      <c r="F984" s="11">
        <v>46165</v>
      </c>
      <c r="G984" s="6" t="s">
        <v>1079</v>
      </c>
      <c r="H984" s="7" t="s">
        <v>26</v>
      </c>
      <c r="I984" s="7" t="s">
        <v>1006</v>
      </c>
      <c r="J984" s="7" t="s">
        <v>1002</v>
      </c>
      <c r="K984" s="7" t="s">
        <v>29</v>
      </c>
      <c r="L984" s="3" t="str">
        <f>E984&amp;D984</f>
        <v>E.SP.IPAEE_INS_CONF_S_I_SINAL LUMINOSO PN_0030</v>
      </c>
      <c r="M984" s="3" t="str">
        <f>IFERROR(MID(D984,SEARCH("S_I_",D984,1),3),"")</f>
        <v>S_I</v>
      </c>
      <c r="N984" s="3" t="str">
        <f>IFERROR(MID(D984,SEARCH("C_I_",D984,1),3),"")</f>
        <v/>
      </c>
      <c r="O984" s="3" t="str">
        <f>IF(AND(M984="",N984=""),"Extra","")</f>
        <v/>
      </c>
      <c r="P984" s="3" t="str">
        <f>IF(Q984=0,"TERCEIRO","MRS")</f>
        <v>MRS</v>
      </c>
      <c r="Q984" s="8" t="str">
        <f>IFERROR(VLOOKUP(L984,#REF!,4,0),"0,00")</f>
        <v>0,00</v>
      </c>
      <c r="R984" s="9" t="s">
        <v>57</v>
      </c>
      <c r="S984" s="9">
        <f>COUNTIF(D984,"*_SEG_*")</f>
        <v>0</v>
      </c>
      <c r="T984" s="9">
        <f>COUNTIF(D984,"*_MAN_*")</f>
        <v>0</v>
      </c>
      <c r="U984" s="9">
        <f>(RIGHT(D984,4))*1</f>
        <v>30</v>
      </c>
      <c r="V984" s="9" t="str">
        <f>IFERROR(VLOOKUP(I984,#REF!,2,0),"Sinalização")</f>
        <v>Sinalização</v>
      </c>
    </row>
    <row r="985" spans="1:22" x14ac:dyDescent="0.25">
      <c r="A985" s="3" t="s">
        <v>22</v>
      </c>
      <c r="B985" s="4">
        <v>23510706</v>
      </c>
      <c r="C985" s="5" t="s">
        <v>23</v>
      </c>
      <c r="D985" s="6" t="s">
        <v>1000</v>
      </c>
      <c r="E985" s="6" t="s">
        <v>25</v>
      </c>
      <c r="F985" s="11">
        <v>46165</v>
      </c>
      <c r="G985" s="6" t="s">
        <v>1079</v>
      </c>
      <c r="H985" s="7" t="s">
        <v>32</v>
      </c>
      <c r="I985" s="7" t="s">
        <v>1007</v>
      </c>
      <c r="J985" s="7" t="s">
        <v>1002</v>
      </c>
      <c r="K985" s="7" t="s">
        <v>29</v>
      </c>
      <c r="L985" s="3" t="str">
        <f>E985&amp;D985</f>
        <v>E.SP.IPAEE_INS_CONF_S_I_SINAL LUMINOSO PN_0030</v>
      </c>
      <c r="M985" s="3" t="str">
        <f>IFERROR(MID(D985,SEARCH("S_I_",D985,1),3),"")</f>
        <v>S_I</v>
      </c>
      <c r="N985" s="3" t="str">
        <f>IFERROR(MID(D985,SEARCH("C_I_",D985,1),3),"")</f>
        <v/>
      </c>
      <c r="O985" s="3" t="str">
        <f>IF(AND(M985="",N985=""),"Extra","")</f>
        <v/>
      </c>
      <c r="P985" s="3" t="str">
        <f>IF(Q985=0,"TERCEIRO","MRS")</f>
        <v>MRS</v>
      </c>
      <c r="Q985" s="8" t="str">
        <f>IFERROR(VLOOKUP(L985,#REF!,4,0),"0,00")</f>
        <v>0,00</v>
      </c>
      <c r="R985" s="9" t="s">
        <v>57</v>
      </c>
      <c r="S985" s="9">
        <f>COUNTIF(D985,"*_SEG_*")</f>
        <v>0</v>
      </c>
      <c r="T985" s="9">
        <f>COUNTIF(D985,"*_MAN_*")</f>
        <v>0</v>
      </c>
      <c r="U985" s="9">
        <f>(RIGHT(D985,4))*1</f>
        <v>30</v>
      </c>
      <c r="V985" s="9" t="str">
        <f>IFERROR(VLOOKUP(I985,#REF!,2,0),"Sinalização")</f>
        <v>Sinalização</v>
      </c>
    </row>
    <row r="986" spans="1:22" x14ac:dyDescent="0.25">
      <c r="A986" s="3" t="s">
        <v>22</v>
      </c>
      <c r="B986" s="4">
        <v>23510707</v>
      </c>
      <c r="C986" s="5" t="s">
        <v>23</v>
      </c>
      <c r="D986" s="6" t="s">
        <v>1000</v>
      </c>
      <c r="E986" s="6" t="s">
        <v>25</v>
      </c>
      <c r="F986" s="11">
        <v>46165</v>
      </c>
      <c r="G986" s="6" t="s">
        <v>1079</v>
      </c>
      <c r="H986" s="7" t="s">
        <v>32</v>
      </c>
      <c r="I986" s="7" t="s">
        <v>1008</v>
      </c>
      <c r="J986" s="7" t="s">
        <v>1002</v>
      </c>
      <c r="K986" s="7" t="s">
        <v>29</v>
      </c>
      <c r="L986" s="3" t="str">
        <f>E986&amp;D986</f>
        <v>E.SP.IPAEE_INS_CONF_S_I_SINAL LUMINOSO PN_0030</v>
      </c>
      <c r="M986" s="3" t="str">
        <f>IFERROR(MID(D986,SEARCH("S_I_",D986,1),3),"")</f>
        <v>S_I</v>
      </c>
      <c r="N986" s="3" t="str">
        <f>IFERROR(MID(D986,SEARCH("C_I_",D986,1),3),"")</f>
        <v/>
      </c>
      <c r="O986" s="3" t="str">
        <f>IF(AND(M986="",N986=""),"Extra","")</f>
        <v/>
      </c>
      <c r="P986" s="3" t="str">
        <f>IF(Q986=0,"TERCEIRO","MRS")</f>
        <v>MRS</v>
      </c>
      <c r="Q986" s="8" t="str">
        <f>IFERROR(VLOOKUP(L986,#REF!,4,0),"0,00")</f>
        <v>0,00</v>
      </c>
      <c r="R986" s="9" t="s">
        <v>57</v>
      </c>
      <c r="S986" s="9">
        <f>COUNTIF(D986,"*_SEG_*")</f>
        <v>0</v>
      </c>
      <c r="T986" s="9">
        <f>COUNTIF(D986,"*_MAN_*")</f>
        <v>0</v>
      </c>
      <c r="U986" s="9">
        <f>(RIGHT(D986,4))*1</f>
        <v>30</v>
      </c>
      <c r="V986" s="9" t="str">
        <f>IFERROR(VLOOKUP(I986,#REF!,2,0),"Sinalização")</f>
        <v>Sinalização</v>
      </c>
    </row>
    <row r="987" spans="1:22" x14ac:dyDescent="0.25">
      <c r="A987" s="3" t="s">
        <v>22</v>
      </c>
      <c r="B987" s="4">
        <v>23510708</v>
      </c>
      <c r="C987" s="5" t="s">
        <v>23</v>
      </c>
      <c r="D987" s="6" t="s">
        <v>1000</v>
      </c>
      <c r="E987" s="6" t="s">
        <v>25</v>
      </c>
      <c r="F987" s="11">
        <v>46165</v>
      </c>
      <c r="G987" s="6" t="s">
        <v>1079</v>
      </c>
      <c r="H987" s="7" t="s">
        <v>26</v>
      </c>
      <c r="I987" s="7" t="s">
        <v>1009</v>
      </c>
      <c r="J987" s="7" t="s">
        <v>1002</v>
      </c>
      <c r="K987" s="7" t="s">
        <v>29</v>
      </c>
      <c r="L987" s="3" t="str">
        <f>E987&amp;D987</f>
        <v>E.SP.IPAEE_INS_CONF_S_I_SINAL LUMINOSO PN_0030</v>
      </c>
      <c r="M987" s="3" t="str">
        <f>IFERROR(MID(D987,SEARCH("S_I_",D987,1),3),"")</f>
        <v>S_I</v>
      </c>
      <c r="N987" s="3" t="str">
        <f>IFERROR(MID(D987,SEARCH("C_I_",D987,1),3),"")</f>
        <v/>
      </c>
      <c r="O987" s="3" t="str">
        <f>IF(AND(M987="",N987=""),"Extra","")</f>
        <v/>
      </c>
      <c r="P987" s="3" t="str">
        <f>IF(Q987=0,"TERCEIRO","MRS")</f>
        <v>MRS</v>
      </c>
      <c r="Q987" s="8" t="str">
        <f>IFERROR(VLOOKUP(L987,#REF!,4,0),"0,00")</f>
        <v>0,00</v>
      </c>
      <c r="R987" s="9" t="s">
        <v>57</v>
      </c>
      <c r="S987" s="9">
        <f>COUNTIF(D987,"*_SEG_*")</f>
        <v>0</v>
      </c>
      <c r="T987" s="9">
        <f>COUNTIF(D987,"*_MAN_*")</f>
        <v>0</v>
      </c>
      <c r="U987" s="9">
        <f>(RIGHT(D987,4))*1</f>
        <v>30</v>
      </c>
      <c r="V987" s="9" t="str">
        <f>IFERROR(VLOOKUP(I987,#REF!,2,0),"Sinalização")</f>
        <v>Sinalização</v>
      </c>
    </row>
    <row r="988" spans="1:22" x14ac:dyDescent="0.25">
      <c r="A988" s="3" t="s">
        <v>22</v>
      </c>
      <c r="B988" s="4">
        <v>23510709</v>
      </c>
      <c r="C988" s="5" t="s">
        <v>23</v>
      </c>
      <c r="D988" s="6" t="s">
        <v>1000</v>
      </c>
      <c r="E988" s="6" t="s">
        <v>25</v>
      </c>
      <c r="F988" s="11">
        <v>46165</v>
      </c>
      <c r="G988" s="6" t="s">
        <v>1079</v>
      </c>
      <c r="H988" s="7" t="s">
        <v>26</v>
      </c>
      <c r="I988" s="7" t="s">
        <v>1010</v>
      </c>
      <c r="J988" s="7" t="s">
        <v>1002</v>
      </c>
      <c r="K988" s="7" t="s">
        <v>29</v>
      </c>
      <c r="L988" s="3" t="str">
        <f>E988&amp;D988</f>
        <v>E.SP.IPAEE_INS_CONF_S_I_SINAL LUMINOSO PN_0030</v>
      </c>
      <c r="M988" s="3" t="str">
        <f>IFERROR(MID(D988,SEARCH("S_I_",D988,1),3),"")</f>
        <v>S_I</v>
      </c>
      <c r="N988" s="3" t="str">
        <f>IFERROR(MID(D988,SEARCH("C_I_",D988,1),3),"")</f>
        <v/>
      </c>
      <c r="O988" s="3" t="str">
        <f>IF(AND(M988="",N988=""),"Extra","")</f>
        <v/>
      </c>
      <c r="P988" s="3" t="str">
        <f>IF(Q988=0,"TERCEIRO","MRS")</f>
        <v>MRS</v>
      </c>
      <c r="Q988" s="8" t="str">
        <f>IFERROR(VLOOKUP(L988,#REF!,4,0),"0,00")</f>
        <v>0,00</v>
      </c>
      <c r="R988" s="9" t="s">
        <v>57</v>
      </c>
      <c r="S988" s="9">
        <f>COUNTIF(D988,"*_SEG_*")</f>
        <v>0</v>
      </c>
      <c r="T988" s="9">
        <f>COUNTIF(D988,"*_MAN_*")</f>
        <v>0</v>
      </c>
      <c r="U988" s="9">
        <f>(RIGHT(D988,4))*1</f>
        <v>30</v>
      </c>
      <c r="V988" s="9" t="str">
        <f>IFERROR(VLOOKUP(I988,#REF!,2,0),"Sinalização")</f>
        <v>Sinalização</v>
      </c>
    </row>
    <row r="989" spans="1:22" x14ac:dyDescent="0.25">
      <c r="A989" s="3" t="s">
        <v>22</v>
      </c>
      <c r="B989" s="4">
        <v>23510727</v>
      </c>
      <c r="C989" s="5" t="s">
        <v>23</v>
      </c>
      <c r="D989" s="6" t="s">
        <v>835</v>
      </c>
      <c r="E989" s="6" t="s">
        <v>25</v>
      </c>
      <c r="F989" s="11">
        <v>46165</v>
      </c>
      <c r="G989" s="6" t="s">
        <v>1079</v>
      </c>
      <c r="H989" s="7" t="s">
        <v>32</v>
      </c>
      <c r="I989" s="7" t="s">
        <v>998</v>
      </c>
      <c r="J989" s="7" t="s">
        <v>836</v>
      </c>
      <c r="K989" s="7" t="s">
        <v>29</v>
      </c>
      <c r="L989" s="3" t="str">
        <f>E989&amp;D989</f>
        <v>E.SP.IPAEE_INS_CONF_S_I_CIRCUITO VIA CA_0030</v>
      </c>
      <c r="M989" s="3" t="str">
        <f>IFERROR(MID(D989,SEARCH("S_I_",D989,1),3),"")</f>
        <v>S_I</v>
      </c>
      <c r="N989" s="3" t="str">
        <f>IFERROR(MID(D989,SEARCH("C_I_",D989,1),3),"")</f>
        <v/>
      </c>
      <c r="O989" s="3" t="str">
        <f>IF(AND(M989="",N989=""),"Extra","")</f>
        <v/>
      </c>
      <c r="P989" s="3" t="str">
        <f>IF(Q989=0,"TERCEIRO","MRS")</f>
        <v>MRS</v>
      </c>
      <c r="Q989" s="8" t="str">
        <f>IFERROR(VLOOKUP(L989,#REF!,4,0),"0,00")</f>
        <v>0,00</v>
      </c>
      <c r="R989" s="9" t="s">
        <v>42</v>
      </c>
      <c r="S989" s="9">
        <f>COUNTIF(D989,"*_SEG_*")</f>
        <v>0</v>
      </c>
      <c r="T989" s="9">
        <f>COUNTIF(D989,"*_MAN_*")</f>
        <v>0</v>
      </c>
      <c r="U989" s="9">
        <f>(RIGHT(D989,4))*1</f>
        <v>30</v>
      </c>
      <c r="V989" s="9" t="str">
        <f>IFERROR(VLOOKUP(I989,#REF!,2,0),"Sinalização")</f>
        <v>Sinalização</v>
      </c>
    </row>
    <row r="990" spans="1:22" x14ac:dyDescent="0.25">
      <c r="A990" s="3" t="s">
        <v>22</v>
      </c>
      <c r="B990" s="4">
        <v>23510728</v>
      </c>
      <c r="C990" s="5" t="s">
        <v>23</v>
      </c>
      <c r="D990" s="6" t="s">
        <v>835</v>
      </c>
      <c r="E990" s="6" t="s">
        <v>25</v>
      </c>
      <c r="F990" s="11">
        <v>46165</v>
      </c>
      <c r="G990" s="6" t="s">
        <v>1079</v>
      </c>
      <c r="H990" s="7" t="s">
        <v>32</v>
      </c>
      <c r="I990" s="7" t="s">
        <v>322</v>
      </c>
      <c r="J990" s="7" t="s">
        <v>836</v>
      </c>
      <c r="K990" s="7" t="s">
        <v>29</v>
      </c>
      <c r="L990" s="3" t="str">
        <f>E990&amp;D990</f>
        <v>E.SP.IPAEE_INS_CONF_S_I_CIRCUITO VIA CA_0030</v>
      </c>
      <c r="M990" s="3" t="str">
        <f>IFERROR(MID(D990,SEARCH("S_I_",D990,1),3),"")</f>
        <v>S_I</v>
      </c>
      <c r="N990" s="3" t="str">
        <f>IFERROR(MID(D990,SEARCH("C_I_",D990,1),3),"")</f>
        <v/>
      </c>
      <c r="O990" s="3" t="str">
        <f>IF(AND(M990="",N990=""),"Extra","")</f>
        <v/>
      </c>
      <c r="P990" s="3" t="str">
        <f>IF(Q990=0,"TERCEIRO","MRS")</f>
        <v>MRS</v>
      </c>
      <c r="Q990" s="8" t="str">
        <f>IFERROR(VLOOKUP(L990,#REF!,4,0),"0,00")</f>
        <v>0,00</v>
      </c>
      <c r="R990" s="9" t="s">
        <v>42</v>
      </c>
      <c r="S990" s="9">
        <f>COUNTIF(D990,"*_SEG_*")</f>
        <v>0</v>
      </c>
      <c r="T990" s="9">
        <f>COUNTIF(D990,"*_MAN_*")</f>
        <v>0</v>
      </c>
      <c r="U990" s="9">
        <f>(RIGHT(D990,4))*1</f>
        <v>30</v>
      </c>
      <c r="V990" s="9" t="str">
        <f>IFERROR(VLOOKUP(I990,#REF!,2,0),"Sinalização")</f>
        <v>Sinalização</v>
      </c>
    </row>
    <row r="991" spans="1:22" x14ac:dyDescent="0.25">
      <c r="A991" s="3" t="s">
        <v>22</v>
      </c>
      <c r="B991" s="4">
        <v>23510729</v>
      </c>
      <c r="C991" s="5" t="s">
        <v>23</v>
      </c>
      <c r="D991" s="6" t="s">
        <v>835</v>
      </c>
      <c r="E991" s="6" t="s">
        <v>25</v>
      </c>
      <c r="F991" s="11">
        <v>46165</v>
      </c>
      <c r="G991" s="6" t="s">
        <v>1079</v>
      </c>
      <c r="H991" s="7" t="s">
        <v>26</v>
      </c>
      <c r="I991" s="7" t="s">
        <v>321</v>
      </c>
      <c r="J991" s="7" t="s">
        <v>836</v>
      </c>
      <c r="K991" s="7" t="s">
        <v>29</v>
      </c>
      <c r="L991" s="3" t="str">
        <f>E991&amp;D991</f>
        <v>E.SP.IPAEE_INS_CONF_S_I_CIRCUITO VIA CA_0030</v>
      </c>
      <c r="M991" s="3" t="str">
        <f>IFERROR(MID(D991,SEARCH("S_I_",D991,1),3),"")</f>
        <v>S_I</v>
      </c>
      <c r="N991" s="3" t="str">
        <f>IFERROR(MID(D991,SEARCH("C_I_",D991,1),3),"")</f>
        <v/>
      </c>
      <c r="O991" s="3" t="str">
        <f>IF(AND(M991="",N991=""),"Extra","")</f>
        <v/>
      </c>
      <c r="P991" s="3" t="str">
        <f>IF(Q991=0,"TERCEIRO","MRS")</f>
        <v>MRS</v>
      </c>
      <c r="Q991" s="8" t="str">
        <f>IFERROR(VLOOKUP(L991,#REF!,4,0),"0,00")</f>
        <v>0,00</v>
      </c>
      <c r="R991" s="9" t="s">
        <v>42</v>
      </c>
      <c r="S991" s="9">
        <f>COUNTIF(D991,"*_SEG_*")</f>
        <v>0</v>
      </c>
      <c r="T991" s="9">
        <f>COUNTIF(D991,"*_MAN_*")</f>
        <v>0</v>
      </c>
      <c r="U991" s="9">
        <f>(RIGHT(D991,4))*1</f>
        <v>30</v>
      </c>
      <c r="V991" s="9" t="str">
        <f>IFERROR(VLOOKUP(I991,#REF!,2,0),"Sinalização")</f>
        <v>Sinalização</v>
      </c>
    </row>
    <row r="992" spans="1:22" x14ac:dyDescent="0.25">
      <c r="A992" s="3" t="s">
        <v>22</v>
      </c>
      <c r="B992" s="4">
        <v>23510730</v>
      </c>
      <c r="C992" s="5" t="s">
        <v>23</v>
      </c>
      <c r="D992" s="6" t="s">
        <v>835</v>
      </c>
      <c r="E992" s="6" t="s">
        <v>25</v>
      </c>
      <c r="F992" s="11">
        <v>46165</v>
      </c>
      <c r="G992" s="6" t="s">
        <v>1079</v>
      </c>
      <c r="H992" s="7" t="s">
        <v>26</v>
      </c>
      <c r="I992" s="7" t="s">
        <v>234</v>
      </c>
      <c r="J992" s="7" t="s">
        <v>836</v>
      </c>
      <c r="K992" s="7" t="s">
        <v>29</v>
      </c>
      <c r="L992" s="3" t="str">
        <f>E992&amp;D992</f>
        <v>E.SP.IPAEE_INS_CONF_S_I_CIRCUITO VIA CA_0030</v>
      </c>
      <c r="M992" s="3" t="str">
        <f>IFERROR(MID(D992,SEARCH("S_I_",D992,1),3),"")</f>
        <v>S_I</v>
      </c>
      <c r="N992" s="3" t="str">
        <f>IFERROR(MID(D992,SEARCH("C_I_",D992,1),3),"")</f>
        <v/>
      </c>
      <c r="O992" s="3" t="str">
        <f>IF(AND(M992="",N992=""),"Extra","")</f>
        <v/>
      </c>
      <c r="P992" s="3" t="str">
        <f>IF(Q992=0,"TERCEIRO","MRS")</f>
        <v>MRS</v>
      </c>
      <c r="Q992" s="8" t="str">
        <f>IFERROR(VLOOKUP(L992,#REF!,4,0),"0,00")</f>
        <v>0,00</v>
      </c>
      <c r="R992" s="9" t="s">
        <v>42</v>
      </c>
      <c r="S992" s="9">
        <f>COUNTIF(D992,"*_SEG_*")</f>
        <v>0</v>
      </c>
      <c r="T992" s="9">
        <f>COUNTIF(D992,"*_MAN_*")</f>
        <v>0</v>
      </c>
      <c r="U992" s="9">
        <f>(RIGHT(D992,4))*1</f>
        <v>30</v>
      </c>
      <c r="V992" s="9" t="str">
        <f>IFERROR(VLOOKUP(I992,#REF!,2,0),"Sinalização")</f>
        <v>Sinalização</v>
      </c>
    </row>
    <row r="993" spans="1:22" x14ac:dyDescent="0.25">
      <c r="A993" s="3" t="s">
        <v>22</v>
      </c>
      <c r="B993" s="4">
        <v>23510731</v>
      </c>
      <c r="C993" s="5" t="s">
        <v>23</v>
      </c>
      <c r="D993" s="6" t="s">
        <v>835</v>
      </c>
      <c r="E993" s="6" t="s">
        <v>25</v>
      </c>
      <c r="F993" s="11">
        <v>46165</v>
      </c>
      <c r="G993" s="6" t="s">
        <v>1079</v>
      </c>
      <c r="H993" s="7" t="s">
        <v>32</v>
      </c>
      <c r="I993" s="7" t="s">
        <v>347</v>
      </c>
      <c r="J993" s="7" t="s">
        <v>836</v>
      </c>
      <c r="K993" s="7" t="s">
        <v>29</v>
      </c>
      <c r="L993" s="3" t="str">
        <f>E993&amp;D993</f>
        <v>E.SP.IPAEE_INS_CONF_S_I_CIRCUITO VIA CA_0030</v>
      </c>
      <c r="M993" s="3" t="str">
        <f>IFERROR(MID(D993,SEARCH("S_I_",D993,1),3),"")</f>
        <v>S_I</v>
      </c>
      <c r="N993" s="3" t="str">
        <f>IFERROR(MID(D993,SEARCH("C_I_",D993,1),3),"")</f>
        <v/>
      </c>
      <c r="O993" s="3" t="str">
        <f>IF(AND(M993="",N993=""),"Extra","")</f>
        <v/>
      </c>
      <c r="P993" s="3" t="str">
        <f>IF(Q993=0,"TERCEIRO","MRS")</f>
        <v>MRS</v>
      </c>
      <c r="Q993" s="8" t="str">
        <f>IFERROR(VLOOKUP(L993,#REF!,4,0),"0,00")</f>
        <v>0,00</v>
      </c>
      <c r="R993" s="9" t="s">
        <v>42</v>
      </c>
      <c r="S993" s="9">
        <f>COUNTIF(D993,"*_SEG_*")</f>
        <v>0</v>
      </c>
      <c r="T993" s="9">
        <f>COUNTIF(D993,"*_MAN_*")</f>
        <v>0</v>
      </c>
      <c r="U993" s="9">
        <f>(RIGHT(D993,4))*1</f>
        <v>30</v>
      </c>
      <c r="V993" s="9" t="str">
        <f>IFERROR(VLOOKUP(I993,#REF!,2,0),"Sinalização")</f>
        <v>Sinalização</v>
      </c>
    </row>
    <row r="994" spans="1:22" x14ac:dyDescent="0.25">
      <c r="A994" s="3" t="s">
        <v>22</v>
      </c>
      <c r="B994" s="4">
        <v>23510732</v>
      </c>
      <c r="C994" s="5" t="s">
        <v>23</v>
      </c>
      <c r="D994" s="6" t="s">
        <v>835</v>
      </c>
      <c r="E994" s="6" t="s">
        <v>25</v>
      </c>
      <c r="F994" s="11">
        <v>46165</v>
      </c>
      <c r="G994" s="6" t="s">
        <v>1079</v>
      </c>
      <c r="H994" s="7" t="s">
        <v>32</v>
      </c>
      <c r="I994" s="7" t="s">
        <v>194</v>
      </c>
      <c r="J994" s="7" t="s">
        <v>836</v>
      </c>
      <c r="K994" s="7" t="s">
        <v>29</v>
      </c>
      <c r="L994" s="3" t="str">
        <f>E994&amp;D994</f>
        <v>E.SP.IPAEE_INS_CONF_S_I_CIRCUITO VIA CA_0030</v>
      </c>
      <c r="M994" s="3" t="str">
        <f>IFERROR(MID(D994,SEARCH("S_I_",D994,1),3),"")</f>
        <v>S_I</v>
      </c>
      <c r="N994" s="3" t="str">
        <f>IFERROR(MID(D994,SEARCH("C_I_",D994,1),3),"")</f>
        <v/>
      </c>
      <c r="O994" s="3" t="str">
        <f>IF(AND(M994="",N994=""),"Extra","")</f>
        <v/>
      </c>
      <c r="P994" s="3" t="str">
        <f>IF(Q994=0,"TERCEIRO","MRS")</f>
        <v>MRS</v>
      </c>
      <c r="Q994" s="8" t="str">
        <f>IFERROR(VLOOKUP(L994,#REF!,4,0),"0,00")</f>
        <v>0,00</v>
      </c>
      <c r="R994" s="9" t="s">
        <v>42</v>
      </c>
      <c r="S994" s="9">
        <f>COUNTIF(D994,"*_SEG_*")</f>
        <v>0</v>
      </c>
      <c r="T994" s="9">
        <f>COUNTIF(D994,"*_MAN_*")</f>
        <v>0</v>
      </c>
      <c r="U994" s="9">
        <f>(RIGHT(D994,4))*1</f>
        <v>30</v>
      </c>
      <c r="V994" s="9" t="str">
        <f>IFERROR(VLOOKUP(I994,#REF!,2,0),"Sinalização")</f>
        <v>Sinalização</v>
      </c>
    </row>
    <row r="995" spans="1:22" x14ac:dyDescent="0.25">
      <c r="A995" s="3" t="s">
        <v>22</v>
      </c>
      <c r="B995" s="4">
        <v>23510733</v>
      </c>
      <c r="C995" s="5" t="s">
        <v>23</v>
      </c>
      <c r="D995" s="6" t="s">
        <v>835</v>
      </c>
      <c r="E995" s="6" t="s">
        <v>25</v>
      </c>
      <c r="F995" s="11">
        <v>46165</v>
      </c>
      <c r="G995" s="6" t="s">
        <v>1079</v>
      </c>
      <c r="H995" s="7" t="s">
        <v>26</v>
      </c>
      <c r="I995" s="7" t="s">
        <v>766</v>
      </c>
      <c r="J995" s="7" t="s">
        <v>836</v>
      </c>
      <c r="K995" s="7" t="s">
        <v>29</v>
      </c>
      <c r="L995" s="3" t="str">
        <f>E995&amp;D995</f>
        <v>E.SP.IPAEE_INS_CONF_S_I_CIRCUITO VIA CA_0030</v>
      </c>
      <c r="M995" s="3" t="str">
        <f>IFERROR(MID(D995,SEARCH("S_I_",D995,1),3),"")</f>
        <v>S_I</v>
      </c>
      <c r="N995" s="3" t="str">
        <f>IFERROR(MID(D995,SEARCH("C_I_",D995,1),3),"")</f>
        <v/>
      </c>
      <c r="O995" s="3" t="str">
        <f>IF(AND(M995="",N995=""),"Extra","")</f>
        <v/>
      </c>
      <c r="P995" s="3" t="str">
        <f>IF(Q995=0,"TERCEIRO","MRS")</f>
        <v>MRS</v>
      </c>
      <c r="Q995" s="8" t="str">
        <f>IFERROR(VLOOKUP(L995,#REF!,4,0),"0,00")</f>
        <v>0,00</v>
      </c>
      <c r="R995" s="9" t="s">
        <v>42</v>
      </c>
      <c r="S995" s="9">
        <f>COUNTIF(D995,"*_SEG_*")</f>
        <v>0</v>
      </c>
      <c r="T995" s="9">
        <f>COUNTIF(D995,"*_MAN_*")</f>
        <v>0</v>
      </c>
      <c r="U995" s="9">
        <f>(RIGHT(D995,4))*1</f>
        <v>30</v>
      </c>
      <c r="V995" s="9" t="str">
        <f>IFERROR(VLOOKUP(I995,#REF!,2,0),"Sinalização")</f>
        <v>Sinalização</v>
      </c>
    </row>
    <row r="996" spans="1:22" x14ac:dyDescent="0.25">
      <c r="A996" s="3" t="s">
        <v>22</v>
      </c>
      <c r="B996" s="4">
        <v>23510734</v>
      </c>
      <c r="C996" s="5" t="s">
        <v>23</v>
      </c>
      <c r="D996" s="6" t="s">
        <v>835</v>
      </c>
      <c r="E996" s="6" t="s">
        <v>25</v>
      </c>
      <c r="F996" s="11">
        <v>46165</v>
      </c>
      <c r="G996" s="6" t="s">
        <v>1079</v>
      </c>
      <c r="H996" s="7" t="s">
        <v>26</v>
      </c>
      <c r="I996" s="7" t="s">
        <v>503</v>
      </c>
      <c r="J996" s="7" t="s">
        <v>836</v>
      </c>
      <c r="K996" s="7" t="s">
        <v>29</v>
      </c>
      <c r="L996" s="3" t="str">
        <f>E996&amp;D996</f>
        <v>E.SP.IPAEE_INS_CONF_S_I_CIRCUITO VIA CA_0030</v>
      </c>
      <c r="M996" s="3" t="str">
        <f>IFERROR(MID(D996,SEARCH("S_I_",D996,1),3),"")</f>
        <v>S_I</v>
      </c>
      <c r="N996" s="3" t="str">
        <f>IFERROR(MID(D996,SEARCH("C_I_",D996,1),3),"")</f>
        <v/>
      </c>
      <c r="O996" s="3" t="str">
        <f>IF(AND(M996="",N996=""),"Extra","")</f>
        <v/>
      </c>
      <c r="P996" s="3" t="str">
        <f>IF(Q996=0,"TERCEIRO","MRS")</f>
        <v>MRS</v>
      </c>
      <c r="Q996" s="8" t="str">
        <f>IFERROR(VLOOKUP(L996,#REF!,4,0),"0,00")</f>
        <v>0,00</v>
      </c>
      <c r="R996" s="9" t="s">
        <v>42</v>
      </c>
      <c r="S996" s="9">
        <f>COUNTIF(D996,"*_SEG_*")</f>
        <v>0</v>
      </c>
      <c r="T996" s="9">
        <f>COUNTIF(D996,"*_MAN_*")</f>
        <v>0</v>
      </c>
      <c r="U996" s="9">
        <f>(RIGHT(D996,4))*1</f>
        <v>30</v>
      </c>
      <c r="V996" s="9" t="str">
        <f>IFERROR(VLOOKUP(I996,#REF!,2,0),"Sinalização")</f>
        <v>Sinalização</v>
      </c>
    </row>
    <row r="997" spans="1:22" x14ac:dyDescent="0.25">
      <c r="A997" s="3" t="s">
        <v>22</v>
      </c>
      <c r="B997" s="4">
        <v>23510735</v>
      </c>
      <c r="C997" s="5" t="s">
        <v>23</v>
      </c>
      <c r="D997" s="6" t="s">
        <v>835</v>
      </c>
      <c r="E997" s="6" t="s">
        <v>25</v>
      </c>
      <c r="F997" s="11">
        <v>46165</v>
      </c>
      <c r="G997" s="6" t="s">
        <v>1079</v>
      </c>
      <c r="H997" s="7" t="s">
        <v>32</v>
      </c>
      <c r="I997" s="7" t="s">
        <v>989</v>
      </c>
      <c r="J997" s="7" t="s">
        <v>836</v>
      </c>
      <c r="K997" s="7" t="s">
        <v>29</v>
      </c>
      <c r="L997" s="3" t="str">
        <f>E997&amp;D997</f>
        <v>E.SP.IPAEE_INS_CONF_S_I_CIRCUITO VIA CA_0030</v>
      </c>
      <c r="M997" s="3" t="str">
        <f>IFERROR(MID(D997,SEARCH("S_I_",D997,1),3),"")</f>
        <v>S_I</v>
      </c>
      <c r="N997" s="3" t="str">
        <f>IFERROR(MID(D997,SEARCH("C_I_",D997,1),3),"")</f>
        <v/>
      </c>
      <c r="O997" s="3" t="str">
        <f>IF(AND(M997="",N997=""),"Extra","")</f>
        <v/>
      </c>
      <c r="P997" s="3" t="str">
        <f>IF(Q997=0,"TERCEIRO","MRS")</f>
        <v>MRS</v>
      </c>
      <c r="Q997" s="8" t="str">
        <f>IFERROR(VLOOKUP(L997,#REF!,4,0),"0,00")</f>
        <v>0,00</v>
      </c>
      <c r="R997" s="9" t="s">
        <v>42</v>
      </c>
      <c r="S997" s="9">
        <f>COUNTIF(D997,"*_SEG_*")</f>
        <v>0</v>
      </c>
      <c r="T997" s="9">
        <f>COUNTIF(D997,"*_MAN_*")</f>
        <v>0</v>
      </c>
      <c r="U997" s="9">
        <f>(RIGHT(D997,4))*1</f>
        <v>30</v>
      </c>
      <c r="V997" s="9" t="str">
        <f>IFERROR(VLOOKUP(I997,#REF!,2,0),"Sinalização")</f>
        <v>Sinalização</v>
      </c>
    </row>
    <row r="998" spans="1:22" x14ac:dyDescent="0.25">
      <c r="A998" s="3" t="s">
        <v>22</v>
      </c>
      <c r="B998" s="4">
        <v>23510736</v>
      </c>
      <c r="C998" s="5" t="s">
        <v>23</v>
      </c>
      <c r="D998" s="6" t="s">
        <v>835</v>
      </c>
      <c r="E998" s="6" t="s">
        <v>25</v>
      </c>
      <c r="F998" s="11">
        <v>46165</v>
      </c>
      <c r="G998" s="6" t="s">
        <v>1079</v>
      </c>
      <c r="H998" s="7" t="s">
        <v>32</v>
      </c>
      <c r="I998" s="7" t="s">
        <v>990</v>
      </c>
      <c r="J998" s="7" t="s">
        <v>836</v>
      </c>
      <c r="K998" s="7" t="s">
        <v>29</v>
      </c>
      <c r="L998" s="3" t="str">
        <f>E998&amp;D998</f>
        <v>E.SP.IPAEE_INS_CONF_S_I_CIRCUITO VIA CA_0030</v>
      </c>
      <c r="M998" s="3" t="str">
        <f>IFERROR(MID(D998,SEARCH("S_I_",D998,1),3),"")</f>
        <v>S_I</v>
      </c>
      <c r="N998" s="3" t="str">
        <f>IFERROR(MID(D998,SEARCH("C_I_",D998,1),3),"")</f>
        <v/>
      </c>
      <c r="O998" s="3" t="str">
        <f>IF(AND(M998="",N998=""),"Extra","")</f>
        <v/>
      </c>
      <c r="P998" s="3" t="str">
        <f>IF(Q998=0,"TERCEIRO","MRS")</f>
        <v>MRS</v>
      </c>
      <c r="Q998" s="8" t="str">
        <f>IFERROR(VLOOKUP(L998,#REF!,4,0),"0,00")</f>
        <v>0,00</v>
      </c>
      <c r="R998" s="9" t="s">
        <v>42</v>
      </c>
      <c r="S998" s="9">
        <f>COUNTIF(D998,"*_SEG_*")</f>
        <v>0</v>
      </c>
      <c r="T998" s="9">
        <f>COUNTIF(D998,"*_MAN_*")</f>
        <v>0</v>
      </c>
      <c r="U998" s="9">
        <f>(RIGHT(D998,4))*1</f>
        <v>30</v>
      </c>
      <c r="V998" s="9" t="str">
        <f>IFERROR(VLOOKUP(I998,#REF!,2,0),"Sinalização")</f>
        <v>Sinalização</v>
      </c>
    </row>
    <row r="999" spans="1:22" x14ac:dyDescent="0.25">
      <c r="A999" s="3" t="s">
        <v>22</v>
      </c>
      <c r="B999" s="4">
        <v>23510737</v>
      </c>
      <c r="C999" s="5" t="s">
        <v>23</v>
      </c>
      <c r="D999" s="6" t="s">
        <v>835</v>
      </c>
      <c r="E999" s="6" t="s">
        <v>25</v>
      </c>
      <c r="F999" s="11">
        <v>46165</v>
      </c>
      <c r="G999" s="6" t="s">
        <v>1079</v>
      </c>
      <c r="H999" s="7" t="s">
        <v>26</v>
      </c>
      <c r="I999" s="7" t="s">
        <v>501</v>
      </c>
      <c r="J999" s="7" t="s">
        <v>836</v>
      </c>
      <c r="K999" s="7" t="s">
        <v>29</v>
      </c>
      <c r="L999" s="3" t="str">
        <f>E999&amp;D999</f>
        <v>E.SP.IPAEE_INS_CONF_S_I_CIRCUITO VIA CA_0030</v>
      </c>
      <c r="M999" s="3" t="str">
        <f>IFERROR(MID(D999,SEARCH("S_I_",D999,1),3),"")</f>
        <v>S_I</v>
      </c>
      <c r="N999" s="3" t="str">
        <f>IFERROR(MID(D999,SEARCH("C_I_",D999,1),3),"")</f>
        <v/>
      </c>
      <c r="O999" s="3" t="str">
        <f>IF(AND(M999="",N999=""),"Extra","")</f>
        <v/>
      </c>
      <c r="P999" s="3" t="str">
        <f>IF(Q999=0,"TERCEIRO","MRS")</f>
        <v>MRS</v>
      </c>
      <c r="Q999" s="8" t="str">
        <f>IFERROR(VLOOKUP(L999,#REF!,4,0),"0,00")</f>
        <v>0,00</v>
      </c>
      <c r="R999" s="9" t="s">
        <v>42</v>
      </c>
      <c r="S999" s="9">
        <f>COUNTIF(D999,"*_SEG_*")</f>
        <v>0</v>
      </c>
      <c r="T999" s="9">
        <f>COUNTIF(D999,"*_MAN_*")</f>
        <v>0</v>
      </c>
      <c r="U999" s="9">
        <f>(RIGHT(D999,4))*1</f>
        <v>30</v>
      </c>
      <c r="V999" s="9" t="str">
        <f>IFERROR(VLOOKUP(I999,#REF!,2,0),"Sinalização")</f>
        <v>Sinalização</v>
      </c>
    </row>
    <row r="1000" spans="1:22" x14ac:dyDescent="0.25">
      <c r="A1000" s="3" t="s">
        <v>22</v>
      </c>
      <c r="B1000" s="4">
        <v>23510738</v>
      </c>
      <c r="C1000" s="5" t="s">
        <v>23</v>
      </c>
      <c r="D1000" s="6" t="s">
        <v>835</v>
      </c>
      <c r="E1000" s="6" t="s">
        <v>25</v>
      </c>
      <c r="F1000" s="11">
        <v>46165</v>
      </c>
      <c r="G1000" s="6" t="s">
        <v>1079</v>
      </c>
      <c r="H1000" s="7" t="s">
        <v>26</v>
      </c>
      <c r="I1000" s="7" t="s">
        <v>502</v>
      </c>
      <c r="J1000" s="7" t="s">
        <v>836</v>
      </c>
      <c r="K1000" s="7" t="s">
        <v>29</v>
      </c>
      <c r="L1000" s="3" t="str">
        <f>E1000&amp;D1000</f>
        <v>E.SP.IPAEE_INS_CONF_S_I_CIRCUITO VIA CA_0030</v>
      </c>
      <c r="M1000" s="3" t="str">
        <f>IFERROR(MID(D1000,SEARCH("S_I_",D1000,1),3),"")</f>
        <v>S_I</v>
      </c>
      <c r="N1000" s="3" t="str">
        <f>IFERROR(MID(D1000,SEARCH("C_I_",D1000,1),3),"")</f>
        <v/>
      </c>
      <c r="O1000" s="3" t="str">
        <f>IF(AND(M1000="",N1000=""),"Extra","")</f>
        <v/>
      </c>
      <c r="P1000" s="3" t="str">
        <f>IF(Q1000=0,"TERCEIRO","MRS")</f>
        <v>MRS</v>
      </c>
      <c r="Q1000" s="8" t="str">
        <f>IFERROR(VLOOKUP(L1000,#REF!,4,0),"0,00")</f>
        <v>0,00</v>
      </c>
      <c r="R1000" s="9" t="s">
        <v>42</v>
      </c>
      <c r="S1000" s="9">
        <f>COUNTIF(D1000,"*_SEG_*")</f>
        <v>0</v>
      </c>
      <c r="T1000" s="9">
        <f>COUNTIF(D1000,"*_MAN_*")</f>
        <v>0</v>
      </c>
      <c r="U1000" s="9">
        <f>(RIGHT(D1000,4))*1</f>
        <v>30</v>
      </c>
      <c r="V1000" s="9" t="str">
        <f>IFERROR(VLOOKUP(I1000,#REF!,2,0),"Sinalização")</f>
        <v>Sinalização</v>
      </c>
    </row>
    <row r="1001" spans="1:22" x14ac:dyDescent="0.25">
      <c r="A1001" s="3" t="s">
        <v>22</v>
      </c>
      <c r="B1001" s="4">
        <v>23510739</v>
      </c>
      <c r="C1001" s="5" t="s">
        <v>23</v>
      </c>
      <c r="D1001" s="6" t="s">
        <v>835</v>
      </c>
      <c r="E1001" s="6" t="s">
        <v>25</v>
      </c>
      <c r="F1001" s="11">
        <v>46165</v>
      </c>
      <c r="G1001" s="6" t="s">
        <v>1079</v>
      </c>
      <c r="H1001" s="7" t="s">
        <v>32</v>
      </c>
      <c r="I1001" s="7" t="s">
        <v>217</v>
      </c>
      <c r="J1001" s="7" t="s">
        <v>836</v>
      </c>
      <c r="K1001" s="7" t="s">
        <v>29</v>
      </c>
      <c r="L1001" s="3" t="str">
        <f>E1001&amp;D1001</f>
        <v>E.SP.IPAEE_INS_CONF_S_I_CIRCUITO VIA CA_0030</v>
      </c>
      <c r="M1001" s="3" t="str">
        <f>IFERROR(MID(D1001,SEARCH("S_I_",D1001,1),3),"")</f>
        <v>S_I</v>
      </c>
      <c r="N1001" s="3" t="str">
        <f>IFERROR(MID(D1001,SEARCH("C_I_",D1001,1),3),"")</f>
        <v/>
      </c>
      <c r="O1001" s="3" t="str">
        <f>IF(AND(M1001="",N1001=""),"Extra","")</f>
        <v/>
      </c>
      <c r="P1001" s="3" t="str">
        <f>IF(Q1001=0,"TERCEIRO","MRS")</f>
        <v>MRS</v>
      </c>
      <c r="Q1001" s="8" t="str">
        <f>IFERROR(VLOOKUP(L1001,#REF!,4,0),"0,00")</f>
        <v>0,00</v>
      </c>
      <c r="R1001" s="9" t="s">
        <v>42</v>
      </c>
      <c r="S1001" s="9">
        <f>COUNTIF(D1001,"*_SEG_*")</f>
        <v>0</v>
      </c>
      <c r="T1001" s="9">
        <f>COUNTIF(D1001,"*_MAN_*")</f>
        <v>0</v>
      </c>
      <c r="U1001" s="9">
        <f>(RIGHT(D1001,4))*1</f>
        <v>30</v>
      </c>
      <c r="V1001" s="9" t="str">
        <f>IFERROR(VLOOKUP(I1001,#REF!,2,0),"Sinalização")</f>
        <v>Sinalização</v>
      </c>
    </row>
    <row r="1002" spans="1:22" x14ac:dyDescent="0.25">
      <c r="A1002" s="3" t="s">
        <v>22</v>
      </c>
      <c r="B1002" s="4">
        <v>23510740</v>
      </c>
      <c r="C1002" s="5" t="s">
        <v>23</v>
      </c>
      <c r="D1002" s="6" t="s">
        <v>835</v>
      </c>
      <c r="E1002" s="6" t="s">
        <v>25</v>
      </c>
      <c r="F1002" s="11">
        <v>46165</v>
      </c>
      <c r="G1002" s="6" t="s">
        <v>1079</v>
      </c>
      <c r="H1002" s="7" t="s">
        <v>32</v>
      </c>
      <c r="I1002" s="7" t="s">
        <v>218</v>
      </c>
      <c r="J1002" s="7" t="s">
        <v>836</v>
      </c>
      <c r="K1002" s="7" t="s">
        <v>29</v>
      </c>
      <c r="L1002" s="3" t="str">
        <f>E1002&amp;D1002</f>
        <v>E.SP.IPAEE_INS_CONF_S_I_CIRCUITO VIA CA_0030</v>
      </c>
      <c r="M1002" s="3" t="str">
        <f>IFERROR(MID(D1002,SEARCH("S_I_",D1002,1),3),"")</f>
        <v>S_I</v>
      </c>
      <c r="N1002" s="3" t="str">
        <f>IFERROR(MID(D1002,SEARCH("C_I_",D1002,1),3),"")</f>
        <v/>
      </c>
      <c r="O1002" s="3" t="str">
        <f>IF(AND(M1002="",N1002=""),"Extra","")</f>
        <v/>
      </c>
      <c r="P1002" s="3" t="str">
        <f>IF(Q1002=0,"TERCEIRO","MRS")</f>
        <v>MRS</v>
      </c>
      <c r="Q1002" s="8" t="str">
        <f>IFERROR(VLOOKUP(L1002,#REF!,4,0),"0,00")</f>
        <v>0,00</v>
      </c>
      <c r="R1002" s="9" t="s">
        <v>42</v>
      </c>
      <c r="S1002" s="9">
        <f>COUNTIF(D1002,"*_SEG_*")</f>
        <v>0</v>
      </c>
      <c r="T1002" s="9">
        <f>COUNTIF(D1002,"*_MAN_*")</f>
        <v>0</v>
      </c>
      <c r="U1002" s="9">
        <f>(RIGHT(D1002,4))*1</f>
        <v>30</v>
      </c>
      <c r="V1002" s="9" t="str">
        <f>IFERROR(VLOOKUP(I1002,#REF!,2,0),"Sinalização")</f>
        <v>Sinalização</v>
      </c>
    </row>
    <row r="1003" spans="1:22" x14ac:dyDescent="0.25">
      <c r="A1003" s="3" t="s">
        <v>22</v>
      </c>
      <c r="B1003" s="4">
        <v>23510741</v>
      </c>
      <c r="C1003" s="5" t="s">
        <v>23</v>
      </c>
      <c r="D1003" s="6" t="s">
        <v>835</v>
      </c>
      <c r="E1003" s="6" t="s">
        <v>25</v>
      </c>
      <c r="F1003" s="11">
        <v>46165</v>
      </c>
      <c r="G1003" s="6" t="s">
        <v>1079</v>
      </c>
      <c r="H1003" s="7" t="s">
        <v>26</v>
      </c>
      <c r="I1003" s="7" t="s">
        <v>216</v>
      </c>
      <c r="J1003" s="7" t="s">
        <v>836</v>
      </c>
      <c r="K1003" s="7" t="s">
        <v>29</v>
      </c>
      <c r="L1003" s="3" t="str">
        <f>E1003&amp;D1003</f>
        <v>E.SP.IPAEE_INS_CONF_S_I_CIRCUITO VIA CA_0030</v>
      </c>
      <c r="M1003" s="3" t="str">
        <f>IFERROR(MID(D1003,SEARCH("S_I_",D1003,1),3),"")</f>
        <v>S_I</v>
      </c>
      <c r="N1003" s="3" t="str">
        <f>IFERROR(MID(D1003,SEARCH("C_I_",D1003,1),3),"")</f>
        <v/>
      </c>
      <c r="O1003" s="3" t="str">
        <f>IF(AND(M1003="",N1003=""),"Extra","")</f>
        <v/>
      </c>
      <c r="P1003" s="3" t="str">
        <f>IF(Q1003=0,"TERCEIRO","MRS")</f>
        <v>MRS</v>
      </c>
      <c r="Q1003" s="8" t="str">
        <f>IFERROR(VLOOKUP(L1003,#REF!,4,0),"0,00")</f>
        <v>0,00</v>
      </c>
      <c r="R1003" s="9" t="s">
        <v>42</v>
      </c>
      <c r="S1003" s="9">
        <f>COUNTIF(D1003,"*_SEG_*")</f>
        <v>0</v>
      </c>
      <c r="T1003" s="9">
        <f>COUNTIF(D1003,"*_MAN_*")</f>
        <v>0</v>
      </c>
      <c r="U1003" s="9">
        <f>(RIGHT(D1003,4))*1</f>
        <v>30</v>
      </c>
      <c r="V1003" s="9" t="str">
        <f>IFERROR(VLOOKUP(I1003,#REF!,2,0),"Sinalização")</f>
        <v>Sinalização</v>
      </c>
    </row>
    <row r="1004" spans="1:22" x14ac:dyDescent="0.25">
      <c r="A1004" s="3" t="s">
        <v>22</v>
      </c>
      <c r="B1004" s="4">
        <v>23510742</v>
      </c>
      <c r="C1004" s="5" t="s">
        <v>23</v>
      </c>
      <c r="D1004" s="6" t="s">
        <v>835</v>
      </c>
      <c r="E1004" s="6" t="s">
        <v>25</v>
      </c>
      <c r="F1004" s="11">
        <v>46165</v>
      </c>
      <c r="G1004" s="6" t="s">
        <v>1079</v>
      </c>
      <c r="H1004" s="7" t="s">
        <v>26</v>
      </c>
      <c r="I1004" s="7" t="s">
        <v>362</v>
      </c>
      <c r="J1004" s="7" t="s">
        <v>836</v>
      </c>
      <c r="K1004" s="7" t="s">
        <v>29</v>
      </c>
      <c r="L1004" s="3" t="str">
        <f>E1004&amp;D1004</f>
        <v>E.SP.IPAEE_INS_CONF_S_I_CIRCUITO VIA CA_0030</v>
      </c>
      <c r="M1004" s="3" t="str">
        <f>IFERROR(MID(D1004,SEARCH("S_I_",D1004,1),3),"")</f>
        <v>S_I</v>
      </c>
      <c r="N1004" s="3" t="str">
        <f>IFERROR(MID(D1004,SEARCH("C_I_",D1004,1),3),"")</f>
        <v/>
      </c>
      <c r="O1004" s="3" t="str">
        <f>IF(AND(M1004="",N1004=""),"Extra","")</f>
        <v/>
      </c>
      <c r="P1004" s="3" t="str">
        <f>IF(Q1004=0,"TERCEIRO","MRS")</f>
        <v>MRS</v>
      </c>
      <c r="Q1004" s="8" t="str">
        <f>IFERROR(VLOOKUP(L1004,#REF!,4,0),"0,00")</f>
        <v>0,00</v>
      </c>
      <c r="R1004" s="9" t="s">
        <v>42</v>
      </c>
      <c r="S1004" s="9">
        <f>COUNTIF(D1004,"*_SEG_*")</f>
        <v>0</v>
      </c>
      <c r="T1004" s="9">
        <f>COUNTIF(D1004,"*_MAN_*")</f>
        <v>0</v>
      </c>
      <c r="U1004" s="9">
        <f>(RIGHT(D1004,4))*1</f>
        <v>30</v>
      </c>
      <c r="V1004" s="9" t="str">
        <f>IFERROR(VLOOKUP(I1004,#REF!,2,0),"Sinalização")</f>
        <v>Sinalização</v>
      </c>
    </row>
    <row r="1005" spans="1:22" x14ac:dyDescent="0.25">
      <c r="A1005" s="3" t="s">
        <v>22</v>
      </c>
      <c r="B1005" s="4">
        <v>23510743</v>
      </c>
      <c r="C1005" s="5" t="s">
        <v>23</v>
      </c>
      <c r="D1005" s="6" t="s">
        <v>835</v>
      </c>
      <c r="E1005" s="6" t="s">
        <v>25</v>
      </c>
      <c r="F1005" s="11">
        <v>46165</v>
      </c>
      <c r="G1005" s="6" t="s">
        <v>1079</v>
      </c>
      <c r="H1005" s="7" t="s">
        <v>32</v>
      </c>
      <c r="I1005" s="7" t="s">
        <v>991</v>
      </c>
      <c r="J1005" s="7" t="s">
        <v>836</v>
      </c>
      <c r="K1005" s="7" t="s">
        <v>29</v>
      </c>
      <c r="L1005" s="3" t="str">
        <f>E1005&amp;D1005</f>
        <v>E.SP.IPAEE_INS_CONF_S_I_CIRCUITO VIA CA_0030</v>
      </c>
      <c r="M1005" s="3" t="str">
        <f>IFERROR(MID(D1005,SEARCH("S_I_",D1005,1),3),"")</f>
        <v>S_I</v>
      </c>
      <c r="N1005" s="3" t="str">
        <f>IFERROR(MID(D1005,SEARCH("C_I_",D1005,1),3),"")</f>
        <v/>
      </c>
      <c r="O1005" s="3" t="str">
        <f>IF(AND(M1005="",N1005=""),"Extra","")</f>
        <v/>
      </c>
      <c r="P1005" s="3" t="str">
        <f>IF(Q1005=0,"TERCEIRO","MRS")</f>
        <v>MRS</v>
      </c>
      <c r="Q1005" s="8" t="str">
        <f>IFERROR(VLOOKUP(L1005,#REF!,4,0),"0,00")</f>
        <v>0,00</v>
      </c>
      <c r="R1005" s="9" t="s">
        <v>42</v>
      </c>
      <c r="S1005" s="9">
        <f>COUNTIF(D1005,"*_SEG_*")</f>
        <v>0</v>
      </c>
      <c r="T1005" s="9">
        <f>COUNTIF(D1005,"*_MAN_*")</f>
        <v>0</v>
      </c>
      <c r="U1005" s="9">
        <f>(RIGHT(D1005,4))*1</f>
        <v>30</v>
      </c>
      <c r="V1005" s="9" t="str">
        <f>IFERROR(VLOOKUP(I1005,#REF!,2,0),"Sinalização")</f>
        <v>Sinalização</v>
      </c>
    </row>
    <row r="1006" spans="1:22" x14ac:dyDescent="0.25">
      <c r="A1006" s="3" t="s">
        <v>22</v>
      </c>
      <c r="B1006" s="4">
        <v>23510744</v>
      </c>
      <c r="C1006" s="5" t="s">
        <v>23</v>
      </c>
      <c r="D1006" s="6" t="s">
        <v>835</v>
      </c>
      <c r="E1006" s="6" t="s">
        <v>25</v>
      </c>
      <c r="F1006" s="11">
        <v>46165</v>
      </c>
      <c r="G1006" s="6" t="s">
        <v>1079</v>
      </c>
      <c r="H1006" s="7" t="s">
        <v>32</v>
      </c>
      <c r="I1006" s="7" t="s">
        <v>340</v>
      </c>
      <c r="J1006" s="7" t="s">
        <v>836</v>
      </c>
      <c r="K1006" s="7" t="s">
        <v>29</v>
      </c>
      <c r="L1006" s="3" t="str">
        <f>E1006&amp;D1006</f>
        <v>E.SP.IPAEE_INS_CONF_S_I_CIRCUITO VIA CA_0030</v>
      </c>
      <c r="M1006" s="3" t="str">
        <f>IFERROR(MID(D1006,SEARCH("S_I_",D1006,1),3),"")</f>
        <v>S_I</v>
      </c>
      <c r="N1006" s="3" t="str">
        <f>IFERROR(MID(D1006,SEARCH("C_I_",D1006,1),3),"")</f>
        <v/>
      </c>
      <c r="O1006" s="3" t="str">
        <f>IF(AND(M1006="",N1006=""),"Extra","")</f>
        <v/>
      </c>
      <c r="P1006" s="3" t="str">
        <f>IF(Q1006=0,"TERCEIRO","MRS")</f>
        <v>MRS</v>
      </c>
      <c r="Q1006" s="8" t="str">
        <f>IFERROR(VLOOKUP(L1006,#REF!,4,0),"0,00")</f>
        <v>0,00</v>
      </c>
      <c r="R1006" s="9" t="s">
        <v>42</v>
      </c>
      <c r="S1006" s="9">
        <f>COUNTIF(D1006,"*_SEG_*")</f>
        <v>0</v>
      </c>
      <c r="T1006" s="9">
        <f>COUNTIF(D1006,"*_MAN_*")</f>
        <v>0</v>
      </c>
      <c r="U1006" s="9">
        <f>(RIGHT(D1006,4))*1</f>
        <v>30</v>
      </c>
      <c r="V1006" s="9" t="str">
        <f>IFERROR(VLOOKUP(I1006,#REF!,2,0),"Sinalização")</f>
        <v>Sinalização</v>
      </c>
    </row>
    <row r="1007" spans="1:22" x14ac:dyDescent="0.25">
      <c r="A1007" s="3" t="s">
        <v>22</v>
      </c>
      <c r="B1007" s="4">
        <v>23510745</v>
      </c>
      <c r="C1007" s="5" t="s">
        <v>23</v>
      </c>
      <c r="D1007" s="6" t="s">
        <v>835</v>
      </c>
      <c r="E1007" s="6" t="s">
        <v>25</v>
      </c>
      <c r="F1007" s="11">
        <v>46165</v>
      </c>
      <c r="G1007" s="6" t="s">
        <v>1079</v>
      </c>
      <c r="H1007" s="7" t="s">
        <v>26</v>
      </c>
      <c r="I1007" s="7" t="s">
        <v>992</v>
      </c>
      <c r="J1007" s="7" t="s">
        <v>836</v>
      </c>
      <c r="K1007" s="7" t="s">
        <v>29</v>
      </c>
      <c r="L1007" s="3" t="str">
        <f>E1007&amp;D1007</f>
        <v>E.SP.IPAEE_INS_CONF_S_I_CIRCUITO VIA CA_0030</v>
      </c>
      <c r="M1007" s="3" t="str">
        <f>IFERROR(MID(D1007,SEARCH("S_I_",D1007,1),3),"")</f>
        <v>S_I</v>
      </c>
      <c r="N1007" s="3" t="str">
        <f>IFERROR(MID(D1007,SEARCH("C_I_",D1007,1),3),"")</f>
        <v/>
      </c>
      <c r="O1007" s="3" t="str">
        <f>IF(AND(M1007="",N1007=""),"Extra","")</f>
        <v/>
      </c>
      <c r="P1007" s="3" t="str">
        <f>IF(Q1007=0,"TERCEIRO","MRS")</f>
        <v>MRS</v>
      </c>
      <c r="Q1007" s="8" t="str">
        <f>IFERROR(VLOOKUP(L1007,#REF!,4,0),"0,00")</f>
        <v>0,00</v>
      </c>
      <c r="R1007" s="9" t="s">
        <v>42</v>
      </c>
      <c r="S1007" s="9">
        <f>COUNTIF(D1007,"*_SEG_*")</f>
        <v>0</v>
      </c>
      <c r="T1007" s="9">
        <f>COUNTIF(D1007,"*_MAN_*")</f>
        <v>0</v>
      </c>
      <c r="U1007" s="9">
        <f>(RIGHT(D1007,4))*1</f>
        <v>30</v>
      </c>
      <c r="V1007" s="9" t="str">
        <f>IFERROR(VLOOKUP(I1007,#REF!,2,0),"Sinalização")</f>
        <v>Sinalização</v>
      </c>
    </row>
    <row r="1008" spans="1:22" x14ac:dyDescent="0.25">
      <c r="A1008" s="3" t="s">
        <v>22</v>
      </c>
      <c r="B1008" s="4">
        <v>23510746</v>
      </c>
      <c r="C1008" s="5" t="s">
        <v>23</v>
      </c>
      <c r="D1008" s="6" t="s">
        <v>835</v>
      </c>
      <c r="E1008" s="6" t="s">
        <v>25</v>
      </c>
      <c r="F1008" s="11">
        <v>46165</v>
      </c>
      <c r="G1008" s="6" t="s">
        <v>1079</v>
      </c>
      <c r="H1008" s="7" t="s">
        <v>26</v>
      </c>
      <c r="I1008" s="7" t="s">
        <v>765</v>
      </c>
      <c r="J1008" s="7" t="s">
        <v>836</v>
      </c>
      <c r="K1008" s="7" t="s">
        <v>29</v>
      </c>
      <c r="L1008" s="3" t="str">
        <f>E1008&amp;D1008</f>
        <v>E.SP.IPAEE_INS_CONF_S_I_CIRCUITO VIA CA_0030</v>
      </c>
      <c r="M1008" s="3" t="str">
        <f>IFERROR(MID(D1008,SEARCH("S_I_",D1008,1),3),"")</f>
        <v>S_I</v>
      </c>
      <c r="N1008" s="3" t="str">
        <f>IFERROR(MID(D1008,SEARCH("C_I_",D1008,1),3),"")</f>
        <v/>
      </c>
      <c r="O1008" s="3" t="str">
        <f>IF(AND(M1008="",N1008=""),"Extra","")</f>
        <v/>
      </c>
      <c r="P1008" s="3" t="str">
        <f>IF(Q1008=0,"TERCEIRO","MRS")</f>
        <v>MRS</v>
      </c>
      <c r="Q1008" s="8" t="str">
        <f>IFERROR(VLOOKUP(L1008,#REF!,4,0),"0,00")</f>
        <v>0,00</v>
      </c>
      <c r="R1008" s="9" t="s">
        <v>42</v>
      </c>
      <c r="S1008" s="9">
        <f>COUNTIF(D1008,"*_SEG_*")</f>
        <v>0</v>
      </c>
      <c r="T1008" s="9">
        <f>COUNTIF(D1008,"*_MAN_*")</f>
        <v>0</v>
      </c>
      <c r="U1008" s="9">
        <f>(RIGHT(D1008,4))*1</f>
        <v>30</v>
      </c>
      <c r="V1008" s="9" t="str">
        <f>IFERROR(VLOOKUP(I1008,#REF!,2,0),"Sinalização")</f>
        <v>Sinalização</v>
      </c>
    </row>
    <row r="1009" spans="1:22" x14ac:dyDescent="0.25">
      <c r="A1009" s="3" t="s">
        <v>22</v>
      </c>
      <c r="B1009" s="4">
        <v>23510747</v>
      </c>
      <c r="C1009" s="5" t="s">
        <v>23</v>
      </c>
      <c r="D1009" s="6" t="s">
        <v>835</v>
      </c>
      <c r="E1009" s="6" t="s">
        <v>25</v>
      </c>
      <c r="F1009" s="11">
        <v>46165</v>
      </c>
      <c r="G1009" s="6" t="s">
        <v>1079</v>
      </c>
      <c r="H1009" s="7" t="s">
        <v>32</v>
      </c>
      <c r="I1009" s="7" t="s">
        <v>425</v>
      </c>
      <c r="J1009" s="7" t="s">
        <v>836</v>
      </c>
      <c r="K1009" s="7" t="s">
        <v>29</v>
      </c>
      <c r="L1009" s="3" t="str">
        <f>E1009&amp;D1009</f>
        <v>E.SP.IPAEE_INS_CONF_S_I_CIRCUITO VIA CA_0030</v>
      </c>
      <c r="M1009" s="3" t="str">
        <f>IFERROR(MID(D1009,SEARCH("S_I_",D1009,1),3),"")</f>
        <v>S_I</v>
      </c>
      <c r="N1009" s="3" t="str">
        <f>IFERROR(MID(D1009,SEARCH("C_I_",D1009,1),3),"")</f>
        <v/>
      </c>
      <c r="O1009" s="3" t="str">
        <f>IF(AND(M1009="",N1009=""),"Extra","")</f>
        <v/>
      </c>
      <c r="P1009" s="3" t="str">
        <f>IF(Q1009=0,"TERCEIRO","MRS")</f>
        <v>MRS</v>
      </c>
      <c r="Q1009" s="8" t="str">
        <f>IFERROR(VLOOKUP(L1009,#REF!,4,0),"0,00")</f>
        <v>0,00</v>
      </c>
      <c r="R1009" s="9" t="s">
        <v>42</v>
      </c>
      <c r="S1009" s="9">
        <f>COUNTIF(D1009,"*_SEG_*")</f>
        <v>0</v>
      </c>
      <c r="T1009" s="9">
        <f>COUNTIF(D1009,"*_MAN_*")</f>
        <v>0</v>
      </c>
      <c r="U1009" s="9">
        <f>(RIGHT(D1009,4))*1</f>
        <v>30</v>
      </c>
      <c r="V1009" s="9" t="str">
        <f>IFERROR(VLOOKUP(I1009,#REF!,2,0),"Sinalização")</f>
        <v>Sinalização</v>
      </c>
    </row>
    <row r="1010" spans="1:22" x14ac:dyDescent="0.25">
      <c r="A1010" s="3" t="s">
        <v>22</v>
      </c>
      <c r="B1010" s="4">
        <v>23510748</v>
      </c>
      <c r="C1010" s="5" t="s">
        <v>23</v>
      </c>
      <c r="D1010" s="6" t="s">
        <v>835</v>
      </c>
      <c r="E1010" s="6" t="s">
        <v>25</v>
      </c>
      <c r="F1010" s="11">
        <v>46165</v>
      </c>
      <c r="G1010" s="6" t="s">
        <v>1079</v>
      </c>
      <c r="H1010" s="7" t="s">
        <v>32</v>
      </c>
      <c r="I1010" s="7" t="s">
        <v>320</v>
      </c>
      <c r="J1010" s="7" t="s">
        <v>836</v>
      </c>
      <c r="K1010" s="7" t="s">
        <v>29</v>
      </c>
      <c r="L1010" s="3" t="str">
        <f>E1010&amp;D1010</f>
        <v>E.SP.IPAEE_INS_CONF_S_I_CIRCUITO VIA CA_0030</v>
      </c>
      <c r="M1010" s="3" t="str">
        <f>IFERROR(MID(D1010,SEARCH("S_I_",D1010,1),3),"")</f>
        <v>S_I</v>
      </c>
      <c r="N1010" s="3" t="str">
        <f>IFERROR(MID(D1010,SEARCH("C_I_",D1010,1),3),"")</f>
        <v/>
      </c>
      <c r="O1010" s="3" t="str">
        <f>IF(AND(M1010="",N1010=""),"Extra","")</f>
        <v/>
      </c>
      <c r="P1010" s="3" t="str">
        <f>IF(Q1010=0,"TERCEIRO","MRS")</f>
        <v>MRS</v>
      </c>
      <c r="Q1010" s="8" t="str">
        <f>IFERROR(VLOOKUP(L1010,#REF!,4,0),"0,00")</f>
        <v>0,00</v>
      </c>
      <c r="R1010" s="9" t="s">
        <v>42</v>
      </c>
      <c r="S1010" s="9">
        <f>COUNTIF(D1010,"*_SEG_*")</f>
        <v>0</v>
      </c>
      <c r="T1010" s="9">
        <f>COUNTIF(D1010,"*_MAN_*")</f>
        <v>0</v>
      </c>
      <c r="U1010" s="9">
        <f>(RIGHT(D1010,4))*1</f>
        <v>30</v>
      </c>
      <c r="V1010" s="9" t="str">
        <f>IFERROR(VLOOKUP(I1010,#REF!,2,0),"Sinalização")</f>
        <v>Sinalização</v>
      </c>
    </row>
    <row r="1011" spans="1:22" x14ac:dyDescent="0.25">
      <c r="A1011" s="3" t="s">
        <v>22</v>
      </c>
      <c r="B1011" s="4">
        <v>23510749</v>
      </c>
      <c r="C1011" s="5" t="s">
        <v>23</v>
      </c>
      <c r="D1011" s="6" t="s">
        <v>835</v>
      </c>
      <c r="E1011" s="6" t="s">
        <v>25</v>
      </c>
      <c r="F1011" s="11">
        <v>46165</v>
      </c>
      <c r="G1011" s="6" t="s">
        <v>1079</v>
      </c>
      <c r="H1011" s="7" t="s">
        <v>26</v>
      </c>
      <c r="I1011" s="7" t="s">
        <v>308</v>
      </c>
      <c r="J1011" s="7" t="s">
        <v>836</v>
      </c>
      <c r="K1011" s="7" t="s">
        <v>29</v>
      </c>
      <c r="L1011" s="3" t="str">
        <f>E1011&amp;D1011</f>
        <v>E.SP.IPAEE_INS_CONF_S_I_CIRCUITO VIA CA_0030</v>
      </c>
      <c r="M1011" s="3" t="str">
        <f>IFERROR(MID(D1011,SEARCH("S_I_",D1011,1),3),"")</f>
        <v>S_I</v>
      </c>
      <c r="N1011" s="3" t="str">
        <f>IFERROR(MID(D1011,SEARCH("C_I_",D1011,1),3),"")</f>
        <v/>
      </c>
      <c r="O1011" s="3" t="str">
        <f>IF(AND(M1011="",N1011=""),"Extra","")</f>
        <v/>
      </c>
      <c r="P1011" s="3" t="str">
        <f>IF(Q1011=0,"TERCEIRO","MRS")</f>
        <v>MRS</v>
      </c>
      <c r="Q1011" s="8" t="str">
        <f>IFERROR(VLOOKUP(L1011,#REF!,4,0),"0,00")</f>
        <v>0,00</v>
      </c>
      <c r="R1011" s="9" t="s">
        <v>42</v>
      </c>
      <c r="S1011" s="9">
        <f>COUNTIF(D1011,"*_SEG_*")</f>
        <v>0</v>
      </c>
      <c r="T1011" s="9">
        <f>COUNTIF(D1011,"*_MAN_*")</f>
        <v>0</v>
      </c>
      <c r="U1011" s="9">
        <f>(RIGHT(D1011,4))*1</f>
        <v>30</v>
      </c>
      <c r="V1011" s="9" t="str">
        <f>IFERROR(VLOOKUP(I1011,#REF!,2,0),"Sinalização")</f>
        <v>Sinalização</v>
      </c>
    </row>
    <row r="1012" spans="1:22" x14ac:dyDescent="0.25">
      <c r="A1012" s="3" t="s">
        <v>22</v>
      </c>
      <c r="B1012" s="4">
        <v>23510750</v>
      </c>
      <c r="C1012" s="5" t="s">
        <v>23</v>
      </c>
      <c r="D1012" s="6" t="s">
        <v>835</v>
      </c>
      <c r="E1012" s="6" t="s">
        <v>25</v>
      </c>
      <c r="F1012" s="11">
        <v>46165</v>
      </c>
      <c r="G1012" s="6" t="s">
        <v>1079</v>
      </c>
      <c r="H1012" s="7" t="s">
        <v>26</v>
      </c>
      <c r="I1012" s="7" t="s">
        <v>993</v>
      </c>
      <c r="J1012" s="7" t="s">
        <v>836</v>
      </c>
      <c r="K1012" s="7" t="s">
        <v>29</v>
      </c>
      <c r="L1012" s="3" t="str">
        <f>E1012&amp;D1012</f>
        <v>E.SP.IPAEE_INS_CONF_S_I_CIRCUITO VIA CA_0030</v>
      </c>
      <c r="M1012" s="3" t="str">
        <f>IFERROR(MID(D1012,SEARCH("S_I_",D1012,1),3),"")</f>
        <v>S_I</v>
      </c>
      <c r="N1012" s="3" t="str">
        <f>IFERROR(MID(D1012,SEARCH("C_I_",D1012,1),3),"")</f>
        <v/>
      </c>
      <c r="O1012" s="3" t="str">
        <f>IF(AND(M1012="",N1012=""),"Extra","")</f>
        <v/>
      </c>
      <c r="P1012" s="3" t="str">
        <f>IF(Q1012=0,"TERCEIRO","MRS")</f>
        <v>MRS</v>
      </c>
      <c r="Q1012" s="8" t="str">
        <f>IFERROR(VLOOKUP(L1012,#REF!,4,0),"0,00")</f>
        <v>0,00</v>
      </c>
      <c r="R1012" s="9" t="s">
        <v>42</v>
      </c>
      <c r="S1012" s="9">
        <f>COUNTIF(D1012,"*_SEG_*")</f>
        <v>0</v>
      </c>
      <c r="T1012" s="9">
        <f>COUNTIF(D1012,"*_MAN_*")</f>
        <v>0</v>
      </c>
      <c r="U1012" s="9">
        <f>(RIGHT(D1012,4))*1</f>
        <v>30</v>
      </c>
      <c r="V1012" s="9" t="str">
        <f>IFERROR(VLOOKUP(I1012,#REF!,2,0),"Sinalização")</f>
        <v>Sinalização</v>
      </c>
    </row>
    <row r="1013" spans="1:22" x14ac:dyDescent="0.25">
      <c r="A1013" s="3" t="s">
        <v>22</v>
      </c>
      <c r="B1013" s="4">
        <v>23510751</v>
      </c>
      <c r="C1013" s="5" t="s">
        <v>23</v>
      </c>
      <c r="D1013" s="6" t="s">
        <v>835</v>
      </c>
      <c r="E1013" s="6" t="s">
        <v>25</v>
      </c>
      <c r="F1013" s="11">
        <v>46165</v>
      </c>
      <c r="G1013" s="6" t="s">
        <v>1079</v>
      </c>
      <c r="H1013" s="7" t="s">
        <v>32</v>
      </c>
      <c r="I1013" s="7" t="s">
        <v>346</v>
      </c>
      <c r="J1013" s="7" t="s">
        <v>836</v>
      </c>
      <c r="K1013" s="7" t="s">
        <v>29</v>
      </c>
      <c r="L1013" s="3" t="str">
        <f>E1013&amp;D1013</f>
        <v>E.SP.IPAEE_INS_CONF_S_I_CIRCUITO VIA CA_0030</v>
      </c>
      <c r="M1013" s="3" t="str">
        <f>IFERROR(MID(D1013,SEARCH("S_I_",D1013,1),3),"")</f>
        <v>S_I</v>
      </c>
      <c r="N1013" s="3" t="str">
        <f>IFERROR(MID(D1013,SEARCH("C_I_",D1013,1),3),"")</f>
        <v/>
      </c>
      <c r="O1013" s="3" t="str">
        <f>IF(AND(M1013="",N1013=""),"Extra","")</f>
        <v/>
      </c>
      <c r="P1013" s="3" t="str">
        <f>IF(Q1013=0,"TERCEIRO","MRS")</f>
        <v>MRS</v>
      </c>
      <c r="Q1013" s="8" t="str">
        <f>IFERROR(VLOOKUP(L1013,#REF!,4,0),"0,00")</f>
        <v>0,00</v>
      </c>
      <c r="R1013" s="9" t="s">
        <v>42</v>
      </c>
      <c r="S1013" s="9">
        <f>COUNTIF(D1013,"*_SEG_*")</f>
        <v>0</v>
      </c>
      <c r="T1013" s="9">
        <f>COUNTIF(D1013,"*_MAN_*")</f>
        <v>0</v>
      </c>
      <c r="U1013" s="9">
        <f>(RIGHT(D1013,4))*1</f>
        <v>30</v>
      </c>
      <c r="V1013" s="9" t="str">
        <f>IFERROR(VLOOKUP(I1013,#REF!,2,0),"Sinalização")</f>
        <v>Sinalização</v>
      </c>
    </row>
    <row r="1014" spans="1:22" x14ac:dyDescent="0.25">
      <c r="A1014" s="3" t="s">
        <v>22</v>
      </c>
      <c r="B1014" s="4">
        <v>23510752</v>
      </c>
      <c r="C1014" s="5" t="s">
        <v>23</v>
      </c>
      <c r="D1014" s="6" t="s">
        <v>835</v>
      </c>
      <c r="E1014" s="6" t="s">
        <v>25</v>
      </c>
      <c r="F1014" s="11">
        <v>46165</v>
      </c>
      <c r="G1014" s="6" t="s">
        <v>1079</v>
      </c>
      <c r="H1014" s="7" t="s">
        <v>32</v>
      </c>
      <c r="I1014" s="7" t="s">
        <v>348</v>
      </c>
      <c r="J1014" s="7" t="s">
        <v>836</v>
      </c>
      <c r="K1014" s="7" t="s">
        <v>29</v>
      </c>
      <c r="L1014" s="3" t="str">
        <f>E1014&amp;D1014</f>
        <v>E.SP.IPAEE_INS_CONF_S_I_CIRCUITO VIA CA_0030</v>
      </c>
      <c r="M1014" s="3" t="str">
        <f>IFERROR(MID(D1014,SEARCH("S_I_",D1014,1),3),"")</f>
        <v>S_I</v>
      </c>
      <c r="N1014" s="3" t="str">
        <f>IFERROR(MID(D1014,SEARCH("C_I_",D1014,1),3),"")</f>
        <v/>
      </c>
      <c r="O1014" s="3" t="str">
        <f>IF(AND(M1014="",N1014=""),"Extra","")</f>
        <v/>
      </c>
      <c r="P1014" s="3" t="str">
        <f>IF(Q1014=0,"TERCEIRO","MRS")</f>
        <v>MRS</v>
      </c>
      <c r="Q1014" s="8" t="str">
        <f>IFERROR(VLOOKUP(L1014,#REF!,4,0),"0,00")</f>
        <v>0,00</v>
      </c>
      <c r="R1014" s="9" t="s">
        <v>42</v>
      </c>
      <c r="S1014" s="9">
        <f>COUNTIF(D1014,"*_SEG_*")</f>
        <v>0</v>
      </c>
      <c r="T1014" s="9">
        <f>COUNTIF(D1014,"*_MAN_*")</f>
        <v>0</v>
      </c>
      <c r="U1014" s="9">
        <f>(RIGHT(D1014,4))*1</f>
        <v>30</v>
      </c>
      <c r="V1014" s="9" t="str">
        <f>IFERROR(VLOOKUP(I1014,#REF!,2,0),"Sinalização")</f>
        <v>Sinalização</v>
      </c>
    </row>
    <row r="1015" spans="1:22" x14ac:dyDescent="0.25">
      <c r="A1015" s="3" t="s">
        <v>22</v>
      </c>
      <c r="B1015" s="4">
        <v>23510753</v>
      </c>
      <c r="C1015" s="5" t="s">
        <v>23</v>
      </c>
      <c r="D1015" s="6" t="s">
        <v>835</v>
      </c>
      <c r="E1015" s="6" t="s">
        <v>25</v>
      </c>
      <c r="F1015" s="11">
        <v>46165</v>
      </c>
      <c r="G1015" s="6" t="s">
        <v>1079</v>
      </c>
      <c r="H1015" s="7" t="s">
        <v>26</v>
      </c>
      <c r="I1015" s="7" t="s">
        <v>500</v>
      </c>
      <c r="J1015" s="7" t="s">
        <v>836</v>
      </c>
      <c r="K1015" s="7" t="s">
        <v>29</v>
      </c>
      <c r="L1015" s="3" t="str">
        <f>E1015&amp;D1015</f>
        <v>E.SP.IPAEE_INS_CONF_S_I_CIRCUITO VIA CA_0030</v>
      </c>
      <c r="M1015" s="3" t="str">
        <f>IFERROR(MID(D1015,SEARCH("S_I_",D1015,1),3),"")</f>
        <v>S_I</v>
      </c>
      <c r="N1015" s="3" t="str">
        <f>IFERROR(MID(D1015,SEARCH("C_I_",D1015,1),3),"")</f>
        <v/>
      </c>
      <c r="O1015" s="3" t="str">
        <f>IF(AND(M1015="",N1015=""),"Extra","")</f>
        <v/>
      </c>
      <c r="P1015" s="3" t="str">
        <f>IF(Q1015=0,"TERCEIRO","MRS")</f>
        <v>MRS</v>
      </c>
      <c r="Q1015" s="8" t="str">
        <f>IFERROR(VLOOKUP(L1015,#REF!,4,0),"0,00")</f>
        <v>0,00</v>
      </c>
      <c r="R1015" s="9" t="s">
        <v>42</v>
      </c>
      <c r="S1015" s="9">
        <f>COUNTIF(D1015,"*_SEG_*")</f>
        <v>0</v>
      </c>
      <c r="T1015" s="9">
        <f>COUNTIF(D1015,"*_MAN_*")</f>
        <v>0</v>
      </c>
      <c r="U1015" s="9">
        <f>(RIGHT(D1015,4))*1</f>
        <v>30</v>
      </c>
      <c r="V1015" s="9" t="str">
        <f>IFERROR(VLOOKUP(I1015,#REF!,2,0),"Sinalização")</f>
        <v>Sinalização</v>
      </c>
    </row>
    <row r="1016" spans="1:22" x14ac:dyDescent="0.25">
      <c r="A1016" s="3" t="s">
        <v>22</v>
      </c>
      <c r="B1016" s="4">
        <v>23510754</v>
      </c>
      <c r="C1016" s="5" t="s">
        <v>23</v>
      </c>
      <c r="D1016" s="6" t="s">
        <v>835</v>
      </c>
      <c r="E1016" s="6" t="s">
        <v>25</v>
      </c>
      <c r="F1016" s="11">
        <v>46165</v>
      </c>
      <c r="G1016" s="6" t="s">
        <v>1079</v>
      </c>
      <c r="H1016" s="7" t="s">
        <v>26</v>
      </c>
      <c r="I1016" s="7" t="s">
        <v>499</v>
      </c>
      <c r="J1016" s="7" t="s">
        <v>836</v>
      </c>
      <c r="K1016" s="7" t="s">
        <v>29</v>
      </c>
      <c r="L1016" s="3" t="str">
        <f>E1016&amp;D1016</f>
        <v>E.SP.IPAEE_INS_CONF_S_I_CIRCUITO VIA CA_0030</v>
      </c>
      <c r="M1016" s="3" t="str">
        <f>IFERROR(MID(D1016,SEARCH("S_I_",D1016,1),3),"")</f>
        <v>S_I</v>
      </c>
      <c r="N1016" s="3" t="str">
        <f>IFERROR(MID(D1016,SEARCH("C_I_",D1016,1),3),"")</f>
        <v/>
      </c>
      <c r="O1016" s="3" t="str">
        <f>IF(AND(M1016="",N1016=""),"Extra","")</f>
        <v/>
      </c>
      <c r="P1016" s="3" t="str">
        <f>IF(Q1016=0,"TERCEIRO","MRS")</f>
        <v>MRS</v>
      </c>
      <c r="Q1016" s="8" t="str">
        <f>IFERROR(VLOOKUP(L1016,#REF!,4,0),"0,00")</f>
        <v>0,00</v>
      </c>
      <c r="R1016" s="9" t="s">
        <v>42</v>
      </c>
      <c r="S1016" s="9">
        <f>COUNTIF(D1016,"*_SEG_*")</f>
        <v>0</v>
      </c>
      <c r="T1016" s="9">
        <f>COUNTIF(D1016,"*_MAN_*")</f>
        <v>0</v>
      </c>
      <c r="U1016" s="9">
        <f>(RIGHT(D1016,4))*1</f>
        <v>30</v>
      </c>
      <c r="V1016" s="9" t="str">
        <f>IFERROR(VLOOKUP(I1016,#REF!,2,0),"Sinalização")</f>
        <v>Sinalização</v>
      </c>
    </row>
    <row r="1017" spans="1:22" x14ac:dyDescent="0.25">
      <c r="A1017" s="3" t="s">
        <v>22</v>
      </c>
      <c r="B1017" s="4">
        <v>23510755</v>
      </c>
      <c r="C1017" s="5" t="s">
        <v>23</v>
      </c>
      <c r="D1017" s="6" t="s">
        <v>835</v>
      </c>
      <c r="E1017" s="6" t="s">
        <v>25</v>
      </c>
      <c r="F1017" s="11">
        <v>46165</v>
      </c>
      <c r="G1017" s="6" t="s">
        <v>1079</v>
      </c>
      <c r="H1017" s="7" t="s">
        <v>32</v>
      </c>
      <c r="I1017" s="7" t="s">
        <v>569</v>
      </c>
      <c r="J1017" s="7" t="s">
        <v>836</v>
      </c>
      <c r="K1017" s="7" t="s">
        <v>29</v>
      </c>
      <c r="L1017" s="3" t="str">
        <f>E1017&amp;D1017</f>
        <v>E.SP.IPAEE_INS_CONF_S_I_CIRCUITO VIA CA_0030</v>
      </c>
      <c r="M1017" s="3" t="str">
        <f>IFERROR(MID(D1017,SEARCH("S_I_",D1017,1),3),"")</f>
        <v>S_I</v>
      </c>
      <c r="N1017" s="3" t="str">
        <f>IFERROR(MID(D1017,SEARCH("C_I_",D1017,1),3),"")</f>
        <v/>
      </c>
      <c r="O1017" s="3" t="str">
        <f>IF(AND(M1017="",N1017=""),"Extra","")</f>
        <v/>
      </c>
      <c r="P1017" s="3" t="str">
        <f>IF(Q1017=0,"TERCEIRO","MRS")</f>
        <v>MRS</v>
      </c>
      <c r="Q1017" s="8" t="str">
        <f>IFERROR(VLOOKUP(L1017,#REF!,4,0),"0,00")</f>
        <v>0,00</v>
      </c>
      <c r="R1017" s="9" t="s">
        <v>42</v>
      </c>
      <c r="S1017" s="9">
        <f>COUNTIF(D1017,"*_SEG_*")</f>
        <v>0</v>
      </c>
      <c r="T1017" s="9">
        <f>COUNTIF(D1017,"*_MAN_*")</f>
        <v>0</v>
      </c>
      <c r="U1017" s="9">
        <f>(RIGHT(D1017,4))*1</f>
        <v>30</v>
      </c>
      <c r="V1017" s="9" t="str">
        <f>IFERROR(VLOOKUP(I1017,#REF!,2,0),"Sinalização")</f>
        <v>Sinalização</v>
      </c>
    </row>
    <row r="1018" spans="1:22" x14ac:dyDescent="0.25">
      <c r="A1018" s="3" t="s">
        <v>22</v>
      </c>
      <c r="B1018" s="4">
        <v>23510756</v>
      </c>
      <c r="C1018" s="5" t="s">
        <v>23</v>
      </c>
      <c r="D1018" s="6" t="s">
        <v>835</v>
      </c>
      <c r="E1018" s="6" t="s">
        <v>25</v>
      </c>
      <c r="F1018" s="11">
        <v>46165</v>
      </c>
      <c r="G1018" s="6" t="s">
        <v>1079</v>
      </c>
      <c r="H1018" s="7" t="s">
        <v>32</v>
      </c>
      <c r="I1018" s="7" t="s">
        <v>307</v>
      </c>
      <c r="J1018" s="7" t="s">
        <v>836</v>
      </c>
      <c r="K1018" s="7" t="s">
        <v>29</v>
      </c>
      <c r="L1018" s="3" t="str">
        <f>E1018&amp;D1018</f>
        <v>E.SP.IPAEE_INS_CONF_S_I_CIRCUITO VIA CA_0030</v>
      </c>
      <c r="M1018" s="3" t="str">
        <f>IFERROR(MID(D1018,SEARCH("S_I_",D1018,1),3),"")</f>
        <v>S_I</v>
      </c>
      <c r="N1018" s="3" t="str">
        <f>IFERROR(MID(D1018,SEARCH("C_I_",D1018,1),3),"")</f>
        <v/>
      </c>
      <c r="O1018" s="3" t="str">
        <f>IF(AND(M1018="",N1018=""),"Extra","")</f>
        <v/>
      </c>
      <c r="P1018" s="3" t="str">
        <f>IF(Q1018=0,"TERCEIRO","MRS")</f>
        <v>MRS</v>
      </c>
      <c r="Q1018" s="8" t="str">
        <f>IFERROR(VLOOKUP(L1018,#REF!,4,0),"0,00")</f>
        <v>0,00</v>
      </c>
      <c r="R1018" s="9" t="s">
        <v>42</v>
      </c>
      <c r="S1018" s="9">
        <f>COUNTIF(D1018,"*_SEG_*")</f>
        <v>0</v>
      </c>
      <c r="T1018" s="9">
        <f>COUNTIF(D1018,"*_MAN_*")</f>
        <v>0</v>
      </c>
      <c r="U1018" s="9">
        <f>(RIGHT(D1018,4))*1</f>
        <v>30</v>
      </c>
      <c r="V1018" s="9" t="str">
        <f>IFERROR(VLOOKUP(I1018,#REF!,2,0),"Sinalização")</f>
        <v>Sinalização</v>
      </c>
    </row>
    <row r="1019" spans="1:22" x14ac:dyDescent="0.25">
      <c r="A1019" s="3" t="s">
        <v>22</v>
      </c>
      <c r="B1019" s="4">
        <v>23510757</v>
      </c>
      <c r="C1019" s="5" t="s">
        <v>23</v>
      </c>
      <c r="D1019" s="6" t="s">
        <v>835</v>
      </c>
      <c r="E1019" s="6" t="s">
        <v>25</v>
      </c>
      <c r="F1019" s="11">
        <v>46165</v>
      </c>
      <c r="G1019" s="6" t="s">
        <v>1079</v>
      </c>
      <c r="H1019" s="7" t="s">
        <v>26</v>
      </c>
      <c r="I1019" s="7" t="s">
        <v>235</v>
      </c>
      <c r="J1019" s="7" t="s">
        <v>836</v>
      </c>
      <c r="K1019" s="7" t="s">
        <v>29</v>
      </c>
      <c r="L1019" s="3" t="str">
        <f>E1019&amp;D1019</f>
        <v>E.SP.IPAEE_INS_CONF_S_I_CIRCUITO VIA CA_0030</v>
      </c>
      <c r="M1019" s="3" t="str">
        <f>IFERROR(MID(D1019,SEARCH("S_I_",D1019,1),3),"")</f>
        <v>S_I</v>
      </c>
      <c r="N1019" s="3" t="str">
        <f>IFERROR(MID(D1019,SEARCH("C_I_",D1019,1),3),"")</f>
        <v/>
      </c>
      <c r="O1019" s="3" t="str">
        <f>IF(AND(M1019="",N1019=""),"Extra","")</f>
        <v/>
      </c>
      <c r="P1019" s="3" t="str">
        <f>IF(Q1019=0,"TERCEIRO","MRS")</f>
        <v>MRS</v>
      </c>
      <c r="Q1019" s="8" t="str">
        <f>IFERROR(VLOOKUP(L1019,#REF!,4,0),"0,00")</f>
        <v>0,00</v>
      </c>
      <c r="R1019" s="9" t="s">
        <v>42</v>
      </c>
      <c r="S1019" s="9">
        <f>COUNTIF(D1019,"*_SEG_*")</f>
        <v>0</v>
      </c>
      <c r="T1019" s="9">
        <f>COUNTIF(D1019,"*_MAN_*")</f>
        <v>0</v>
      </c>
      <c r="U1019" s="9">
        <f>(RIGHT(D1019,4))*1</f>
        <v>30</v>
      </c>
      <c r="V1019" s="9" t="str">
        <f>IFERROR(VLOOKUP(I1019,#REF!,2,0),"Sinalização")</f>
        <v>Sinalização</v>
      </c>
    </row>
    <row r="1020" spans="1:22" x14ac:dyDescent="0.25">
      <c r="A1020" s="3" t="s">
        <v>22</v>
      </c>
      <c r="B1020" s="4">
        <v>23510758</v>
      </c>
      <c r="C1020" s="5" t="s">
        <v>23</v>
      </c>
      <c r="D1020" s="6" t="s">
        <v>835</v>
      </c>
      <c r="E1020" s="6" t="s">
        <v>25</v>
      </c>
      <c r="F1020" s="11">
        <v>46165</v>
      </c>
      <c r="G1020" s="6" t="s">
        <v>1079</v>
      </c>
      <c r="H1020" s="7" t="s">
        <v>26</v>
      </c>
      <c r="I1020" s="7" t="s">
        <v>214</v>
      </c>
      <c r="J1020" s="7" t="s">
        <v>836</v>
      </c>
      <c r="K1020" s="7" t="s">
        <v>29</v>
      </c>
      <c r="L1020" s="3" t="str">
        <f>E1020&amp;D1020</f>
        <v>E.SP.IPAEE_INS_CONF_S_I_CIRCUITO VIA CA_0030</v>
      </c>
      <c r="M1020" s="3" t="str">
        <f>IFERROR(MID(D1020,SEARCH("S_I_",D1020,1),3),"")</f>
        <v>S_I</v>
      </c>
      <c r="N1020" s="3" t="str">
        <f>IFERROR(MID(D1020,SEARCH("C_I_",D1020,1),3),"")</f>
        <v/>
      </c>
      <c r="O1020" s="3" t="str">
        <f>IF(AND(M1020="",N1020=""),"Extra","")</f>
        <v/>
      </c>
      <c r="P1020" s="3" t="str">
        <f>IF(Q1020=0,"TERCEIRO","MRS")</f>
        <v>MRS</v>
      </c>
      <c r="Q1020" s="8" t="str">
        <f>IFERROR(VLOOKUP(L1020,#REF!,4,0),"0,00")</f>
        <v>0,00</v>
      </c>
      <c r="R1020" s="9" t="s">
        <v>42</v>
      </c>
      <c r="S1020" s="9">
        <f>COUNTIF(D1020,"*_SEG_*")</f>
        <v>0</v>
      </c>
      <c r="T1020" s="9">
        <f>COUNTIF(D1020,"*_MAN_*")</f>
        <v>0</v>
      </c>
      <c r="U1020" s="9">
        <f>(RIGHT(D1020,4))*1</f>
        <v>30</v>
      </c>
      <c r="V1020" s="9" t="str">
        <f>IFERROR(VLOOKUP(I1020,#REF!,2,0),"Sinalização")</f>
        <v>Sinalização</v>
      </c>
    </row>
    <row r="1021" spans="1:22" x14ac:dyDescent="0.25">
      <c r="A1021" s="3" t="s">
        <v>22</v>
      </c>
      <c r="B1021" s="4">
        <v>23510759</v>
      </c>
      <c r="C1021" s="5" t="s">
        <v>23</v>
      </c>
      <c r="D1021" s="6" t="s">
        <v>835</v>
      </c>
      <c r="E1021" s="6" t="s">
        <v>25</v>
      </c>
      <c r="F1021" s="11">
        <v>46165</v>
      </c>
      <c r="G1021" s="6" t="s">
        <v>1079</v>
      </c>
      <c r="H1021" s="7" t="s">
        <v>32</v>
      </c>
      <c r="I1021" s="7" t="s">
        <v>961</v>
      </c>
      <c r="J1021" s="7" t="s">
        <v>836</v>
      </c>
      <c r="K1021" s="7" t="s">
        <v>29</v>
      </c>
      <c r="L1021" s="3" t="str">
        <f>E1021&amp;D1021</f>
        <v>E.SP.IPAEE_INS_CONF_S_I_CIRCUITO VIA CA_0030</v>
      </c>
      <c r="M1021" s="3" t="str">
        <f>IFERROR(MID(D1021,SEARCH("S_I_",D1021,1),3),"")</f>
        <v>S_I</v>
      </c>
      <c r="N1021" s="3" t="str">
        <f>IFERROR(MID(D1021,SEARCH("C_I_",D1021,1),3),"")</f>
        <v/>
      </c>
      <c r="O1021" s="3" t="str">
        <f>IF(AND(M1021="",N1021=""),"Extra","")</f>
        <v/>
      </c>
      <c r="P1021" s="3" t="str">
        <f>IF(Q1021=0,"TERCEIRO","MRS")</f>
        <v>MRS</v>
      </c>
      <c r="Q1021" s="8" t="str">
        <f>IFERROR(VLOOKUP(L1021,#REF!,4,0),"0,00")</f>
        <v>0,00</v>
      </c>
      <c r="R1021" s="9" t="s">
        <v>42</v>
      </c>
      <c r="S1021" s="9">
        <f>COUNTIF(D1021,"*_SEG_*")</f>
        <v>0</v>
      </c>
      <c r="T1021" s="9">
        <f>COUNTIF(D1021,"*_MAN_*")</f>
        <v>0</v>
      </c>
      <c r="U1021" s="9">
        <f>(RIGHT(D1021,4))*1</f>
        <v>30</v>
      </c>
      <c r="V1021" s="9" t="str">
        <f>IFERROR(VLOOKUP(I1021,#REF!,2,0),"Sinalização")</f>
        <v>Sinalização</v>
      </c>
    </row>
    <row r="1022" spans="1:22" x14ac:dyDescent="0.25">
      <c r="A1022" s="3" t="s">
        <v>22</v>
      </c>
      <c r="B1022" s="4">
        <v>23510760</v>
      </c>
      <c r="C1022" s="5" t="s">
        <v>23</v>
      </c>
      <c r="D1022" s="6" t="s">
        <v>835</v>
      </c>
      <c r="E1022" s="6" t="s">
        <v>25</v>
      </c>
      <c r="F1022" s="11">
        <v>46165</v>
      </c>
      <c r="G1022" s="6" t="s">
        <v>1079</v>
      </c>
      <c r="H1022" s="7" t="s">
        <v>32</v>
      </c>
      <c r="I1022" s="7" t="s">
        <v>962</v>
      </c>
      <c r="J1022" s="7" t="s">
        <v>836</v>
      </c>
      <c r="K1022" s="7" t="s">
        <v>29</v>
      </c>
      <c r="L1022" s="3" t="str">
        <f>E1022&amp;D1022</f>
        <v>E.SP.IPAEE_INS_CONF_S_I_CIRCUITO VIA CA_0030</v>
      </c>
      <c r="M1022" s="3" t="str">
        <f>IFERROR(MID(D1022,SEARCH("S_I_",D1022,1),3),"")</f>
        <v>S_I</v>
      </c>
      <c r="N1022" s="3" t="str">
        <f>IFERROR(MID(D1022,SEARCH("C_I_",D1022,1),3),"")</f>
        <v/>
      </c>
      <c r="O1022" s="3" t="str">
        <f>IF(AND(M1022="",N1022=""),"Extra","")</f>
        <v/>
      </c>
      <c r="P1022" s="3" t="str">
        <f>IF(Q1022=0,"TERCEIRO","MRS")</f>
        <v>MRS</v>
      </c>
      <c r="Q1022" s="8" t="str">
        <f>IFERROR(VLOOKUP(L1022,#REF!,4,0),"0,00")</f>
        <v>0,00</v>
      </c>
      <c r="R1022" s="9" t="s">
        <v>42</v>
      </c>
      <c r="S1022" s="9">
        <f>COUNTIF(D1022,"*_SEG_*")</f>
        <v>0</v>
      </c>
      <c r="T1022" s="9">
        <f>COUNTIF(D1022,"*_MAN_*")</f>
        <v>0</v>
      </c>
      <c r="U1022" s="9">
        <f>(RIGHT(D1022,4))*1</f>
        <v>30</v>
      </c>
      <c r="V1022" s="9" t="str">
        <f>IFERROR(VLOOKUP(I1022,#REF!,2,0),"Sinalização")</f>
        <v>Sinalização</v>
      </c>
    </row>
    <row r="1023" spans="1:22" x14ac:dyDescent="0.25">
      <c r="A1023" s="3" t="s">
        <v>22</v>
      </c>
      <c r="B1023" s="4">
        <v>23510761</v>
      </c>
      <c r="C1023" s="5" t="s">
        <v>23</v>
      </c>
      <c r="D1023" s="6" t="s">
        <v>835</v>
      </c>
      <c r="E1023" s="6" t="s">
        <v>25</v>
      </c>
      <c r="F1023" s="11">
        <v>46165</v>
      </c>
      <c r="G1023" s="6" t="s">
        <v>1079</v>
      </c>
      <c r="H1023" s="7" t="s">
        <v>26</v>
      </c>
      <c r="I1023" s="7" t="s">
        <v>963</v>
      </c>
      <c r="J1023" s="7" t="s">
        <v>836</v>
      </c>
      <c r="K1023" s="7" t="s">
        <v>29</v>
      </c>
      <c r="L1023" s="3" t="str">
        <f>E1023&amp;D1023</f>
        <v>E.SP.IPAEE_INS_CONF_S_I_CIRCUITO VIA CA_0030</v>
      </c>
      <c r="M1023" s="3" t="str">
        <f>IFERROR(MID(D1023,SEARCH("S_I_",D1023,1),3),"")</f>
        <v>S_I</v>
      </c>
      <c r="N1023" s="3" t="str">
        <f>IFERROR(MID(D1023,SEARCH("C_I_",D1023,1),3),"")</f>
        <v/>
      </c>
      <c r="O1023" s="3" t="str">
        <f>IF(AND(M1023="",N1023=""),"Extra","")</f>
        <v/>
      </c>
      <c r="P1023" s="3" t="str">
        <f>IF(Q1023=0,"TERCEIRO","MRS")</f>
        <v>MRS</v>
      </c>
      <c r="Q1023" s="8" t="str">
        <f>IFERROR(VLOOKUP(L1023,#REF!,4,0),"0,00")</f>
        <v>0,00</v>
      </c>
      <c r="R1023" s="9" t="s">
        <v>42</v>
      </c>
      <c r="S1023" s="9">
        <f>COUNTIF(D1023,"*_SEG_*")</f>
        <v>0</v>
      </c>
      <c r="T1023" s="9">
        <f>COUNTIF(D1023,"*_MAN_*")</f>
        <v>0</v>
      </c>
      <c r="U1023" s="9">
        <f>(RIGHT(D1023,4))*1</f>
        <v>30</v>
      </c>
      <c r="V1023" s="9" t="str">
        <f>IFERROR(VLOOKUP(I1023,#REF!,2,0),"Sinalização")</f>
        <v>Sinalização</v>
      </c>
    </row>
    <row r="1024" spans="1:22" x14ac:dyDescent="0.25">
      <c r="A1024" s="3" t="s">
        <v>22</v>
      </c>
      <c r="B1024" s="4">
        <v>23510762</v>
      </c>
      <c r="C1024" s="5" t="s">
        <v>23</v>
      </c>
      <c r="D1024" s="6" t="s">
        <v>835</v>
      </c>
      <c r="E1024" s="6" t="s">
        <v>25</v>
      </c>
      <c r="F1024" s="11">
        <v>46165</v>
      </c>
      <c r="G1024" s="6" t="s">
        <v>1079</v>
      </c>
      <c r="H1024" s="7" t="s">
        <v>26</v>
      </c>
      <c r="I1024" s="7" t="s">
        <v>964</v>
      </c>
      <c r="J1024" s="7" t="s">
        <v>836</v>
      </c>
      <c r="K1024" s="7" t="s">
        <v>29</v>
      </c>
      <c r="L1024" s="3" t="str">
        <f>E1024&amp;D1024</f>
        <v>E.SP.IPAEE_INS_CONF_S_I_CIRCUITO VIA CA_0030</v>
      </c>
      <c r="M1024" s="3" t="str">
        <f>IFERROR(MID(D1024,SEARCH("S_I_",D1024,1),3),"")</f>
        <v>S_I</v>
      </c>
      <c r="N1024" s="3" t="str">
        <f>IFERROR(MID(D1024,SEARCH("C_I_",D1024,1),3),"")</f>
        <v/>
      </c>
      <c r="O1024" s="3" t="str">
        <f>IF(AND(M1024="",N1024=""),"Extra","")</f>
        <v/>
      </c>
      <c r="P1024" s="3" t="str">
        <f>IF(Q1024=0,"TERCEIRO","MRS")</f>
        <v>MRS</v>
      </c>
      <c r="Q1024" s="8" t="str">
        <f>IFERROR(VLOOKUP(L1024,#REF!,4,0),"0,00")</f>
        <v>0,00</v>
      </c>
      <c r="R1024" s="9" t="s">
        <v>42</v>
      </c>
      <c r="S1024" s="9">
        <f>COUNTIF(D1024,"*_SEG_*")</f>
        <v>0</v>
      </c>
      <c r="T1024" s="9">
        <f>COUNTIF(D1024,"*_MAN_*")</f>
        <v>0</v>
      </c>
      <c r="U1024" s="9">
        <f>(RIGHT(D1024,4))*1</f>
        <v>30</v>
      </c>
      <c r="V1024" s="9" t="str">
        <f>IFERROR(VLOOKUP(I1024,#REF!,2,0),"Sinalização")</f>
        <v>Sinalização</v>
      </c>
    </row>
    <row r="1025" spans="1:22" x14ac:dyDescent="0.25">
      <c r="A1025" s="3" t="s">
        <v>22</v>
      </c>
      <c r="B1025" s="4">
        <v>23510763</v>
      </c>
      <c r="C1025" s="5" t="s">
        <v>23</v>
      </c>
      <c r="D1025" s="6" t="s">
        <v>835</v>
      </c>
      <c r="E1025" s="6" t="s">
        <v>25</v>
      </c>
      <c r="F1025" s="11">
        <v>46165</v>
      </c>
      <c r="G1025" s="6" t="s">
        <v>1079</v>
      </c>
      <c r="H1025" s="7" t="s">
        <v>32</v>
      </c>
      <c r="I1025" s="7" t="s">
        <v>768</v>
      </c>
      <c r="J1025" s="7" t="s">
        <v>836</v>
      </c>
      <c r="K1025" s="7" t="s">
        <v>29</v>
      </c>
      <c r="L1025" s="3" t="str">
        <f>E1025&amp;D1025</f>
        <v>E.SP.IPAEE_INS_CONF_S_I_CIRCUITO VIA CA_0030</v>
      </c>
      <c r="M1025" s="3" t="str">
        <f>IFERROR(MID(D1025,SEARCH("S_I_",D1025,1),3),"")</f>
        <v>S_I</v>
      </c>
      <c r="N1025" s="3" t="str">
        <f>IFERROR(MID(D1025,SEARCH("C_I_",D1025,1),3),"")</f>
        <v/>
      </c>
      <c r="O1025" s="3" t="str">
        <f>IF(AND(M1025="",N1025=""),"Extra","")</f>
        <v/>
      </c>
      <c r="P1025" s="3" t="str">
        <f>IF(Q1025=0,"TERCEIRO","MRS")</f>
        <v>MRS</v>
      </c>
      <c r="Q1025" s="8" t="str">
        <f>IFERROR(VLOOKUP(L1025,#REF!,4,0),"0,00")</f>
        <v>0,00</v>
      </c>
      <c r="R1025" s="9" t="s">
        <v>42</v>
      </c>
      <c r="S1025" s="9">
        <f>COUNTIF(D1025,"*_SEG_*")</f>
        <v>0</v>
      </c>
      <c r="T1025" s="9">
        <f>COUNTIF(D1025,"*_MAN_*")</f>
        <v>0</v>
      </c>
      <c r="U1025" s="9">
        <f>(RIGHT(D1025,4))*1</f>
        <v>30</v>
      </c>
      <c r="V1025" s="9" t="str">
        <f>IFERROR(VLOOKUP(I1025,#REF!,2,0),"Sinalização")</f>
        <v>Sinalização</v>
      </c>
    </row>
    <row r="1026" spans="1:22" x14ac:dyDescent="0.25">
      <c r="A1026" s="3" t="s">
        <v>22</v>
      </c>
      <c r="B1026" s="4">
        <v>23510764</v>
      </c>
      <c r="C1026" s="5" t="s">
        <v>23</v>
      </c>
      <c r="D1026" s="6" t="s">
        <v>835</v>
      </c>
      <c r="E1026" s="6" t="s">
        <v>25</v>
      </c>
      <c r="F1026" s="11">
        <v>46165</v>
      </c>
      <c r="G1026" s="6" t="s">
        <v>1079</v>
      </c>
      <c r="H1026" s="7" t="s">
        <v>32</v>
      </c>
      <c r="I1026" s="7" t="s">
        <v>756</v>
      </c>
      <c r="J1026" s="7" t="s">
        <v>836</v>
      </c>
      <c r="K1026" s="7" t="s">
        <v>29</v>
      </c>
      <c r="L1026" s="3" t="str">
        <f>E1026&amp;D1026</f>
        <v>E.SP.IPAEE_INS_CONF_S_I_CIRCUITO VIA CA_0030</v>
      </c>
      <c r="M1026" s="3" t="str">
        <f>IFERROR(MID(D1026,SEARCH("S_I_",D1026,1),3),"")</f>
        <v>S_I</v>
      </c>
      <c r="N1026" s="3" t="str">
        <f>IFERROR(MID(D1026,SEARCH("C_I_",D1026,1),3),"")</f>
        <v/>
      </c>
      <c r="O1026" s="3" t="str">
        <f>IF(AND(M1026="",N1026=""),"Extra","")</f>
        <v/>
      </c>
      <c r="P1026" s="3" t="str">
        <f>IF(Q1026=0,"TERCEIRO","MRS")</f>
        <v>MRS</v>
      </c>
      <c r="Q1026" s="8" t="str">
        <f>IFERROR(VLOOKUP(L1026,#REF!,4,0),"0,00")</f>
        <v>0,00</v>
      </c>
      <c r="R1026" s="9" t="s">
        <v>42</v>
      </c>
      <c r="S1026" s="9">
        <f>COUNTIF(D1026,"*_SEG_*")</f>
        <v>0</v>
      </c>
      <c r="T1026" s="9">
        <f>COUNTIF(D1026,"*_MAN_*")</f>
        <v>0</v>
      </c>
      <c r="U1026" s="9">
        <f>(RIGHT(D1026,4))*1</f>
        <v>30</v>
      </c>
      <c r="V1026" s="9" t="str">
        <f>IFERROR(VLOOKUP(I1026,#REF!,2,0),"Sinalização")</f>
        <v>Sinalização</v>
      </c>
    </row>
    <row r="1027" spans="1:22" x14ac:dyDescent="0.25">
      <c r="A1027" s="3" t="s">
        <v>22</v>
      </c>
      <c r="B1027" s="4">
        <v>23510765</v>
      </c>
      <c r="C1027" s="5" t="s">
        <v>23</v>
      </c>
      <c r="D1027" s="6" t="s">
        <v>835</v>
      </c>
      <c r="E1027" s="6" t="s">
        <v>25</v>
      </c>
      <c r="F1027" s="11">
        <v>46165</v>
      </c>
      <c r="G1027" s="6" t="s">
        <v>1079</v>
      </c>
      <c r="H1027" s="7" t="s">
        <v>26</v>
      </c>
      <c r="I1027" s="7" t="s">
        <v>757</v>
      </c>
      <c r="J1027" s="7" t="s">
        <v>836</v>
      </c>
      <c r="K1027" s="7" t="s">
        <v>29</v>
      </c>
      <c r="L1027" s="3" t="str">
        <f>E1027&amp;D1027</f>
        <v>E.SP.IPAEE_INS_CONF_S_I_CIRCUITO VIA CA_0030</v>
      </c>
      <c r="M1027" s="3" t="str">
        <f>IFERROR(MID(D1027,SEARCH("S_I_",D1027,1),3),"")</f>
        <v>S_I</v>
      </c>
      <c r="N1027" s="3" t="str">
        <f>IFERROR(MID(D1027,SEARCH("C_I_",D1027,1),3),"")</f>
        <v/>
      </c>
      <c r="O1027" s="3" t="str">
        <f>IF(AND(M1027="",N1027=""),"Extra","")</f>
        <v/>
      </c>
      <c r="P1027" s="3" t="str">
        <f>IF(Q1027=0,"TERCEIRO","MRS")</f>
        <v>MRS</v>
      </c>
      <c r="Q1027" s="8" t="str">
        <f>IFERROR(VLOOKUP(L1027,#REF!,4,0),"0,00")</f>
        <v>0,00</v>
      </c>
      <c r="R1027" s="9" t="s">
        <v>42</v>
      </c>
      <c r="S1027" s="9">
        <f>COUNTIF(D1027,"*_SEG_*")</f>
        <v>0</v>
      </c>
      <c r="T1027" s="9">
        <f>COUNTIF(D1027,"*_MAN_*")</f>
        <v>0</v>
      </c>
      <c r="U1027" s="9">
        <f>(RIGHT(D1027,4))*1</f>
        <v>30</v>
      </c>
      <c r="V1027" s="9" t="str">
        <f>IFERROR(VLOOKUP(I1027,#REF!,2,0),"Sinalização")</f>
        <v>Sinalização</v>
      </c>
    </row>
    <row r="1028" spans="1:22" x14ac:dyDescent="0.25">
      <c r="A1028" s="3" t="s">
        <v>22</v>
      </c>
      <c r="B1028" s="4">
        <v>23510766</v>
      </c>
      <c r="C1028" s="5" t="s">
        <v>23</v>
      </c>
      <c r="D1028" s="6" t="s">
        <v>835</v>
      </c>
      <c r="E1028" s="6" t="s">
        <v>25</v>
      </c>
      <c r="F1028" s="11">
        <v>46165</v>
      </c>
      <c r="G1028" s="6" t="s">
        <v>1079</v>
      </c>
      <c r="H1028" s="7" t="s">
        <v>26</v>
      </c>
      <c r="I1028" s="7" t="s">
        <v>758</v>
      </c>
      <c r="J1028" s="7" t="s">
        <v>836</v>
      </c>
      <c r="K1028" s="7" t="s">
        <v>29</v>
      </c>
      <c r="L1028" s="3" t="str">
        <f>E1028&amp;D1028</f>
        <v>E.SP.IPAEE_INS_CONF_S_I_CIRCUITO VIA CA_0030</v>
      </c>
      <c r="M1028" s="3" t="str">
        <f>IFERROR(MID(D1028,SEARCH("S_I_",D1028,1),3),"")</f>
        <v>S_I</v>
      </c>
      <c r="N1028" s="3" t="str">
        <f>IFERROR(MID(D1028,SEARCH("C_I_",D1028,1),3),"")</f>
        <v/>
      </c>
      <c r="O1028" s="3" t="str">
        <f>IF(AND(M1028="",N1028=""),"Extra","")</f>
        <v/>
      </c>
      <c r="P1028" s="3" t="str">
        <f>IF(Q1028=0,"TERCEIRO","MRS")</f>
        <v>MRS</v>
      </c>
      <c r="Q1028" s="8" t="str">
        <f>IFERROR(VLOOKUP(L1028,#REF!,4,0),"0,00")</f>
        <v>0,00</v>
      </c>
      <c r="R1028" s="9" t="s">
        <v>42</v>
      </c>
      <c r="S1028" s="9">
        <f>COUNTIF(D1028,"*_SEG_*")</f>
        <v>0</v>
      </c>
      <c r="T1028" s="9">
        <f>COUNTIF(D1028,"*_MAN_*")</f>
        <v>0</v>
      </c>
      <c r="U1028" s="9">
        <f>(RIGHT(D1028,4))*1</f>
        <v>30</v>
      </c>
      <c r="V1028" s="9" t="str">
        <f>IFERROR(VLOOKUP(I1028,#REF!,2,0),"Sinalização")</f>
        <v>Sinalização</v>
      </c>
    </row>
    <row r="1029" spans="1:22" x14ac:dyDescent="0.25">
      <c r="A1029" s="3" t="s">
        <v>22</v>
      </c>
      <c r="B1029" s="4">
        <v>23510767</v>
      </c>
      <c r="C1029" s="5" t="s">
        <v>23</v>
      </c>
      <c r="D1029" s="6" t="s">
        <v>835</v>
      </c>
      <c r="E1029" s="6" t="s">
        <v>25</v>
      </c>
      <c r="F1029" s="11">
        <v>46165</v>
      </c>
      <c r="G1029" s="6" t="s">
        <v>1079</v>
      </c>
      <c r="H1029" s="7" t="s">
        <v>32</v>
      </c>
      <c r="I1029" s="7" t="s">
        <v>759</v>
      </c>
      <c r="J1029" s="7" t="s">
        <v>836</v>
      </c>
      <c r="K1029" s="7" t="s">
        <v>29</v>
      </c>
      <c r="L1029" s="3" t="str">
        <f>E1029&amp;D1029</f>
        <v>E.SP.IPAEE_INS_CONF_S_I_CIRCUITO VIA CA_0030</v>
      </c>
      <c r="M1029" s="3" t="str">
        <f>IFERROR(MID(D1029,SEARCH("S_I_",D1029,1),3),"")</f>
        <v>S_I</v>
      </c>
      <c r="N1029" s="3" t="str">
        <f>IFERROR(MID(D1029,SEARCH("C_I_",D1029,1),3),"")</f>
        <v/>
      </c>
      <c r="O1029" s="3" t="str">
        <f>IF(AND(M1029="",N1029=""),"Extra","")</f>
        <v/>
      </c>
      <c r="P1029" s="3" t="str">
        <f>IF(Q1029=0,"TERCEIRO","MRS")</f>
        <v>MRS</v>
      </c>
      <c r="Q1029" s="8" t="str">
        <f>IFERROR(VLOOKUP(L1029,#REF!,4,0),"0,00")</f>
        <v>0,00</v>
      </c>
      <c r="R1029" s="9" t="s">
        <v>42</v>
      </c>
      <c r="S1029" s="9">
        <f>COUNTIF(D1029,"*_SEG_*")</f>
        <v>0</v>
      </c>
      <c r="T1029" s="9">
        <f>COUNTIF(D1029,"*_MAN_*")</f>
        <v>0</v>
      </c>
      <c r="U1029" s="9">
        <f>(RIGHT(D1029,4))*1</f>
        <v>30</v>
      </c>
      <c r="V1029" s="9" t="str">
        <f>IFERROR(VLOOKUP(I1029,#REF!,2,0),"Sinalização")</f>
        <v>Sinalização</v>
      </c>
    </row>
    <row r="1030" spans="1:22" x14ac:dyDescent="0.25">
      <c r="A1030" s="3" t="s">
        <v>22</v>
      </c>
      <c r="B1030" s="4">
        <v>23510768</v>
      </c>
      <c r="C1030" s="5" t="s">
        <v>23</v>
      </c>
      <c r="D1030" s="6" t="s">
        <v>835</v>
      </c>
      <c r="E1030" s="6" t="s">
        <v>25</v>
      </c>
      <c r="F1030" s="11">
        <v>46165</v>
      </c>
      <c r="G1030" s="6" t="s">
        <v>1079</v>
      </c>
      <c r="H1030" s="7" t="s">
        <v>32</v>
      </c>
      <c r="I1030" s="7" t="s">
        <v>994</v>
      </c>
      <c r="J1030" s="7" t="s">
        <v>836</v>
      </c>
      <c r="K1030" s="7" t="s">
        <v>29</v>
      </c>
      <c r="L1030" s="3" t="str">
        <f>E1030&amp;D1030</f>
        <v>E.SP.IPAEE_INS_CONF_S_I_CIRCUITO VIA CA_0030</v>
      </c>
      <c r="M1030" s="3" t="str">
        <f>IFERROR(MID(D1030,SEARCH("S_I_",D1030,1),3),"")</f>
        <v>S_I</v>
      </c>
      <c r="N1030" s="3" t="str">
        <f>IFERROR(MID(D1030,SEARCH("C_I_",D1030,1),3),"")</f>
        <v/>
      </c>
      <c r="O1030" s="3" t="str">
        <f>IF(AND(M1030="",N1030=""),"Extra","")</f>
        <v/>
      </c>
      <c r="P1030" s="3" t="str">
        <f>IF(Q1030=0,"TERCEIRO","MRS")</f>
        <v>MRS</v>
      </c>
      <c r="Q1030" s="8" t="str">
        <f>IFERROR(VLOOKUP(L1030,#REF!,4,0),"0,00")</f>
        <v>0,00</v>
      </c>
      <c r="R1030" s="9" t="s">
        <v>42</v>
      </c>
      <c r="S1030" s="9">
        <f>COUNTIF(D1030,"*_SEG_*")</f>
        <v>0</v>
      </c>
      <c r="T1030" s="9">
        <f>COUNTIF(D1030,"*_MAN_*")</f>
        <v>0</v>
      </c>
      <c r="U1030" s="9">
        <f>(RIGHT(D1030,4))*1</f>
        <v>30</v>
      </c>
      <c r="V1030" s="9" t="str">
        <f>IFERROR(VLOOKUP(I1030,#REF!,2,0),"Sinalização")</f>
        <v>Sinalização</v>
      </c>
    </row>
    <row r="1031" spans="1:22" x14ac:dyDescent="0.25">
      <c r="A1031" s="3" t="s">
        <v>22</v>
      </c>
      <c r="B1031" s="4">
        <v>23510769</v>
      </c>
      <c r="C1031" s="5" t="s">
        <v>23</v>
      </c>
      <c r="D1031" s="6" t="s">
        <v>835</v>
      </c>
      <c r="E1031" s="6" t="s">
        <v>25</v>
      </c>
      <c r="F1031" s="11">
        <v>46165</v>
      </c>
      <c r="G1031" s="6" t="s">
        <v>1079</v>
      </c>
      <c r="H1031" s="7" t="s">
        <v>26</v>
      </c>
      <c r="I1031" s="7" t="s">
        <v>995</v>
      </c>
      <c r="J1031" s="7" t="s">
        <v>836</v>
      </c>
      <c r="K1031" s="7" t="s">
        <v>29</v>
      </c>
      <c r="L1031" s="3" t="str">
        <f>E1031&amp;D1031</f>
        <v>E.SP.IPAEE_INS_CONF_S_I_CIRCUITO VIA CA_0030</v>
      </c>
      <c r="M1031" s="3" t="str">
        <f>IFERROR(MID(D1031,SEARCH("S_I_",D1031,1),3),"")</f>
        <v>S_I</v>
      </c>
      <c r="N1031" s="3" t="str">
        <f>IFERROR(MID(D1031,SEARCH("C_I_",D1031,1),3),"")</f>
        <v/>
      </c>
      <c r="O1031" s="3" t="str">
        <f>IF(AND(M1031="",N1031=""),"Extra","")</f>
        <v/>
      </c>
      <c r="P1031" s="3" t="str">
        <f>IF(Q1031=0,"TERCEIRO","MRS")</f>
        <v>MRS</v>
      </c>
      <c r="Q1031" s="8" t="str">
        <f>IFERROR(VLOOKUP(L1031,#REF!,4,0),"0,00")</f>
        <v>0,00</v>
      </c>
      <c r="R1031" s="9" t="s">
        <v>42</v>
      </c>
      <c r="S1031" s="9">
        <f>COUNTIF(D1031,"*_SEG_*")</f>
        <v>0</v>
      </c>
      <c r="T1031" s="9">
        <f>COUNTIF(D1031,"*_MAN_*")</f>
        <v>0</v>
      </c>
      <c r="U1031" s="9">
        <f>(RIGHT(D1031,4))*1</f>
        <v>30</v>
      </c>
      <c r="V1031" s="9" t="str">
        <f>IFERROR(VLOOKUP(I1031,#REF!,2,0),"Sinalização")</f>
        <v>Sinalização</v>
      </c>
    </row>
    <row r="1032" spans="1:22" x14ac:dyDescent="0.25">
      <c r="A1032" s="3" t="s">
        <v>22</v>
      </c>
      <c r="B1032" s="4">
        <v>23510770</v>
      </c>
      <c r="C1032" s="5" t="s">
        <v>23</v>
      </c>
      <c r="D1032" s="6" t="s">
        <v>835</v>
      </c>
      <c r="E1032" s="6" t="s">
        <v>25</v>
      </c>
      <c r="F1032" s="11">
        <v>46165</v>
      </c>
      <c r="G1032" s="6" t="s">
        <v>1079</v>
      </c>
      <c r="H1032" s="7" t="s">
        <v>26</v>
      </c>
      <c r="I1032" s="7" t="s">
        <v>996</v>
      </c>
      <c r="J1032" s="7" t="s">
        <v>836</v>
      </c>
      <c r="K1032" s="7" t="s">
        <v>29</v>
      </c>
      <c r="L1032" s="3" t="str">
        <f>E1032&amp;D1032</f>
        <v>E.SP.IPAEE_INS_CONF_S_I_CIRCUITO VIA CA_0030</v>
      </c>
      <c r="M1032" s="3" t="str">
        <f>IFERROR(MID(D1032,SEARCH("S_I_",D1032,1),3),"")</f>
        <v>S_I</v>
      </c>
      <c r="N1032" s="3" t="str">
        <f>IFERROR(MID(D1032,SEARCH("C_I_",D1032,1),3),"")</f>
        <v/>
      </c>
      <c r="O1032" s="3" t="str">
        <f>IF(AND(M1032="",N1032=""),"Extra","")</f>
        <v/>
      </c>
      <c r="P1032" s="3" t="str">
        <f>IF(Q1032=0,"TERCEIRO","MRS")</f>
        <v>MRS</v>
      </c>
      <c r="Q1032" s="8" t="str">
        <f>IFERROR(VLOOKUP(L1032,#REF!,4,0),"0,00")</f>
        <v>0,00</v>
      </c>
      <c r="R1032" s="9" t="s">
        <v>42</v>
      </c>
      <c r="S1032" s="9">
        <f>COUNTIF(D1032,"*_SEG_*")</f>
        <v>0</v>
      </c>
      <c r="T1032" s="9">
        <f>COUNTIF(D1032,"*_MAN_*")</f>
        <v>0</v>
      </c>
      <c r="U1032" s="9">
        <f>(RIGHT(D1032,4))*1</f>
        <v>30</v>
      </c>
      <c r="V1032" s="9" t="str">
        <f>IFERROR(VLOOKUP(I1032,#REF!,2,0),"Sinalização")</f>
        <v>Sinalização</v>
      </c>
    </row>
    <row r="1033" spans="1:22" x14ac:dyDescent="0.25">
      <c r="A1033" s="3" t="s">
        <v>22</v>
      </c>
      <c r="B1033" s="4">
        <v>23510771</v>
      </c>
      <c r="C1033" s="5" t="s">
        <v>23</v>
      </c>
      <c r="D1033" s="6" t="s">
        <v>835</v>
      </c>
      <c r="E1033" s="6" t="s">
        <v>25</v>
      </c>
      <c r="F1033" s="11">
        <v>46165</v>
      </c>
      <c r="G1033" s="6" t="s">
        <v>1079</v>
      </c>
      <c r="H1033" s="7" t="s">
        <v>32</v>
      </c>
      <c r="I1033" s="7" t="s">
        <v>997</v>
      </c>
      <c r="J1033" s="7" t="s">
        <v>836</v>
      </c>
      <c r="K1033" s="7" t="s">
        <v>29</v>
      </c>
      <c r="L1033" s="3" t="str">
        <f>E1033&amp;D1033</f>
        <v>E.SP.IPAEE_INS_CONF_S_I_CIRCUITO VIA CA_0030</v>
      </c>
      <c r="M1033" s="3" t="str">
        <f>IFERROR(MID(D1033,SEARCH("S_I_",D1033,1),3),"")</f>
        <v>S_I</v>
      </c>
      <c r="N1033" s="3" t="str">
        <f>IFERROR(MID(D1033,SEARCH("C_I_",D1033,1),3),"")</f>
        <v/>
      </c>
      <c r="O1033" s="3" t="str">
        <f>IF(AND(M1033="",N1033=""),"Extra","")</f>
        <v/>
      </c>
      <c r="P1033" s="3" t="str">
        <f>IF(Q1033=0,"TERCEIRO","MRS")</f>
        <v>MRS</v>
      </c>
      <c r="Q1033" s="8" t="str">
        <f>IFERROR(VLOOKUP(L1033,#REF!,4,0),"0,00")</f>
        <v>0,00</v>
      </c>
      <c r="R1033" s="9" t="s">
        <v>42</v>
      </c>
      <c r="S1033" s="9">
        <f>COUNTIF(D1033,"*_SEG_*")</f>
        <v>0</v>
      </c>
      <c r="T1033" s="9">
        <f>COUNTIF(D1033,"*_MAN_*")</f>
        <v>0</v>
      </c>
      <c r="U1033" s="9">
        <f>(RIGHT(D1033,4))*1</f>
        <v>30</v>
      </c>
      <c r="V1033" s="9" t="str">
        <f>IFERROR(VLOOKUP(I1033,#REF!,2,0),"Sinalização")</f>
        <v>Sinalização</v>
      </c>
    </row>
    <row r="1034" spans="1:22" x14ac:dyDescent="0.25">
      <c r="A1034" s="3" t="s">
        <v>22</v>
      </c>
      <c r="B1034" s="4">
        <v>23510772</v>
      </c>
      <c r="C1034" s="5" t="s">
        <v>23</v>
      </c>
      <c r="D1034" s="6" t="s">
        <v>835</v>
      </c>
      <c r="E1034" s="6" t="s">
        <v>25</v>
      </c>
      <c r="F1034" s="11">
        <v>46165</v>
      </c>
      <c r="G1034" s="6" t="s">
        <v>1079</v>
      </c>
      <c r="H1034" s="7" t="s">
        <v>32</v>
      </c>
      <c r="I1034" s="7" t="s">
        <v>370</v>
      </c>
      <c r="J1034" s="7" t="s">
        <v>836</v>
      </c>
      <c r="K1034" s="7" t="s">
        <v>29</v>
      </c>
      <c r="L1034" s="3" t="str">
        <f>E1034&amp;D1034</f>
        <v>E.SP.IPAEE_INS_CONF_S_I_CIRCUITO VIA CA_0030</v>
      </c>
      <c r="M1034" s="3" t="str">
        <f>IFERROR(MID(D1034,SEARCH("S_I_",D1034,1),3),"")</f>
        <v>S_I</v>
      </c>
      <c r="N1034" s="3" t="str">
        <f>IFERROR(MID(D1034,SEARCH("C_I_",D1034,1),3),"")</f>
        <v/>
      </c>
      <c r="O1034" s="3" t="str">
        <f>IF(AND(M1034="",N1034=""),"Extra","")</f>
        <v/>
      </c>
      <c r="P1034" s="3" t="str">
        <f>IF(Q1034=0,"TERCEIRO","MRS")</f>
        <v>MRS</v>
      </c>
      <c r="Q1034" s="8" t="str">
        <f>IFERROR(VLOOKUP(L1034,#REF!,4,0),"0,00")</f>
        <v>0,00</v>
      </c>
      <c r="R1034" s="9" t="s">
        <v>42</v>
      </c>
      <c r="S1034" s="9">
        <f>COUNTIF(D1034,"*_SEG_*")</f>
        <v>0</v>
      </c>
      <c r="T1034" s="9">
        <f>COUNTIF(D1034,"*_MAN_*")</f>
        <v>0</v>
      </c>
      <c r="U1034" s="9">
        <f>(RIGHT(D1034,4))*1</f>
        <v>30</v>
      </c>
      <c r="V1034" s="9" t="str">
        <f>IFERROR(VLOOKUP(I1034,#REF!,2,0),"Sinalização")</f>
        <v>Sinalização</v>
      </c>
    </row>
    <row r="1035" spans="1:22" x14ac:dyDescent="0.25">
      <c r="A1035" s="3" t="s">
        <v>22</v>
      </c>
      <c r="B1035" s="4">
        <v>23510773</v>
      </c>
      <c r="C1035" s="5" t="s">
        <v>23</v>
      </c>
      <c r="D1035" s="6" t="s">
        <v>835</v>
      </c>
      <c r="E1035" s="6" t="s">
        <v>25</v>
      </c>
      <c r="F1035" s="11">
        <v>46165</v>
      </c>
      <c r="G1035" s="6" t="s">
        <v>1079</v>
      </c>
      <c r="H1035" s="7" t="s">
        <v>26</v>
      </c>
      <c r="I1035" s="7" t="s">
        <v>369</v>
      </c>
      <c r="J1035" s="7" t="s">
        <v>836</v>
      </c>
      <c r="K1035" s="7" t="s">
        <v>29</v>
      </c>
      <c r="L1035" s="3" t="str">
        <f>E1035&amp;D1035</f>
        <v>E.SP.IPAEE_INS_CONF_S_I_CIRCUITO VIA CA_0030</v>
      </c>
      <c r="M1035" s="3" t="str">
        <f>IFERROR(MID(D1035,SEARCH("S_I_",D1035,1),3),"")</f>
        <v>S_I</v>
      </c>
      <c r="N1035" s="3" t="str">
        <f>IFERROR(MID(D1035,SEARCH("C_I_",D1035,1),3),"")</f>
        <v/>
      </c>
      <c r="O1035" s="3" t="str">
        <f>IF(AND(M1035="",N1035=""),"Extra","")</f>
        <v/>
      </c>
      <c r="P1035" s="3" t="str">
        <f>IF(Q1035=0,"TERCEIRO","MRS")</f>
        <v>MRS</v>
      </c>
      <c r="Q1035" s="8" t="str">
        <f>IFERROR(VLOOKUP(L1035,#REF!,4,0),"0,00")</f>
        <v>0,00</v>
      </c>
      <c r="R1035" s="9" t="s">
        <v>42</v>
      </c>
      <c r="S1035" s="9">
        <f>COUNTIF(D1035,"*_SEG_*")</f>
        <v>0</v>
      </c>
      <c r="T1035" s="9">
        <f>COUNTIF(D1035,"*_MAN_*")</f>
        <v>0</v>
      </c>
      <c r="U1035" s="9">
        <f>(RIGHT(D1035,4))*1</f>
        <v>30</v>
      </c>
      <c r="V1035" s="9" t="str">
        <f>IFERROR(VLOOKUP(I1035,#REF!,2,0),"Sinalização")</f>
        <v>Sinalização</v>
      </c>
    </row>
    <row r="1036" spans="1:22" x14ac:dyDescent="0.25">
      <c r="A1036" s="3" t="s">
        <v>22</v>
      </c>
      <c r="B1036" s="4">
        <v>23510774</v>
      </c>
      <c r="C1036" s="5" t="s">
        <v>23</v>
      </c>
      <c r="D1036" s="6" t="s">
        <v>835</v>
      </c>
      <c r="E1036" s="6" t="s">
        <v>25</v>
      </c>
      <c r="F1036" s="11">
        <v>46165</v>
      </c>
      <c r="G1036" s="6" t="s">
        <v>1079</v>
      </c>
      <c r="H1036" s="7" t="s">
        <v>26</v>
      </c>
      <c r="I1036" s="7" t="s">
        <v>761</v>
      </c>
      <c r="J1036" s="7" t="s">
        <v>836</v>
      </c>
      <c r="K1036" s="7" t="s">
        <v>29</v>
      </c>
      <c r="L1036" s="3" t="str">
        <f>E1036&amp;D1036</f>
        <v>E.SP.IPAEE_INS_CONF_S_I_CIRCUITO VIA CA_0030</v>
      </c>
      <c r="M1036" s="3" t="str">
        <f>IFERROR(MID(D1036,SEARCH("S_I_",D1036,1),3),"")</f>
        <v>S_I</v>
      </c>
      <c r="N1036" s="3" t="str">
        <f>IFERROR(MID(D1036,SEARCH("C_I_",D1036,1),3),"")</f>
        <v/>
      </c>
      <c r="O1036" s="3" t="str">
        <f>IF(AND(M1036="",N1036=""),"Extra","")</f>
        <v/>
      </c>
      <c r="P1036" s="3" t="str">
        <f>IF(Q1036=0,"TERCEIRO","MRS")</f>
        <v>MRS</v>
      </c>
      <c r="Q1036" s="8" t="str">
        <f>IFERROR(VLOOKUP(L1036,#REF!,4,0),"0,00")</f>
        <v>0,00</v>
      </c>
      <c r="R1036" s="9" t="s">
        <v>42</v>
      </c>
      <c r="S1036" s="9">
        <f>COUNTIF(D1036,"*_SEG_*")</f>
        <v>0</v>
      </c>
      <c r="T1036" s="9">
        <f>COUNTIF(D1036,"*_MAN_*")</f>
        <v>0</v>
      </c>
      <c r="U1036" s="9">
        <f>(RIGHT(D1036,4))*1</f>
        <v>30</v>
      </c>
      <c r="V1036" s="9" t="str">
        <f>IFERROR(VLOOKUP(I1036,#REF!,2,0),"Sinalização")</f>
        <v>Sinalização</v>
      </c>
    </row>
    <row r="1037" spans="1:22" x14ac:dyDescent="0.25">
      <c r="A1037" s="3" t="s">
        <v>22</v>
      </c>
      <c r="B1037" s="4">
        <v>23510776</v>
      </c>
      <c r="C1037" s="5" t="s">
        <v>23</v>
      </c>
      <c r="D1037" s="6" t="s">
        <v>835</v>
      </c>
      <c r="E1037" s="6" t="s">
        <v>25</v>
      </c>
      <c r="F1037" s="11">
        <v>46165</v>
      </c>
      <c r="G1037" s="6" t="s">
        <v>1079</v>
      </c>
      <c r="H1037" s="7" t="s">
        <v>32</v>
      </c>
      <c r="I1037" s="7" t="s">
        <v>406</v>
      </c>
      <c r="J1037" s="7" t="s">
        <v>836</v>
      </c>
      <c r="K1037" s="7" t="s">
        <v>29</v>
      </c>
      <c r="L1037" s="3" t="str">
        <f>E1037&amp;D1037</f>
        <v>E.SP.IPAEE_INS_CONF_S_I_CIRCUITO VIA CA_0030</v>
      </c>
      <c r="M1037" s="3" t="str">
        <f>IFERROR(MID(D1037,SEARCH("S_I_",D1037,1),3),"")</f>
        <v>S_I</v>
      </c>
      <c r="N1037" s="3" t="str">
        <f>IFERROR(MID(D1037,SEARCH("C_I_",D1037,1),3),"")</f>
        <v/>
      </c>
      <c r="O1037" s="3" t="str">
        <f>IF(AND(M1037="",N1037=""),"Extra","")</f>
        <v/>
      </c>
      <c r="P1037" s="3" t="str">
        <f>IF(Q1037=0,"TERCEIRO","MRS")</f>
        <v>MRS</v>
      </c>
      <c r="Q1037" s="8" t="str">
        <f>IFERROR(VLOOKUP(L1037,#REF!,4,0),"0,00")</f>
        <v>0,00</v>
      </c>
      <c r="R1037" s="9" t="s">
        <v>42</v>
      </c>
      <c r="S1037" s="9">
        <f>COUNTIF(D1037,"*_SEG_*")</f>
        <v>0</v>
      </c>
      <c r="T1037" s="9">
        <f>COUNTIF(D1037,"*_MAN_*")</f>
        <v>0</v>
      </c>
      <c r="U1037" s="9">
        <f>(RIGHT(D1037,4))*1</f>
        <v>30</v>
      </c>
      <c r="V1037" s="9" t="str">
        <f>IFERROR(VLOOKUP(I1037,#REF!,2,0),"Sinalização")</f>
        <v>Sinalização</v>
      </c>
    </row>
    <row r="1038" spans="1:22" x14ac:dyDescent="0.25">
      <c r="A1038" s="3" t="s">
        <v>22</v>
      </c>
      <c r="B1038" s="4">
        <v>23510777</v>
      </c>
      <c r="C1038" s="5" t="s">
        <v>23</v>
      </c>
      <c r="D1038" s="6" t="s">
        <v>835</v>
      </c>
      <c r="E1038" s="6" t="s">
        <v>25</v>
      </c>
      <c r="F1038" s="11">
        <v>46165</v>
      </c>
      <c r="G1038" s="6" t="s">
        <v>1079</v>
      </c>
      <c r="H1038" s="7" t="s">
        <v>32</v>
      </c>
      <c r="I1038" s="7" t="s">
        <v>733</v>
      </c>
      <c r="J1038" s="7" t="s">
        <v>836</v>
      </c>
      <c r="K1038" s="7" t="s">
        <v>29</v>
      </c>
      <c r="L1038" s="3" t="str">
        <f>E1038&amp;D1038</f>
        <v>E.SP.IPAEE_INS_CONF_S_I_CIRCUITO VIA CA_0030</v>
      </c>
      <c r="M1038" s="3" t="str">
        <f>IFERROR(MID(D1038,SEARCH("S_I_",D1038,1),3),"")</f>
        <v>S_I</v>
      </c>
      <c r="N1038" s="3" t="str">
        <f>IFERROR(MID(D1038,SEARCH("C_I_",D1038,1),3),"")</f>
        <v/>
      </c>
      <c r="O1038" s="3" t="str">
        <f>IF(AND(M1038="",N1038=""),"Extra","")</f>
        <v/>
      </c>
      <c r="P1038" s="3" t="str">
        <f>IF(Q1038=0,"TERCEIRO","MRS")</f>
        <v>MRS</v>
      </c>
      <c r="Q1038" s="8" t="str">
        <f>IFERROR(VLOOKUP(L1038,#REF!,4,0),"0,00")</f>
        <v>0,00</v>
      </c>
      <c r="R1038" s="9" t="s">
        <v>42</v>
      </c>
      <c r="S1038" s="9">
        <f>COUNTIF(D1038,"*_SEG_*")</f>
        <v>0</v>
      </c>
      <c r="T1038" s="9">
        <f>COUNTIF(D1038,"*_MAN_*")</f>
        <v>0</v>
      </c>
      <c r="U1038" s="9">
        <f>(RIGHT(D1038,4))*1</f>
        <v>30</v>
      </c>
      <c r="V1038" s="9" t="str">
        <f>IFERROR(VLOOKUP(I1038,#REF!,2,0),"Sinalização")</f>
        <v>Sinalização</v>
      </c>
    </row>
    <row r="1039" spans="1:22" x14ac:dyDescent="0.25">
      <c r="A1039" s="3" t="s">
        <v>22</v>
      </c>
      <c r="B1039" s="4">
        <v>23510778</v>
      </c>
      <c r="C1039" s="5" t="s">
        <v>23</v>
      </c>
      <c r="D1039" s="6" t="s">
        <v>835</v>
      </c>
      <c r="E1039" s="6" t="s">
        <v>25</v>
      </c>
      <c r="F1039" s="11">
        <v>46165</v>
      </c>
      <c r="G1039" s="6" t="s">
        <v>1079</v>
      </c>
      <c r="H1039" s="7" t="s">
        <v>26</v>
      </c>
      <c r="I1039" s="7" t="s">
        <v>740</v>
      </c>
      <c r="J1039" s="7" t="s">
        <v>836</v>
      </c>
      <c r="K1039" s="7" t="s">
        <v>29</v>
      </c>
      <c r="L1039" s="3" t="str">
        <f>E1039&amp;D1039</f>
        <v>E.SP.IPAEE_INS_CONF_S_I_CIRCUITO VIA CA_0030</v>
      </c>
      <c r="M1039" s="3" t="str">
        <f>IFERROR(MID(D1039,SEARCH("S_I_",D1039,1),3),"")</f>
        <v>S_I</v>
      </c>
      <c r="N1039" s="3" t="str">
        <f>IFERROR(MID(D1039,SEARCH("C_I_",D1039,1),3),"")</f>
        <v/>
      </c>
      <c r="O1039" s="3" t="str">
        <f>IF(AND(M1039="",N1039=""),"Extra","")</f>
        <v/>
      </c>
      <c r="P1039" s="3" t="str">
        <f>IF(Q1039=0,"TERCEIRO","MRS")</f>
        <v>MRS</v>
      </c>
      <c r="Q1039" s="8" t="str">
        <f>IFERROR(VLOOKUP(L1039,#REF!,4,0),"0,00")</f>
        <v>0,00</v>
      </c>
      <c r="R1039" s="9" t="s">
        <v>42</v>
      </c>
      <c r="S1039" s="9">
        <f>COUNTIF(D1039,"*_SEG_*")</f>
        <v>0</v>
      </c>
      <c r="T1039" s="9">
        <f>COUNTIF(D1039,"*_MAN_*")</f>
        <v>0</v>
      </c>
      <c r="U1039" s="9">
        <f>(RIGHT(D1039,4))*1</f>
        <v>30</v>
      </c>
      <c r="V1039" s="9" t="str">
        <f>IFERROR(VLOOKUP(I1039,#REF!,2,0),"Sinalização")</f>
        <v>Sinalização</v>
      </c>
    </row>
    <row r="1040" spans="1:22" x14ac:dyDescent="0.25">
      <c r="A1040" s="3" t="s">
        <v>22</v>
      </c>
      <c r="B1040" s="4">
        <v>23510779</v>
      </c>
      <c r="C1040" s="5" t="s">
        <v>23</v>
      </c>
      <c r="D1040" s="6" t="s">
        <v>835</v>
      </c>
      <c r="E1040" s="6" t="s">
        <v>25</v>
      </c>
      <c r="F1040" s="11">
        <v>46165</v>
      </c>
      <c r="G1040" s="6" t="s">
        <v>1079</v>
      </c>
      <c r="H1040" s="7" t="s">
        <v>26</v>
      </c>
      <c r="I1040" s="7" t="s">
        <v>734</v>
      </c>
      <c r="J1040" s="7" t="s">
        <v>836</v>
      </c>
      <c r="K1040" s="7" t="s">
        <v>29</v>
      </c>
      <c r="L1040" s="3" t="str">
        <f>E1040&amp;D1040</f>
        <v>E.SP.IPAEE_INS_CONF_S_I_CIRCUITO VIA CA_0030</v>
      </c>
      <c r="M1040" s="3" t="str">
        <f>IFERROR(MID(D1040,SEARCH("S_I_",D1040,1),3),"")</f>
        <v>S_I</v>
      </c>
      <c r="N1040" s="3" t="str">
        <f>IFERROR(MID(D1040,SEARCH("C_I_",D1040,1),3),"")</f>
        <v/>
      </c>
      <c r="O1040" s="3" t="str">
        <f>IF(AND(M1040="",N1040=""),"Extra","")</f>
        <v/>
      </c>
      <c r="P1040" s="3" t="str">
        <f>IF(Q1040=0,"TERCEIRO","MRS")</f>
        <v>MRS</v>
      </c>
      <c r="Q1040" s="8" t="str">
        <f>IFERROR(VLOOKUP(L1040,#REF!,4,0),"0,00")</f>
        <v>0,00</v>
      </c>
      <c r="R1040" s="9" t="s">
        <v>42</v>
      </c>
      <c r="S1040" s="9">
        <f>COUNTIF(D1040,"*_SEG_*")</f>
        <v>0</v>
      </c>
      <c r="T1040" s="9">
        <f>COUNTIF(D1040,"*_MAN_*")</f>
        <v>0</v>
      </c>
      <c r="U1040" s="9">
        <f>(RIGHT(D1040,4))*1</f>
        <v>30</v>
      </c>
      <c r="V1040" s="9" t="str">
        <f>IFERROR(VLOOKUP(I1040,#REF!,2,0),"Sinalização")</f>
        <v>Sinalização</v>
      </c>
    </row>
    <row r="1041" spans="1:22" x14ac:dyDescent="0.25">
      <c r="A1041" s="3" t="s">
        <v>22</v>
      </c>
      <c r="B1041" s="4">
        <v>23510780</v>
      </c>
      <c r="C1041" s="5" t="s">
        <v>23</v>
      </c>
      <c r="D1041" s="6" t="s">
        <v>835</v>
      </c>
      <c r="E1041" s="6" t="s">
        <v>25</v>
      </c>
      <c r="F1041" s="11">
        <v>46165</v>
      </c>
      <c r="G1041" s="6" t="s">
        <v>1079</v>
      </c>
      <c r="H1041" s="7" t="s">
        <v>32</v>
      </c>
      <c r="I1041" s="7" t="s">
        <v>760</v>
      </c>
      <c r="J1041" s="7" t="s">
        <v>836</v>
      </c>
      <c r="K1041" s="7" t="s">
        <v>29</v>
      </c>
      <c r="L1041" s="3" t="str">
        <f>E1041&amp;D1041</f>
        <v>E.SP.IPAEE_INS_CONF_S_I_CIRCUITO VIA CA_0030</v>
      </c>
      <c r="M1041" s="3" t="str">
        <f>IFERROR(MID(D1041,SEARCH("S_I_",D1041,1),3),"")</f>
        <v>S_I</v>
      </c>
      <c r="N1041" s="3" t="str">
        <f>IFERROR(MID(D1041,SEARCH("C_I_",D1041,1),3),"")</f>
        <v/>
      </c>
      <c r="O1041" s="3" t="str">
        <f>IF(AND(M1041="",N1041=""),"Extra","")</f>
        <v/>
      </c>
      <c r="P1041" s="3" t="str">
        <f>IF(Q1041=0,"TERCEIRO","MRS")</f>
        <v>MRS</v>
      </c>
      <c r="Q1041" s="8" t="str">
        <f>IFERROR(VLOOKUP(L1041,#REF!,4,0),"0,00")</f>
        <v>0,00</v>
      </c>
      <c r="R1041" s="9" t="s">
        <v>42</v>
      </c>
      <c r="S1041" s="9">
        <f>COUNTIF(D1041,"*_SEG_*")</f>
        <v>0</v>
      </c>
      <c r="T1041" s="9">
        <f>COUNTIF(D1041,"*_MAN_*")</f>
        <v>0</v>
      </c>
      <c r="U1041" s="9">
        <f>(RIGHT(D1041,4))*1</f>
        <v>30</v>
      </c>
      <c r="V1041" s="9" t="str">
        <f>IFERROR(VLOOKUP(I1041,#REF!,2,0),"Sinalização")</f>
        <v>Sinalização</v>
      </c>
    </row>
    <row r="1042" spans="1:22" x14ac:dyDescent="0.25">
      <c r="A1042" s="3" t="s">
        <v>22</v>
      </c>
      <c r="B1042" s="4">
        <v>23510781</v>
      </c>
      <c r="C1042" s="5" t="s">
        <v>23</v>
      </c>
      <c r="D1042" s="6" t="s">
        <v>835</v>
      </c>
      <c r="E1042" s="6" t="s">
        <v>25</v>
      </c>
      <c r="F1042" s="11">
        <v>46165</v>
      </c>
      <c r="G1042" s="6" t="s">
        <v>1079</v>
      </c>
      <c r="H1042" s="7" t="s">
        <v>32</v>
      </c>
      <c r="I1042" s="7" t="s">
        <v>571</v>
      </c>
      <c r="J1042" s="7" t="s">
        <v>836</v>
      </c>
      <c r="K1042" s="7" t="s">
        <v>29</v>
      </c>
      <c r="L1042" s="3" t="str">
        <f>E1042&amp;D1042</f>
        <v>E.SP.IPAEE_INS_CONF_S_I_CIRCUITO VIA CA_0030</v>
      </c>
      <c r="M1042" s="3" t="str">
        <f>IFERROR(MID(D1042,SEARCH("S_I_",D1042,1),3),"")</f>
        <v>S_I</v>
      </c>
      <c r="N1042" s="3" t="str">
        <f>IFERROR(MID(D1042,SEARCH("C_I_",D1042,1),3),"")</f>
        <v/>
      </c>
      <c r="O1042" s="3" t="str">
        <f>IF(AND(M1042="",N1042=""),"Extra","")</f>
        <v/>
      </c>
      <c r="P1042" s="3" t="str">
        <f>IF(Q1042=0,"TERCEIRO","MRS")</f>
        <v>MRS</v>
      </c>
      <c r="Q1042" s="8" t="str">
        <f>IFERROR(VLOOKUP(L1042,#REF!,4,0),"0,00")</f>
        <v>0,00</v>
      </c>
      <c r="R1042" s="9" t="s">
        <v>42</v>
      </c>
      <c r="S1042" s="9">
        <f>COUNTIF(D1042,"*_SEG_*")</f>
        <v>0</v>
      </c>
      <c r="T1042" s="9">
        <f>COUNTIF(D1042,"*_MAN_*")</f>
        <v>0</v>
      </c>
      <c r="U1042" s="9">
        <f>(RIGHT(D1042,4))*1</f>
        <v>30</v>
      </c>
      <c r="V1042" s="9" t="str">
        <f>IFERROR(VLOOKUP(I1042,#REF!,2,0),"Sinalização")</f>
        <v>Sinalização</v>
      </c>
    </row>
    <row r="1043" spans="1:22" x14ac:dyDescent="0.25">
      <c r="A1043" s="3" t="s">
        <v>22</v>
      </c>
      <c r="B1043" s="4">
        <v>23510782</v>
      </c>
      <c r="C1043" s="5" t="s">
        <v>23</v>
      </c>
      <c r="D1043" s="6" t="s">
        <v>835</v>
      </c>
      <c r="E1043" s="6" t="s">
        <v>25</v>
      </c>
      <c r="F1043" s="11">
        <v>46165</v>
      </c>
      <c r="G1043" s="6" t="s">
        <v>1079</v>
      </c>
      <c r="H1043" s="7" t="s">
        <v>26</v>
      </c>
      <c r="I1043" s="7" t="s">
        <v>570</v>
      </c>
      <c r="J1043" s="7" t="s">
        <v>836</v>
      </c>
      <c r="K1043" s="7" t="s">
        <v>29</v>
      </c>
      <c r="L1043" s="3" t="str">
        <f>E1043&amp;D1043</f>
        <v>E.SP.IPAEE_INS_CONF_S_I_CIRCUITO VIA CA_0030</v>
      </c>
      <c r="M1043" s="3" t="str">
        <f>IFERROR(MID(D1043,SEARCH("S_I_",D1043,1),3),"")</f>
        <v>S_I</v>
      </c>
      <c r="N1043" s="3" t="str">
        <f>IFERROR(MID(D1043,SEARCH("C_I_",D1043,1),3),"")</f>
        <v/>
      </c>
      <c r="O1043" s="3" t="str">
        <f>IF(AND(M1043="",N1043=""),"Extra","")</f>
        <v/>
      </c>
      <c r="P1043" s="3" t="str">
        <f>IF(Q1043=0,"TERCEIRO","MRS")</f>
        <v>MRS</v>
      </c>
      <c r="Q1043" s="8" t="str">
        <f>IFERROR(VLOOKUP(L1043,#REF!,4,0),"0,00")</f>
        <v>0,00</v>
      </c>
      <c r="R1043" s="9" t="s">
        <v>42</v>
      </c>
      <c r="S1043" s="9">
        <f>COUNTIF(D1043,"*_SEG_*")</f>
        <v>0</v>
      </c>
      <c r="T1043" s="9">
        <f>COUNTIF(D1043,"*_MAN_*")</f>
        <v>0</v>
      </c>
      <c r="U1043" s="9">
        <f>(RIGHT(D1043,4))*1</f>
        <v>30</v>
      </c>
      <c r="V1043" s="9" t="str">
        <f>IFERROR(VLOOKUP(I1043,#REF!,2,0),"Sinalização")</f>
        <v>Sinalização</v>
      </c>
    </row>
    <row r="1044" spans="1:22" x14ac:dyDescent="0.25">
      <c r="A1044" s="3" t="s">
        <v>22</v>
      </c>
      <c r="B1044" s="4">
        <v>23510783</v>
      </c>
      <c r="C1044" s="5" t="s">
        <v>23</v>
      </c>
      <c r="D1044" s="6" t="s">
        <v>835</v>
      </c>
      <c r="E1044" s="6" t="s">
        <v>25</v>
      </c>
      <c r="F1044" s="11">
        <v>46165</v>
      </c>
      <c r="G1044" s="6" t="s">
        <v>1079</v>
      </c>
      <c r="H1044" s="7" t="s">
        <v>26</v>
      </c>
      <c r="I1044" s="7" t="s">
        <v>572</v>
      </c>
      <c r="J1044" s="7" t="s">
        <v>836</v>
      </c>
      <c r="K1044" s="7" t="s">
        <v>29</v>
      </c>
      <c r="L1044" s="3" t="str">
        <f>E1044&amp;D1044</f>
        <v>E.SP.IPAEE_INS_CONF_S_I_CIRCUITO VIA CA_0030</v>
      </c>
      <c r="M1044" s="3" t="str">
        <f>IFERROR(MID(D1044,SEARCH("S_I_",D1044,1),3),"")</f>
        <v>S_I</v>
      </c>
      <c r="N1044" s="3" t="str">
        <f>IFERROR(MID(D1044,SEARCH("C_I_",D1044,1),3),"")</f>
        <v/>
      </c>
      <c r="O1044" s="3" t="str">
        <f>IF(AND(M1044="",N1044=""),"Extra","")</f>
        <v/>
      </c>
      <c r="P1044" s="3" t="str">
        <f>IF(Q1044=0,"TERCEIRO","MRS")</f>
        <v>MRS</v>
      </c>
      <c r="Q1044" s="8" t="str">
        <f>IFERROR(VLOOKUP(L1044,#REF!,4,0),"0,00")</f>
        <v>0,00</v>
      </c>
      <c r="R1044" s="9" t="s">
        <v>42</v>
      </c>
      <c r="S1044" s="9">
        <f>COUNTIF(D1044,"*_SEG_*")</f>
        <v>0</v>
      </c>
      <c r="T1044" s="9">
        <f>COUNTIF(D1044,"*_MAN_*")</f>
        <v>0</v>
      </c>
      <c r="U1044" s="9">
        <f>(RIGHT(D1044,4))*1</f>
        <v>30</v>
      </c>
      <c r="V1044" s="9" t="str">
        <f>IFERROR(VLOOKUP(I1044,#REF!,2,0),"Sinalização")</f>
        <v>Sinalização</v>
      </c>
    </row>
    <row r="1045" spans="1:22" x14ac:dyDescent="0.25">
      <c r="A1045" s="3" t="s">
        <v>22</v>
      </c>
      <c r="B1045" s="4">
        <v>23510784</v>
      </c>
      <c r="C1045" s="5" t="s">
        <v>23</v>
      </c>
      <c r="D1045" s="6" t="s">
        <v>835</v>
      </c>
      <c r="E1045" s="6" t="s">
        <v>25</v>
      </c>
      <c r="F1045" s="11">
        <v>46165</v>
      </c>
      <c r="G1045" s="6" t="s">
        <v>1079</v>
      </c>
      <c r="H1045" s="7" t="s">
        <v>32</v>
      </c>
      <c r="I1045" s="7" t="s">
        <v>495</v>
      </c>
      <c r="J1045" s="7" t="s">
        <v>836</v>
      </c>
      <c r="K1045" s="7" t="s">
        <v>29</v>
      </c>
      <c r="L1045" s="3" t="str">
        <f>E1045&amp;D1045</f>
        <v>E.SP.IPAEE_INS_CONF_S_I_CIRCUITO VIA CA_0030</v>
      </c>
      <c r="M1045" s="3" t="str">
        <f>IFERROR(MID(D1045,SEARCH("S_I_",D1045,1),3),"")</f>
        <v>S_I</v>
      </c>
      <c r="N1045" s="3" t="str">
        <f>IFERROR(MID(D1045,SEARCH("C_I_",D1045,1),3),"")</f>
        <v/>
      </c>
      <c r="O1045" s="3" t="str">
        <f>IF(AND(M1045="",N1045=""),"Extra","")</f>
        <v/>
      </c>
      <c r="P1045" s="3" t="str">
        <f>IF(Q1045=0,"TERCEIRO","MRS")</f>
        <v>MRS</v>
      </c>
      <c r="Q1045" s="8" t="str">
        <f>IFERROR(VLOOKUP(L1045,#REF!,4,0),"0,00")</f>
        <v>0,00</v>
      </c>
      <c r="R1045" s="9" t="s">
        <v>42</v>
      </c>
      <c r="S1045" s="9">
        <f>COUNTIF(D1045,"*_SEG_*")</f>
        <v>0</v>
      </c>
      <c r="T1045" s="9">
        <f>COUNTIF(D1045,"*_MAN_*")</f>
        <v>0</v>
      </c>
      <c r="U1045" s="9">
        <f>(RIGHT(D1045,4))*1</f>
        <v>30</v>
      </c>
      <c r="V1045" s="9" t="str">
        <f>IFERROR(VLOOKUP(I1045,#REF!,2,0),"Sinalização")</f>
        <v>Sinalização</v>
      </c>
    </row>
    <row r="1046" spans="1:22" x14ac:dyDescent="0.25">
      <c r="A1046" s="3" t="s">
        <v>22</v>
      </c>
      <c r="B1046" s="4">
        <v>23510786</v>
      </c>
      <c r="C1046" s="5" t="s">
        <v>23</v>
      </c>
      <c r="D1046" s="6" t="s">
        <v>835</v>
      </c>
      <c r="E1046" s="6" t="s">
        <v>25</v>
      </c>
      <c r="F1046" s="11">
        <v>46165</v>
      </c>
      <c r="G1046" s="6" t="s">
        <v>1079</v>
      </c>
      <c r="H1046" s="7" t="s">
        <v>32</v>
      </c>
      <c r="I1046" s="7" t="s">
        <v>999</v>
      </c>
      <c r="J1046" s="7" t="s">
        <v>836</v>
      </c>
      <c r="K1046" s="7" t="s">
        <v>29</v>
      </c>
      <c r="L1046" s="3" t="str">
        <f>E1046&amp;D1046</f>
        <v>E.SP.IPAEE_INS_CONF_S_I_CIRCUITO VIA CA_0030</v>
      </c>
      <c r="M1046" s="3" t="str">
        <f>IFERROR(MID(D1046,SEARCH("S_I_",D1046,1),3),"")</f>
        <v>S_I</v>
      </c>
      <c r="N1046" s="3" t="str">
        <f>IFERROR(MID(D1046,SEARCH("C_I_",D1046,1),3),"")</f>
        <v/>
      </c>
      <c r="O1046" s="3" t="str">
        <f>IF(AND(M1046="",N1046=""),"Extra","")</f>
        <v/>
      </c>
      <c r="P1046" s="3" t="str">
        <f>IF(Q1046=0,"TERCEIRO","MRS")</f>
        <v>MRS</v>
      </c>
      <c r="Q1046" s="8" t="str">
        <f>IFERROR(VLOOKUP(L1046,#REF!,4,0),"0,00")</f>
        <v>0,00</v>
      </c>
      <c r="R1046" s="9" t="s">
        <v>42</v>
      </c>
      <c r="S1046" s="9">
        <f>COUNTIF(D1046,"*_SEG_*")</f>
        <v>0</v>
      </c>
      <c r="T1046" s="9">
        <f>COUNTIF(D1046,"*_MAN_*")</f>
        <v>0</v>
      </c>
      <c r="U1046" s="9">
        <f>(RIGHT(D1046,4))*1</f>
        <v>30</v>
      </c>
      <c r="V1046" s="9" t="str">
        <f>IFERROR(VLOOKUP(I1046,#REF!,2,0),"Sinalização")</f>
        <v>Sinalização</v>
      </c>
    </row>
    <row r="1047" spans="1:22" x14ac:dyDescent="0.25">
      <c r="A1047" s="3" t="s">
        <v>22</v>
      </c>
      <c r="B1047" s="4">
        <v>23510788</v>
      </c>
      <c r="C1047" s="5" t="s">
        <v>23</v>
      </c>
      <c r="D1047" s="6" t="s">
        <v>835</v>
      </c>
      <c r="E1047" s="6" t="s">
        <v>25</v>
      </c>
      <c r="F1047" s="11">
        <v>46165</v>
      </c>
      <c r="G1047" s="6" t="s">
        <v>1079</v>
      </c>
      <c r="H1047" s="7" t="s">
        <v>26</v>
      </c>
      <c r="I1047" s="7" t="s">
        <v>767</v>
      </c>
      <c r="J1047" s="7" t="s">
        <v>836</v>
      </c>
      <c r="K1047" s="7" t="s">
        <v>29</v>
      </c>
      <c r="L1047" s="3" t="str">
        <f>E1047&amp;D1047</f>
        <v>E.SP.IPAEE_INS_CONF_S_I_CIRCUITO VIA CA_0030</v>
      </c>
      <c r="M1047" s="3" t="str">
        <f>IFERROR(MID(D1047,SEARCH("S_I_",D1047,1),3),"")</f>
        <v>S_I</v>
      </c>
      <c r="N1047" s="3" t="str">
        <f>IFERROR(MID(D1047,SEARCH("C_I_",D1047,1),3),"")</f>
        <v/>
      </c>
      <c r="O1047" s="3" t="str">
        <f>IF(AND(M1047="",N1047=""),"Extra","")</f>
        <v/>
      </c>
      <c r="P1047" s="3" t="str">
        <f>IF(Q1047=0,"TERCEIRO","MRS")</f>
        <v>MRS</v>
      </c>
      <c r="Q1047" s="8" t="str">
        <f>IFERROR(VLOOKUP(L1047,#REF!,4,0),"0,00")</f>
        <v>0,00</v>
      </c>
      <c r="R1047" s="9" t="s">
        <v>42</v>
      </c>
      <c r="S1047" s="9">
        <f>COUNTIF(D1047,"*_SEG_*")</f>
        <v>0</v>
      </c>
      <c r="T1047" s="9">
        <f>COUNTIF(D1047,"*_MAN_*")</f>
        <v>0</v>
      </c>
      <c r="U1047" s="9">
        <f>(RIGHT(D1047,4))*1</f>
        <v>30</v>
      </c>
      <c r="V1047" s="9" t="str">
        <f>IFERROR(VLOOKUP(I1047,#REF!,2,0),"Sinalização")</f>
        <v>Sinalização</v>
      </c>
    </row>
    <row r="1048" spans="1:22" x14ac:dyDescent="0.25">
      <c r="A1048" s="3" t="s">
        <v>22</v>
      </c>
      <c r="B1048" s="4">
        <v>23510789</v>
      </c>
      <c r="C1048" s="5" t="s">
        <v>23</v>
      </c>
      <c r="D1048" s="6" t="s">
        <v>835</v>
      </c>
      <c r="E1048" s="6" t="s">
        <v>25</v>
      </c>
      <c r="F1048" s="11">
        <v>46165</v>
      </c>
      <c r="G1048" s="6" t="s">
        <v>1079</v>
      </c>
      <c r="H1048" s="7" t="s">
        <v>26</v>
      </c>
      <c r="I1048" s="7" t="s">
        <v>341</v>
      </c>
      <c r="J1048" s="7" t="s">
        <v>836</v>
      </c>
      <c r="K1048" s="7" t="s">
        <v>29</v>
      </c>
      <c r="L1048" s="3" t="str">
        <f>E1048&amp;D1048</f>
        <v>E.SP.IPAEE_INS_CONF_S_I_CIRCUITO VIA CA_0030</v>
      </c>
      <c r="M1048" s="3" t="str">
        <f>IFERROR(MID(D1048,SEARCH("S_I_",D1048,1),3),"")</f>
        <v>S_I</v>
      </c>
      <c r="N1048" s="3" t="str">
        <f>IFERROR(MID(D1048,SEARCH("C_I_",D1048,1),3),"")</f>
        <v/>
      </c>
      <c r="O1048" s="3" t="str">
        <f>IF(AND(M1048="",N1048=""),"Extra","")</f>
        <v/>
      </c>
      <c r="P1048" s="3" t="str">
        <f>IF(Q1048=0,"TERCEIRO","MRS")</f>
        <v>MRS</v>
      </c>
      <c r="Q1048" s="8" t="str">
        <f>IFERROR(VLOOKUP(L1048,#REF!,4,0),"0,00")</f>
        <v>0,00</v>
      </c>
      <c r="R1048" s="9" t="s">
        <v>42</v>
      </c>
      <c r="S1048" s="9">
        <f>COUNTIF(D1048,"*_SEG_*")</f>
        <v>0</v>
      </c>
      <c r="T1048" s="9">
        <f>COUNTIF(D1048,"*_MAN_*")</f>
        <v>0</v>
      </c>
      <c r="U1048" s="9">
        <f>(RIGHT(D1048,4))*1</f>
        <v>30</v>
      </c>
      <c r="V1048" s="9" t="str">
        <f>IFERROR(VLOOKUP(I1048,#REF!,2,0),"Sinalização")</f>
        <v>Sinalização</v>
      </c>
    </row>
    <row r="1049" spans="1:22" x14ac:dyDescent="0.25">
      <c r="A1049" s="3" t="s">
        <v>22</v>
      </c>
      <c r="B1049" s="4">
        <v>23510790</v>
      </c>
      <c r="C1049" s="5" t="s">
        <v>23</v>
      </c>
      <c r="D1049" s="6" t="s">
        <v>835</v>
      </c>
      <c r="E1049" s="6" t="s">
        <v>25</v>
      </c>
      <c r="F1049" s="11">
        <v>46165</v>
      </c>
      <c r="G1049" s="6" t="s">
        <v>1079</v>
      </c>
      <c r="H1049" s="7" t="s">
        <v>32</v>
      </c>
      <c r="I1049" s="7" t="s">
        <v>438</v>
      </c>
      <c r="J1049" s="7" t="s">
        <v>836</v>
      </c>
      <c r="K1049" s="7" t="s">
        <v>29</v>
      </c>
      <c r="L1049" s="3" t="str">
        <f>E1049&amp;D1049</f>
        <v>E.SP.IPAEE_INS_CONF_S_I_CIRCUITO VIA CA_0030</v>
      </c>
      <c r="M1049" s="3" t="str">
        <f>IFERROR(MID(D1049,SEARCH("S_I_",D1049,1),3),"")</f>
        <v>S_I</v>
      </c>
      <c r="N1049" s="3" t="str">
        <f>IFERROR(MID(D1049,SEARCH("C_I_",D1049,1),3),"")</f>
        <v/>
      </c>
      <c r="O1049" s="3" t="str">
        <f>IF(AND(M1049="",N1049=""),"Extra","")</f>
        <v/>
      </c>
      <c r="P1049" s="3" t="str">
        <f>IF(Q1049=0,"TERCEIRO","MRS")</f>
        <v>MRS</v>
      </c>
      <c r="Q1049" s="8" t="str">
        <f>IFERROR(VLOOKUP(L1049,#REF!,4,0),"0,00")</f>
        <v>0,00</v>
      </c>
      <c r="R1049" s="9" t="s">
        <v>42</v>
      </c>
      <c r="S1049" s="9">
        <f>COUNTIF(D1049,"*_SEG_*")</f>
        <v>0</v>
      </c>
      <c r="T1049" s="9">
        <f>COUNTIF(D1049,"*_MAN_*")</f>
        <v>0</v>
      </c>
      <c r="U1049" s="9">
        <f>(RIGHT(D1049,4))*1</f>
        <v>30</v>
      </c>
      <c r="V1049" s="9" t="str">
        <f>IFERROR(VLOOKUP(I1049,#REF!,2,0),"Sinalização")</f>
        <v>Sinalização</v>
      </c>
    </row>
    <row r="1050" spans="1:22" x14ac:dyDescent="0.25">
      <c r="A1050" s="3" t="s">
        <v>22</v>
      </c>
      <c r="B1050" s="4">
        <v>23510791</v>
      </c>
      <c r="C1050" s="5" t="s">
        <v>23</v>
      </c>
      <c r="D1050" s="6" t="s">
        <v>835</v>
      </c>
      <c r="E1050" s="6" t="s">
        <v>25</v>
      </c>
      <c r="F1050" s="11">
        <v>46165</v>
      </c>
      <c r="G1050" s="6" t="s">
        <v>1079</v>
      </c>
      <c r="H1050" s="7" t="s">
        <v>32</v>
      </c>
      <c r="I1050" s="7" t="s">
        <v>437</v>
      </c>
      <c r="J1050" s="7" t="s">
        <v>836</v>
      </c>
      <c r="K1050" s="7" t="s">
        <v>29</v>
      </c>
      <c r="L1050" s="3" t="str">
        <f>E1050&amp;D1050</f>
        <v>E.SP.IPAEE_INS_CONF_S_I_CIRCUITO VIA CA_0030</v>
      </c>
      <c r="M1050" s="3" t="str">
        <f>IFERROR(MID(D1050,SEARCH("S_I_",D1050,1),3),"")</f>
        <v>S_I</v>
      </c>
      <c r="N1050" s="3" t="str">
        <f>IFERROR(MID(D1050,SEARCH("C_I_",D1050,1),3),"")</f>
        <v/>
      </c>
      <c r="O1050" s="3" t="str">
        <f>IF(AND(M1050="",N1050=""),"Extra","")</f>
        <v/>
      </c>
      <c r="P1050" s="3" t="str">
        <f>IF(Q1050=0,"TERCEIRO","MRS")</f>
        <v>MRS</v>
      </c>
      <c r="Q1050" s="8" t="str">
        <f>IFERROR(VLOOKUP(L1050,#REF!,4,0),"0,00")</f>
        <v>0,00</v>
      </c>
      <c r="R1050" s="9" t="s">
        <v>42</v>
      </c>
      <c r="S1050" s="9">
        <f>COUNTIF(D1050,"*_SEG_*")</f>
        <v>0</v>
      </c>
      <c r="T1050" s="9">
        <f>COUNTIF(D1050,"*_MAN_*")</f>
        <v>0</v>
      </c>
      <c r="U1050" s="9">
        <f>(RIGHT(D1050,4))*1</f>
        <v>30</v>
      </c>
      <c r="V1050" s="9" t="str">
        <f>IFERROR(VLOOKUP(I1050,#REF!,2,0),"Sinalização")</f>
        <v>Sinalização</v>
      </c>
    </row>
    <row r="1051" spans="1:22" x14ac:dyDescent="0.25">
      <c r="A1051" s="3" t="s">
        <v>22</v>
      </c>
      <c r="B1051" s="4">
        <v>23510792</v>
      </c>
      <c r="C1051" s="5" t="s">
        <v>23</v>
      </c>
      <c r="D1051" s="6" t="s">
        <v>835</v>
      </c>
      <c r="E1051" s="6" t="s">
        <v>25</v>
      </c>
      <c r="F1051" s="11">
        <v>46165</v>
      </c>
      <c r="G1051" s="6" t="s">
        <v>1079</v>
      </c>
      <c r="H1051" s="7" t="s">
        <v>26</v>
      </c>
      <c r="I1051" s="7" t="s">
        <v>435</v>
      </c>
      <c r="J1051" s="7" t="s">
        <v>836</v>
      </c>
      <c r="K1051" s="7" t="s">
        <v>29</v>
      </c>
      <c r="L1051" s="3" t="str">
        <f>E1051&amp;D1051</f>
        <v>E.SP.IPAEE_INS_CONF_S_I_CIRCUITO VIA CA_0030</v>
      </c>
      <c r="M1051" s="3" t="str">
        <f>IFERROR(MID(D1051,SEARCH("S_I_",D1051,1),3),"")</f>
        <v>S_I</v>
      </c>
      <c r="N1051" s="3" t="str">
        <f>IFERROR(MID(D1051,SEARCH("C_I_",D1051,1),3),"")</f>
        <v/>
      </c>
      <c r="O1051" s="3" t="str">
        <f>IF(AND(M1051="",N1051=""),"Extra","")</f>
        <v/>
      </c>
      <c r="P1051" s="3" t="str">
        <f>IF(Q1051=0,"TERCEIRO","MRS")</f>
        <v>MRS</v>
      </c>
      <c r="Q1051" s="8" t="str">
        <f>IFERROR(VLOOKUP(L1051,#REF!,4,0),"0,00")</f>
        <v>0,00</v>
      </c>
      <c r="R1051" s="9" t="s">
        <v>42</v>
      </c>
      <c r="S1051" s="9">
        <f>COUNTIF(D1051,"*_SEG_*")</f>
        <v>0</v>
      </c>
      <c r="T1051" s="9">
        <f>COUNTIF(D1051,"*_MAN_*")</f>
        <v>0</v>
      </c>
      <c r="U1051" s="9">
        <f>(RIGHT(D1051,4))*1</f>
        <v>30</v>
      </c>
      <c r="V1051" s="9" t="str">
        <f>IFERROR(VLOOKUP(I1051,#REF!,2,0),"Sinalização")</f>
        <v>Sinalização</v>
      </c>
    </row>
    <row r="1052" spans="1:22" x14ac:dyDescent="0.25">
      <c r="A1052" s="3" t="s">
        <v>22</v>
      </c>
      <c r="B1052" s="4">
        <v>23510793</v>
      </c>
      <c r="C1052" s="5" t="s">
        <v>23</v>
      </c>
      <c r="D1052" s="6" t="s">
        <v>835</v>
      </c>
      <c r="E1052" s="6" t="s">
        <v>25</v>
      </c>
      <c r="F1052" s="11">
        <v>46165</v>
      </c>
      <c r="G1052" s="6" t="s">
        <v>1079</v>
      </c>
      <c r="H1052" s="7" t="s">
        <v>26</v>
      </c>
      <c r="I1052" s="7" t="s">
        <v>436</v>
      </c>
      <c r="J1052" s="7" t="s">
        <v>836</v>
      </c>
      <c r="K1052" s="7" t="s">
        <v>29</v>
      </c>
      <c r="L1052" s="3" t="str">
        <f>E1052&amp;D1052</f>
        <v>E.SP.IPAEE_INS_CONF_S_I_CIRCUITO VIA CA_0030</v>
      </c>
      <c r="M1052" s="3" t="str">
        <f>IFERROR(MID(D1052,SEARCH("S_I_",D1052,1),3),"")</f>
        <v>S_I</v>
      </c>
      <c r="N1052" s="3" t="str">
        <f>IFERROR(MID(D1052,SEARCH("C_I_",D1052,1),3),"")</f>
        <v/>
      </c>
      <c r="O1052" s="3" t="str">
        <f>IF(AND(M1052="",N1052=""),"Extra","")</f>
        <v/>
      </c>
      <c r="P1052" s="3" t="str">
        <f>IF(Q1052=0,"TERCEIRO","MRS")</f>
        <v>MRS</v>
      </c>
      <c r="Q1052" s="8" t="str">
        <f>IFERROR(VLOOKUP(L1052,#REF!,4,0),"0,00")</f>
        <v>0,00</v>
      </c>
      <c r="R1052" s="9" t="s">
        <v>42</v>
      </c>
      <c r="S1052" s="9">
        <f>COUNTIF(D1052,"*_SEG_*")</f>
        <v>0</v>
      </c>
      <c r="T1052" s="9">
        <f>COUNTIF(D1052,"*_MAN_*")</f>
        <v>0</v>
      </c>
      <c r="U1052" s="9">
        <f>(RIGHT(D1052,4))*1</f>
        <v>30</v>
      </c>
      <c r="V1052" s="9" t="str">
        <f>IFERROR(VLOOKUP(I1052,#REF!,2,0),"Sinalização")</f>
        <v>Sinalização</v>
      </c>
    </row>
    <row r="1053" spans="1:22" x14ac:dyDescent="0.25">
      <c r="A1053" s="3" t="s">
        <v>22</v>
      </c>
      <c r="B1053" s="4">
        <v>23510794</v>
      </c>
      <c r="C1053" s="5" t="s">
        <v>23</v>
      </c>
      <c r="D1053" s="6" t="s">
        <v>835</v>
      </c>
      <c r="E1053" s="6" t="s">
        <v>25</v>
      </c>
      <c r="F1053" s="11">
        <v>46165</v>
      </c>
      <c r="G1053" s="6" t="s">
        <v>1079</v>
      </c>
      <c r="H1053" s="7" t="s">
        <v>32</v>
      </c>
      <c r="I1053" s="7" t="s">
        <v>434</v>
      </c>
      <c r="J1053" s="7" t="s">
        <v>836</v>
      </c>
      <c r="K1053" s="7" t="s">
        <v>29</v>
      </c>
      <c r="L1053" s="3" t="str">
        <f>E1053&amp;D1053</f>
        <v>E.SP.IPAEE_INS_CONF_S_I_CIRCUITO VIA CA_0030</v>
      </c>
      <c r="M1053" s="3" t="str">
        <f>IFERROR(MID(D1053,SEARCH("S_I_",D1053,1),3),"")</f>
        <v>S_I</v>
      </c>
      <c r="N1053" s="3" t="str">
        <f>IFERROR(MID(D1053,SEARCH("C_I_",D1053,1),3),"")</f>
        <v/>
      </c>
      <c r="O1053" s="3" t="str">
        <f>IF(AND(M1053="",N1053=""),"Extra","")</f>
        <v/>
      </c>
      <c r="P1053" s="3" t="str">
        <f>IF(Q1053=0,"TERCEIRO","MRS")</f>
        <v>MRS</v>
      </c>
      <c r="Q1053" s="8" t="str">
        <f>IFERROR(VLOOKUP(L1053,#REF!,4,0),"0,00")</f>
        <v>0,00</v>
      </c>
      <c r="R1053" s="9" t="s">
        <v>42</v>
      </c>
      <c r="S1053" s="9">
        <f>COUNTIF(D1053,"*_SEG_*")</f>
        <v>0</v>
      </c>
      <c r="T1053" s="9">
        <f>COUNTIF(D1053,"*_MAN_*")</f>
        <v>0</v>
      </c>
      <c r="U1053" s="9">
        <f>(RIGHT(D1053,4))*1</f>
        <v>30</v>
      </c>
      <c r="V1053" s="9" t="str">
        <f>IFERROR(VLOOKUP(I1053,#REF!,2,0),"Sinalização")</f>
        <v>Sinalização</v>
      </c>
    </row>
    <row r="1054" spans="1:22" x14ac:dyDescent="0.25">
      <c r="A1054" s="3" t="s">
        <v>22</v>
      </c>
      <c r="B1054" s="4">
        <v>23510811</v>
      </c>
      <c r="C1054" s="5" t="s">
        <v>23</v>
      </c>
      <c r="D1054" s="6" t="s">
        <v>1011</v>
      </c>
      <c r="E1054" s="6" t="s">
        <v>25</v>
      </c>
      <c r="F1054" s="11">
        <v>46165</v>
      </c>
      <c r="G1054" s="6" t="s">
        <v>1079</v>
      </c>
      <c r="H1054" s="7" t="s">
        <v>32</v>
      </c>
      <c r="I1054" s="7" t="s">
        <v>937</v>
      </c>
      <c r="J1054" s="7" t="s">
        <v>1012</v>
      </c>
      <c r="K1054" s="7" t="s">
        <v>29</v>
      </c>
      <c r="L1054" s="3" t="str">
        <f>E1054&amp;D1054</f>
        <v>E.SP.IPAEE_INS_SEG_C_I_CIRCUITO A DIODO_0030</v>
      </c>
      <c r="M1054" s="3" t="str">
        <f>IFERROR(MID(D1054,SEARCH("S_I_",D1054,1),3),"")</f>
        <v/>
      </c>
      <c r="N1054" s="3" t="str">
        <f>IFERROR(MID(D1054,SEARCH("C_I_",D1054,1),3),"")</f>
        <v>C_I</v>
      </c>
      <c r="O1054" s="3" t="str">
        <f>IF(AND(M1054="",N1054=""),"Extra","")</f>
        <v/>
      </c>
      <c r="P1054" s="3" t="str">
        <f>IF(Q1054=0,"TERCEIRO","MRS")</f>
        <v>MRS</v>
      </c>
      <c r="Q1054" s="8" t="str">
        <f>IFERROR(VLOOKUP(L1054,#REF!,4,0),"0,00")</f>
        <v>0,00</v>
      </c>
      <c r="R1054" s="9" t="s">
        <v>30</v>
      </c>
      <c r="S1054" s="9">
        <f>COUNTIF(D1054,"*_SEG_*")</f>
        <v>1</v>
      </c>
      <c r="T1054" s="9">
        <f>COUNTIF(D1054,"*_MAN_*")</f>
        <v>0</v>
      </c>
      <c r="U1054" s="9">
        <f>(RIGHT(D1054,4))*1</f>
        <v>30</v>
      </c>
      <c r="V1054" s="9" t="str">
        <f>IFERROR(VLOOKUP(I1054,#REF!,2,0),"Sinalização")</f>
        <v>Sinalização</v>
      </c>
    </row>
    <row r="1055" spans="1:22" x14ac:dyDescent="0.25">
      <c r="A1055" s="3" t="s">
        <v>22</v>
      </c>
      <c r="B1055" s="4">
        <v>23510812</v>
      </c>
      <c r="C1055" s="5" t="s">
        <v>23</v>
      </c>
      <c r="D1055" s="6" t="s">
        <v>1011</v>
      </c>
      <c r="E1055" s="6" t="s">
        <v>25</v>
      </c>
      <c r="F1055" s="11">
        <v>46165</v>
      </c>
      <c r="G1055" s="6" t="s">
        <v>1079</v>
      </c>
      <c r="H1055" s="7" t="s">
        <v>26</v>
      </c>
      <c r="I1055" s="7" t="s">
        <v>939</v>
      </c>
      <c r="J1055" s="7" t="s">
        <v>1012</v>
      </c>
      <c r="K1055" s="7" t="s">
        <v>29</v>
      </c>
      <c r="L1055" s="3" t="str">
        <f>E1055&amp;D1055</f>
        <v>E.SP.IPAEE_INS_SEG_C_I_CIRCUITO A DIODO_0030</v>
      </c>
      <c r="M1055" s="3" t="str">
        <f>IFERROR(MID(D1055,SEARCH("S_I_",D1055,1),3),"")</f>
        <v/>
      </c>
      <c r="N1055" s="3" t="str">
        <f>IFERROR(MID(D1055,SEARCH("C_I_",D1055,1),3),"")</f>
        <v>C_I</v>
      </c>
      <c r="O1055" s="3" t="str">
        <f>IF(AND(M1055="",N1055=""),"Extra","")</f>
        <v/>
      </c>
      <c r="P1055" s="3" t="str">
        <f>IF(Q1055=0,"TERCEIRO","MRS")</f>
        <v>MRS</v>
      </c>
      <c r="Q1055" s="8" t="str">
        <f>IFERROR(VLOOKUP(L1055,#REF!,4,0),"0,00")</f>
        <v>0,00</v>
      </c>
      <c r="R1055" s="9" t="s">
        <v>30</v>
      </c>
      <c r="S1055" s="9">
        <f>COUNTIF(D1055,"*_SEG_*")</f>
        <v>1</v>
      </c>
      <c r="T1055" s="9">
        <f>COUNTIF(D1055,"*_MAN_*")</f>
        <v>0</v>
      </c>
      <c r="U1055" s="9">
        <f>(RIGHT(D1055,4))*1</f>
        <v>30</v>
      </c>
      <c r="V1055" s="9" t="str">
        <f>IFERROR(VLOOKUP(I1055,#REF!,2,0),"Sinalização")</f>
        <v>Sinalização</v>
      </c>
    </row>
    <row r="1056" spans="1:22" x14ac:dyDescent="0.25">
      <c r="A1056" s="3" t="s">
        <v>22</v>
      </c>
      <c r="B1056" s="4">
        <v>23510813</v>
      </c>
      <c r="C1056" s="5" t="s">
        <v>23</v>
      </c>
      <c r="D1056" s="6" t="s">
        <v>1011</v>
      </c>
      <c r="E1056" s="6" t="s">
        <v>25</v>
      </c>
      <c r="F1056" s="11">
        <v>46165</v>
      </c>
      <c r="G1056" s="6" t="s">
        <v>1079</v>
      </c>
      <c r="H1056" s="7" t="s">
        <v>26</v>
      </c>
      <c r="I1056" s="7" t="s">
        <v>940</v>
      </c>
      <c r="J1056" s="7" t="s">
        <v>1012</v>
      </c>
      <c r="K1056" s="7" t="s">
        <v>29</v>
      </c>
      <c r="L1056" s="3" t="str">
        <f>E1056&amp;D1056</f>
        <v>E.SP.IPAEE_INS_SEG_C_I_CIRCUITO A DIODO_0030</v>
      </c>
      <c r="M1056" s="3" t="str">
        <f>IFERROR(MID(D1056,SEARCH("S_I_",D1056,1),3),"")</f>
        <v/>
      </c>
      <c r="N1056" s="3" t="str">
        <f>IFERROR(MID(D1056,SEARCH("C_I_",D1056,1),3),"")</f>
        <v>C_I</v>
      </c>
      <c r="O1056" s="3" t="str">
        <f>IF(AND(M1056="",N1056=""),"Extra","")</f>
        <v/>
      </c>
      <c r="P1056" s="3" t="str">
        <f>IF(Q1056=0,"TERCEIRO","MRS")</f>
        <v>MRS</v>
      </c>
      <c r="Q1056" s="8" t="str">
        <f>IFERROR(VLOOKUP(L1056,#REF!,4,0),"0,00")</f>
        <v>0,00</v>
      </c>
      <c r="R1056" s="9" t="s">
        <v>30</v>
      </c>
      <c r="S1056" s="9">
        <f>COUNTIF(D1056,"*_SEG_*")</f>
        <v>1</v>
      </c>
      <c r="T1056" s="9">
        <f>COUNTIF(D1056,"*_MAN_*")</f>
        <v>0</v>
      </c>
      <c r="U1056" s="9">
        <f>(RIGHT(D1056,4))*1</f>
        <v>30</v>
      </c>
      <c r="V1056" s="9" t="str">
        <f>IFERROR(VLOOKUP(I1056,#REF!,2,0),"Sinalização")</f>
        <v>Sinalização</v>
      </c>
    </row>
    <row r="1057" spans="1:22" x14ac:dyDescent="0.25">
      <c r="A1057" s="3" t="s">
        <v>22</v>
      </c>
      <c r="B1057" s="4">
        <v>23510814</v>
      </c>
      <c r="C1057" s="5" t="s">
        <v>23</v>
      </c>
      <c r="D1057" s="6" t="s">
        <v>1011</v>
      </c>
      <c r="E1057" s="6" t="s">
        <v>25</v>
      </c>
      <c r="F1057" s="11">
        <v>46165</v>
      </c>
      <c r="G1057" s="6" t="s">
        <v>1079</v>
      </c>
      <c r="H1057" s="7" t="s">
        <v>32</v>
      </c>
      <c r="I1057" s="7" t="s">
        <v>250</v>
      </c>
      <c r="J1057" s="7" t="s">
        <v>1012</v>
      </c>
      <c r="K1057" s="7" t="s">
        <v>29</v>
      </c>
      <c r="L1057" s="3" t="str">
        <f>E1057&amp;D1057</f>
        <v>E.SP.IPAEE_INS_SEG_C_I_CIRCUITO A DIODO_0030</v>
      </c>
      <c r="M1057" s="3" t="str">
        <f>IFERROR(MID(D1057,SEARCH("S_I_",D1057,1),3),"")</f>
        <v/>
      </c>
      <c r="N1057" s="3" t="str">
        <f>IFERROR(MID(D1057,SEARCH("C_I_",D1057,1),3),"")</f>
        <v>C_I</v>
      </c>
      <c r="O1057" s="3" t="str">
        <f>IF(AND(M1057="",N1057=""),"Extra","")</f>
        <v/>
      </c>
      <c r="P1057" s="3" t="str">
        <f>IF(Q1057=0,"TERCEIRO","MRS")</f>
        <v>MRS</v>
      </c>
      <c r="Q1057" s="8" t="str">
        <f>IFERROR(VLOOKUP(L1057,#REF!,4,0),"0,00")</f>
        <v>0,00</v>
      </c>
      <c r="R1057" s="9" t="s">
        <v>30</v>
      </c>
      <c r="S1057" s="9">
        <f>COUNTIF(D1057,"*_SEG_*")</f>
        <v>1</v>
      </c>
      <c r="T1057" s="9">
        <f>COUNTIF(D1057,"*_MAN_*")</f>
        <v>0</v>
      </c>
      <c r="U1057" s="9">
        <f>(RIGHT(D1057,4))*1</f>
        <v>30</v>
      </c>
      <c r="V1057" s="9" t="str">
        <f>IFERROR(VLOOKUP(I1057,#REF!,2,0),"Sinalização")</f>
        <v>Sinalização</v>
      </c>
    </row>
    <row r="1058" spans="1:22" x14ac:dyDescent="0.25">
      <c r="A1058" s="3" t="s">
        <v>22</v>
      </c>
      <c r="B1058" s="4">
        <v>23510815</v>
      </c>
      <c r="C1058" s="5" t="s">
        <v>23</v>
      </c>
      <c r="D1058" s="6" t="s">
        <v>1011</v>
      </c>
      <c r="E1058" s="6" t="s">
        <v>25</v>
      </c>
      <c r="F1058" s="11">
        <v>46165</v>
      </c>
      <c r="G1058" s="6" t="s">
        <v>1079</v>
      </c>
      <c r="H1058" s="7" t="s">
        <v>32</v>
      </c>
      <c r="I1058" s="7" t="s">
        <v>251</v>
      </c>
      <c r="J1058" s="7" t="s">
        <v>1012</v>
      </c>
      <c r="K1058" s="7" t="s">
        <v>29</v>
      </c>
      <c r="L1058" s="3" t="str">
        <f>E1058&amp;D1058</f>
        <v>E.SP.IPAEE_INS_SEG_C_I_CIRCUITO A DIODO_0030</v>
      </c>
      <c r="M1058" s="3" t="str">
        <f>IFERROR(MID(D1058,SEARCH("S_I_",D1058,1),3),"")</f>
        <v/>
      </c>
      <c r="N1058" s="3" t="str">
        <f>IFERROR(MID(D1058,SEARCH("C_I_",D1058,1),3),"")</f>
        <v>C_I</v>
      </c>
      <c r="O1058" s="3" t="str">
        <f>IF(AND(M1058="",N1058=""),"Extra","")</f>
        <v/>
      </c>
      <c r="P1058" s="3" t="str">
        <f>IF(Q1058=0,"TERCEIRO","MRS")</f>
        <v>MRS</v>
      </c>
      <c r="Q1058" s="8" t="str">
        <f>IFERROR(VLOOKUP(L1058,#REF!,4,0),"0,00")</f>
        <v>0,00</v>
      </c>
      <c r="R1058" s="9" t="s">
        <v>30</v>
      </c>
      <c r="S1058" s="9">
        <f>COUNTIF(D1058,"*_SEG_*")</f>
        <v>1</v>
      </c>
      <c r="T1058" s="9">
        <f>COUNTIF(D1058,"*_MAN_*")</f>
        <v>0</v>
      </c>
      <c r="U1058" s="9">
        <f>(RIGHT(D1058,4))*1</f>
        <v>30</v>
      </c>
      <c r="V1058" s="9" t="str">
        <f>IFERROR(VLOOKUP(I1058,#REF!,2,0),"Sinalização")</f>
        <v>Sinalização</v>
      </c>
    </row>
    <row r="1059" spans="1:22" x14ac:dyDescent="0.25">
      <c r="A1059" s="3" t="s">
        <v>22</v>
      </c>
      <c r="B1059" s="4">
        <v>23510854</v>
      </c>
      <c r="C1059" s="5" t="s">
        <v>23</v>
      </c>
      <c r="D1059" s="6" t="s">
        <v>1013</v>
      </c>
      <c r="E1059" s="6" t="s">
        <v>25</v>
      </c>
      <c r="F1059" s="11">
        <v>46165</v>
      </c>
      <c r="G1059" s="6" t="s">
        <v>1079</v>
      </c>
      <c r="H1059" s="7" t="s">
        <v>26</v>
      </c>
      <c r="I1059" s="7" t="s">
        <v>1004</v>
      </c>
      <c r="J1059" s="7" t="s">
        <v>1014</v>
      </c>
      <c r="K1059" s="7" t="s">
        <v>29</v>
      </c>
      <c r="L1059" s="3" t="str">
        <f>E1059&amp;D1059</f>
        <v>E.SP.IPAEE_INS_SEG_C_I_SINAL LUMINOSO PN_0030</v>
      </c>
      <c r="M1059" s="3" t="str">
        <f>IFERROR(MID(D1059,SEARCH("S_I_",D1059,1),3),"")</f>
        <v/>
      </c>
      <c r="N1059" s="3" t="str">
        <f>IFERROR(MID(D1059,SEARCH("C_I_",D1059,1),3),"")</f>
        <v>C_I</v>
      </c>
      <c r="O1059" s="3" t="str">
        <f>IF(AND(M1059="",N1059=""),"Extra","")</f>
        <v/>
      </c>
      <c r="P1059" s="3" t="str">
        <f>IF(Q1059=0,"TERCEIRO","MRS")</f>
        <v>MRS</v>
      </c>
      <c r="Q1059" s="8" t="str">
        <f>IFERROR(VLOOKUP(L1059,#REF!,4,0),"0,00")</f>
        <v>0,00</v>
      </c>
      <c r="R1059" s="9" t="s">
        <v>30</v>
      </c>
      <c r="S1059" s="9">
        <f>COUNTIF(D1059,"*_SEG_*")</f>
        <v>1</v>
      </c>
      <c r="T1059" s="9">
        <f>COUNTIF(D1059,"*_MAN_*")</f>
        <v>0</v>
      </c>
      <c r="U1059" s="9">
        <f>(RIGHT(D1059,4))*1</f>
        <v>30</v>
      </c>
      <c r="V1059" s="9" t="str">
        <f>IFERROR(VLOOKUP(I1059,#REF!,2,0),"Sinalização")</f>
        <v>Sinalização</v>
      </c>
    </row>
    <row r="1060" spans="1:22" x14ac:dyDescent="0.25">
      <c r="A1060" s="3" t="s">
        <v>22</v>
      </c>
      <c r="B1060" s="4">
        <v>23510855</v>
      </c>
      <c r="C1060" s="5" t="s">
        <v>23</v>
      </c>
      <c r="D1060" s="6" t="s">
        <v>1013</v>
      </c>
      <c r="E1060" s="6" t="s">
        <v>25</v>
      </c>
      <c r="F1060" s="11">
        <v>46165</v>
      </c>
      <c r="G1060" s="6" t="s">
        <v>1079</v>
      </c>
      <c r="H1060" s="7" t="s">
        <v>26</v>
      </c>
      <c r="I1060" s="7" t="s">
        <v>1005</v>
      </c>
      <c r="J1060" s="7" t="s">
        <v>1014</v>
      </c>
      <c r="K1060" s="7" t="s">
        <v>29</v>
      </c>
      <c r="L1060" s="3" t="str">
        <f>E1060&amp;D1060</f>
        <v>E.SP.IPAEE_INS_SEG_C_I_SINAL LUMINOSO PN_0030</v>
      </c>
      <c r="M1060" s="3" t="str">
        <f>IFERROR(MID(D1060,SEARCH("S_I_",D1060,1),3),"")</f>
        <v/>
      </c>
      <c r="N1060" s="3" t="str">
        <f>IFERROR(MID(D1060,SEARCH("C_I_",D1060,1),3),"")</f>
        <v>C_I</v>
      </c>
      <c r="O1060" s="3" t="str">
        <f>IF(AND(M1060="",N1060=""),"Extra","")</f>
        <v/>
      </c>
      <c r="P1060" s="3" t="str">
        <f>IF(Q1060=0,"TERCEIRO","MRS")</f>
        <v>MRS</v>
      </c>
      <c r="Q1060" s="8" t="str">
        <f>IFERROR(VLOOKUP(L1060,#REF!,4,0),"0,00")</f>
        <v>0,00</v>
      </c>
      <c r="R1060" s="9" t="s">
        <v>30</v>
      </c>
      <c r="S1060" s="9">
        <f>COUNTIF(D1060,"*_SEG_*")</f>
        <v>1</v>
      </c>
      <c r="T1060" s="9">
        <f>COUNTIF(D1060,"*_MAN_*")</f>
        <v>0</v>
      </c>
      <c r="U1060" s="9">
        <f>(RIGHT(D1060,4))*1</f>
        <v>30</v>
      </c>
      <c r="V1060" s="9" t="str">
        <f>IFERROR(VLOOKUP(I1060,#REF!,2,0),"Sinalização")</f>
        <v>Sinalização</v>
      </c>
    </row>
    <row r="1061" spans="1:22" x14ac:dyDescent="0.25">
      <c r="A1061" s="3" t="s">
        <v>22</v>
      </c>
      <c r="B1061" s="4">
        <v>23510856</v>
      </c>
      <c r="C1061" s="5" t="s">
        <v>23</v>
      </c>
      <c r="D1061" s="6" t="s">
        <v>1013</v>
      </c>
      <c r="E1061" s="6" t="s">
        <v>25</v>
      </c>
      <c r="F1061" s="11">
        <v>46165</v>
      </c>
      <c r="G1061" s="6" t="s">
        <v>1079</v>
      </c>
      <c r="H1061" s="7" t="s">
        <v>32</v>
      </c>
      <c r="I1061" s="7" t="s">
        <v>524</v>
      </c>
      <c r="J1061" s="7" t="s">
        <v>1014</v>
      </c>
      <c r="K1061" s="7" t="s">
        <v>29</v>
      </c>
      <c r="L1061" s="3" t="str">
        <f>E1061&amp;D1061</f>
        <v>E.SP.IPAEE_INS_SEG_C_I_SINAL LUMINOSO PN_0030</v>
      </c>
      <c r="M1061" s="3" t="str">
        <f>IFERROR(MID(D1061,SEARCH("S_I_",D1061,1),3),"")</f>
        <v/>
      </c>
      <c r="N1061" s="3" t="str">
        <f>IFERROR(MID(D1061,SEARCH("C_I_",D1061,1),3),"")</f>
        <v>C_I</v>
      </c>
      <c r="O1061" s="3" t="str">
        <f>IF(AND(M1061="",N1061=""),"Extra","")</f>
        <v/>
      </c>
      <c r="P1061" s="3" t="str">
        <f>IF(Q1061=0,"TERCEIRO","MRS")</f>
        <v>MRS</v>
      </c>
      <c r="Q1061" s="8" t="str">
        <f>IFERROR(VLOOKUP(L1061,#REF!,4,0),"0,00")</f>
        <v>0,00</v>
      </c>
      <c r="R1061" s="9" t="s">
        <v>30</v>
      </c>
      <c r="S1061" s="9">
        <f>COUNTIF(D1061,"*_SEG_*")</f>
        <v>1</v>
      </c>
      <c r="T1061" s="9">
        <f>COUNTIF(D1061,"*_MAN_*")</f>
        <v>0</v>
      </c>
      <c r="U1061" s="9">
        <f>(RIGHT(D1061,4))*1</f>
        <v>30</v>
      </c>
      <c r="V1061" s="9" t="str">
        <f>IFERROR(VLOOKUP(I1061,#REF!,2,0),"Sinalização")</f>
        <v>Sinalização</v>
      </c>
    </row>
    <row r="1062" spans="1:22" x14ac:dyDescent="0.25">
      <c r="A1062" s="3" t="s">
        <v>22</v>
      </c>
      <c r="B1062" s="4">
        <v>23510857</v>
      </c>
      <c r="C1062" s="5" t="s">
        <v>23</v>
      </c>
      <c r="D1062" s="6" t="s">
        <v>1013</v>
      </c>
      <c r="E1062" s="6" t="s">
        <v>25</v>
      </c>
      <c r="F1062" s="11">
        <v>46165</v>
      </c>
      <c r="G1062" s="6" t="s">
        <v>1079</v>
      </c>
      <c r="H1062" s="7" t="s">
        <v>32</v>
      </c>
      <c r="I1062" s="7" t="s">
        <v>526</v>
      </c>
      <c r="J1062" s="7" t="s">
        <v>1014</v>
      </c>
      <c r="K1062" s="7" t="s">
        <v>29</v>
      </c>
      <c r="L1062" s="3" t="str">
        <f>E1062&amp;D1062</f>
        <v>E.SP.IPAEE_INS_SEG_C_I_SINAL LUMINOSO PN_0030</v>
      </c>
      <c r="M1062" s="3" t="str">
        <f>IFERROR(MID(D1062,SEARCH("S_I_",D1062,1),3),"")</f>
        <v/>
      </c>
      <c r="N1062" s="3" t="str">
        <f>IFERROR(MID(D1062,SEARCH("C_I_",D1062,1),3),"")</f>
        <v>C_I</v>
      </c>
      <c r="O1062" s="3" t="str">
        <f>IF(AND(M1062="",N1062=""),"Extra","")</f>
        <v/>
      </c>
      <c r="P1062" s="3" t="str">
        <f>IF(Q1062=0,"TERCEIRO","MRS")</f>
        <v>MRS</v>
      </c>
      <c r="Q1062" s="8" t="str">
        <f>IFERROR(VLOOKUP(L1062,#REF!,4,0),"0,00")</f>
        <v>0,00</v>
      </c>
      <c r="R1062" s="9" t="s">
        <v>30</v>
      </c>
      <c r="S1062" s="9">
        <f>COUNTIF(D1062,"*_SEG_*")</f>
        <v>1</v>
      </c>
      <c r="T1062" s="9">
        <f>COUNTIF(D1062,"*_MAN_*")</f>
        <v>0</v>
      </c>
      <c r="U1062" s="9">
        <f>(RIGHT(D1062,4))*1</f>
        <v>30</v>
      </c>
      <c r="V1062" s="9" t="str">
        <f>IFERROR(VLOOKUP(I1062,#REF!,2,0),"Sinalização")</f>
        <v>Sinalização</v>
      </c>
    </row>
    <row r="1063" spans="1:22" x14ac:dyDescent="0.25">
      <c r="A1063" s="3" t="s">
        <v>22</v>
      </c>
      <c r="B1063" s="4">
        <v>23510858</v>
      </c>
      <c r="C1063" s="5" t="s">
        <v>23</v>
      </c>
      <c r="D1063" s="6" t="s">
        <v>1013</v>
      </c>
      <c r="E1063" s="6" t="s">
        <v>25</v>
      </c>
      <c r="F1063" s="11">
        <v>46165</v>
      </c>
      <c r="G1063" s="6" t="s">
        <v>1079</v>
      </c>
      <c r="H1063" s="7" t="s">
        <v>26</v>
      </c>
      <c r="I1063" s="7" t="s">
        <v>1001</v>
      </c>
      <c r="J1063" s="7" t="s">
        <v>1014</v>
      </c>
      <c r="K1063" s="7" t="s">
        <v>29</v>
      </c>
      <c r="L1063" s="3" t="str">
        <f>E1063&amp;D1063</f>
        <v>E.SP.IPAEE_INS_SEG_C_I_SINAL LUMINOSO PN_0030</v>
      </c>
      <c r="M1063" s="3" t="str">
        <f>IFERROR(MID(D1063,SEARCH("S_I_",D1063,1),3),"")</f>
        <v/>
      </c>
      <c r="N1063" s="3" t="str">
        <f>IFERROR(MID(D1063,SEARCH("C_I_",D1063,1),3),"")</f>
        <v>C_I</v>
      </c>
      <c r="O1063" s="3" t="str">
        <f>IF(AND(M1063="",N1063=""),"Extra","")</f>
        <v/>
      </c>
      <c r="P1063" s="3" t="str">
        <f>IF(Q1063=0,"TERCEIRO","MRS")</f>
        <v>MRS</v>
      </c>
      <c r="Q1063" s="8" t="str">
        <f>IFERROR(VLOOKUP(L1063,#REF!,4,0),"0,00")</f>
        <v>0,00</v>
      </c>
      <c r="R1063" s="9" t="s">
        <v>30</v>
      </c>
      <c r="S1063" s="9">
        <f>COUNTIF(D1063,"*_SEG_*")</f>
        <v>1</v>
      </c>
      <c r="T1063" s="9">
        <f>COUNTIF(D1063,"*_MAN_*")</f>
        <v>0</v>
      </c>
      <c r="U1063" s="9">
        <f>(RIGHT(D1063,4))*1</f>
        <v>30</v>
      </c>
      <c r="V1063" s="9" t="str">
        <f>IFERROR(VLOOKUP(I1063,#REF!,2,0),"Sinalização")</f>
        <v>Sinalização</v>
      </c>
    </row>
    <row r="1064" spans="1:22" x14ac:dyDescent="0.25">
      <c r="A1064" s="3" t="s">
        <v>22</v>
      </c>
      <c r="B1064" s="4">
        <v>23510859</v>
      </c>
      <c r="C1064" s="5" t="s">
        <v>23</v>
      </c>
      <c r="D1064" s="6" t="s">
        <v>1013</v>
      </c>
      <c r="E1064" s="6" t="s">
        <v>25</v>
      </c>
      <c r="F1064" s="11">
        <v>46165</v>
      </c>
      <c r="G1064" s="6" t="s">
        <v>1079</v>
      </c>
      <c r="H1064" s="7" t="s">
        <v>26</v>
      </c>
      <c r="I1064" s="7" t="s">
        <v>1003</v>
      </c>
      <c r="J1064" s="7" t="s">
        <v>1014</v>
      </c>
      <c r="K1064" s="7" t="s">
        <v>29</v>
      </c>
      <c r="L1064" s="3" t="str">
        <f>E1064&amp;D1064</f>
        <v>E.SP.IPAEE_INS_SEG_C_I_SINAL LUMINOSO PN_0030</v>
      </c>
      <c r="M1064" s="3" t="str">
        <f>IFERROR(MID(D1064,SEARCH("S_I_",D1064,1),3),"")</f>
        <v/>
      </c>
      <c r="N1064" s="3" t="str">
        <f>IFERROR(MID(D1064,SEARCH("C_I_",D1064,1),3),"")</f>
        <v>C_I</v>
      </c>
      <c r="O1064" s="3" t="str">
        <f>IF(AND(M1064="",N1064=""),"Extra","")</f>
        <v/>
      </c>
      <c r="P1064" s="3" t="str">
        <f>IF(Q1064=0,"TERCEIRO","MRS")</f>
        <v>MRS</v>
      </c>
      <c r="Q1064" s="8" t="str">
        <f>IFERROR(VLOOKUP(L1064,#REF!,4,0),"0,00")</f>
        <v>0,00</v>
      </c>
      <c r="R1064" s="9" t="s">
        <v>30</v>
      </c>
      <c r="S1064" s="9">
        <f>COUNTIF(D1064,"*_SEG_*")</f>
        <v>1</v>
      </c>
      <c r="T1064" s="9">
        <f>COUNTIF(D1064,"*_MAN_*")</f>
        <v>0</v>
      </c>
      <c r="U1064" s="9">
        <f>(RIGHT(D1064,4))*1</f>
        <v>30</v>
      </c>
      <c r="V1064" s="9" t="str">
        <f>IFERROR(VLOOKUP(I1064,#REF!,2,0),"Sinalização")</f>
        <v>Sinalização</v>
      </c>
    </row>
    <row r="1065" spans="1:22" x14ac:dyDescent="0.25">
      <c r="A1065" s="3" t="s">
        <v>22</v>
      </c>
      <c r="B1065" s="4">
        <v>23510875</v>
      </c>
      <c r="C1065" s="5" t="s">
        <v>23</v>
      </c>
      <c r="D1065" s="6" t="s">
        <v>1015</v>
      </c>
      <c r="E1065" s="6" t="s">
        <v>25</v>
      </c>
      <c r="F1065" s="11">
        <v>46165</v>
      </c>
      <c r="G1065" s="6" t="s">
        <v>1079</v>
      </c>
      <c r="H1065" s="7" t="s">
        <v>32</v>
      </c>
      <c r="I1065" s="7" t="s">
        <v>410</v>
      </c>
      <c r="J1065" s="7" t="s">
        <v>1016</v>
      </c>
      <c r="K1065" s="7" t="s">
        <v>29</v>
      </c>
      <c r="L1065" s="3" t="str">
        <f>E1065&amp;D1065</f>
        <v>E.SP.IPAEE_INS_CONF_S_I_IAS_0030</v>
      </c>
      <c r="M1065" s="3" t="str">
        <f>IFERROR(MID(D1065,SEARCH("S_I_",D1065,1),3),"")</f>
        <v>S_I</v>
      </c>
      <c r="N1065" s="3" t="str">
        <f>IFERROR(MID(D1065,SEARCH("C_I_",D1065,1),3),"")</f>
        <v/>
      </c>
      <c r="O1065" s="3" t="str">
        <f>IF(AND(M1065="",N1065=""),"Extra","")</f>
        <v/>
      </c>
      <c r="P1065" s="3" t="str">
        <f>IF(Q1065=0,"TERCEIRO","MRS")</f>
        <v>MRS</v>
      </c>
      <c r="Q1065" s="8" t="str">
        <f>IFERROR(VLOOKUP(L1065,#REF!,4,0),"0,00")</f>
        <v>0,00</v>
      </c>
      <c r="R1065" s="9" t="s">
        <v>57</v>
      </c>
      <c r="S1065" s="9">
        <f>COUNTIF(D1065,"*_SEG_*")</f>
        <v>0</v>
      </c>
      <c r="T1065" s="9">
        <f>COUNTIF(D1065,"*_MAN_*")</f>
        <v>0</v>
      </c>
      <c r="U1065" s="9">
        <f>(RIGHT(D1065,4))*1</f>
        <v>30</v>
      </c>
      <c r="V1065" s="9" t="str">
        <f>IFERROR(VLOOKUP(I1065,#REF!,2,0),"Sinalização")</f>
        <v>Sinalização</v>
      </c>
    </row>
    <row r="1066" spans="1:22" x14ac:dyDescent="0.25">
      <c r="A1066" s="3" t="s">
        <v>22</v>
      </c>
      <c r="B1066" s="4">
        <v>23510876</v>
      </c>
      <c r="C1066" s="5" t="s">
        <v>23</v>
      </c>
      <c r="D1066" s="6" t="s">
        <v>1015</v>
      </c>
      <c r="E1066" s="6" t="s">
        <v>25</v>
      </c>
      <c r="F1066" s="11">
        <v>46165</v>
      </c>
      <c r="G1066" s="6" t="s">
        <v>1079</v>
      </c>
      <c r="H1066" s="7" t="s">
        <v>32</v>
      </c>
      <c r="I1066" s="7" t="s">
        <v>414</v>
      </c>
      <c r="J1066" s="7" t="s">
        <v>1016</v>
      </c>
      <c r="K1066" s="7" t="s">
        <v>29</v>
      </c>
      <c r="L1066" s="3" t="str">
        <f>E1066&amp;D1066</f>
        <v>E.SP.IPAEE_INS_CONF_S_I_IAS_0030</v>
      </c>
      <c r="M1066" s="3" t="str">
        <f>IFERROR(MID(D1066,SEARCH("S_I_",D1066,1),3),"")</f>
        <v>S_I</v>
      </c>
      <c r="N1066" s="3" t="str">
        <f>IFERROR(MID(D1066,SEARCH("C_I_",D1066,1),3),"")</f>
        <v/>
      </c>
      <c r="O1066" s="3" t="str">
        <f>IF(AND(M1066="",N1066=""),"Extra","")</f>
        <v/>
      </c>
      <c r="P1066" s="3" t="str">
        <f>IF(Q1066=0,"TERCEIRO","MRS")</f>
        <v>MRS</v>
      </c>
      <c r="Q1066" s="8" t="str">
        <f>IFERROR(VLOOKUP(L1066,#REF!,4,0),"0,00")</f>
        <v>0,00</v>
      </c>
      <c r="R1066" s="9" t="s">
        <v>57</v>
      </c>
      <c r="S1066" s="9">
        <f>COUNTIF(D1066,"*_SEG_*")</f>
        <v>0</v>
      </c>
      <c r="T1066" s="9">
        <f>COUNTIF(D1066,"*_MAN_*")</f>
        <v>0</v>
      </c>
      <c r="U1066" s="9">
        <f>(RIGHT(D1066,4))*1</f>
        <v>30</v>
      </c>
      <c r="V1066" s="9" t="str">
        <f>IFERROR(VLOOKUP(I1066,#REF!,2,0),"Sinalização")</f>
        <v>Sinalização</v>
      </c>
    </row>
    <row r="1067" spans="1:22" x14ac:dyDescent="0.25">
      <c r="A1067" s="3" t="s">
        <v>22</v>
      </c>
      <c r="B1067" s="4">
        <v>23510877</v>
      </c>
      <c r="C1067" s="5" t="s">
        <v>23</v>
      </c>
      <c r="D1067" s="6" t="s">
        <v>1015</v>
      </c>
      <c r="E1067" s="6" t="s">
        <v>25</v>
      </c>
      <c r="F1067" s="11">
        <v>46165</v>
      </c>
      <c r="G1067" s="6" t="s">
        <v>1079</v>
      </c>
      <c r="H1067" s="7" t="s">
        <v>26</v>
      </c>
      <c r="I1067" s="7" t="s">
        <v>360</v>
      </c>
      <c r="J1067" s="7" t="s">
        <v>1016</v>
      </c>
      <c r="K1067" s="7" t="s">
        <v>29</v>
      </c>
      <c r="L1067" s="3" t="str">
        <f>E1067&amp;D1067</f>
        <v>E.SP.IPAEE_INS_CONF_S_I_IAS_0030</v>
      </c>
      <c r="M1067" s="3" t="str">
        <f>IFERROR(MID(D1067,SEARCH("S_I_",D1067,1),3),"")</f>
        <v>S_I</v>
      </c>
      <c r="N1067" s="3" t="str">
        <f>IFERROR(MID(D1067,SEARCH("C_I_",D1067,1),3),"")</f>
        <v/>
      </c>
      <c r="O1067" s="3" t="str">
        <f>IF(AND(M1067="",N1067=""),"Extra","")</f>
        <v/>
      </c>
      <c r="P1067" s="3" t="str">
        <f>IF(Q1067=0,"TERCEIRO","MRS")</f>
        <v>MRS</v>
      </c>
      <c r="Q1067" s="8" t="str">
        <f>IFERROR(VLOOKUP(L1067,#REF!,4,0),"0,00")</f>
        <v>0,00</v>
      </c>
      <c r="R1067" s="9" t="s">
        <v>57</v>
      </c>
      <c r="S1067" s="9">
        <f>COUNTIF(D1067,"*_SEG_*")</f>
        <v>0</v>
      </c>
      <c r="T1067" s="9">
        <f>COUNTIF(D1067,"*_MAN_*")</f>
        <v>0</v>
      </c>
      <c r="U1067" s="9">
        <f>(RIGHT(D1067,4))*1</f>
        <v>30</v>
      </c>
      <c r="V1067" s="9" t="str">
        <f>IFERROR(VLOOKUP(I1067,#REF!,2,0),"Sinalização")</f>
        <v>Sinalização</v>
      </c>
    </row>
    <row r="1068" spans="1:22" x14ac:dyDescent="0.25">
      <c r="A1068" s="3" t="s">
        <v>22</v>
      </c>
      <c r="B1068" s="4">
        <v>23510878</v>
      </c>
      <c r="C1068" s="5" t="s">
        <v>23</v>
      </c>
      <c r="D1068" s="6" t="s">
        <v>1015</v>
      </c>
      <c r="E1068" s="6" t="s">
        <v>25</v>
      </c>
      <c r="F1068" s="11">
        <v>46165</v>
      </c>
      <c r="G1068" s="6" t="s">
        <v>1079</v>
      </c>
      <c r="H1068" s="7" t="s">
        <v>26</v>
      </c>
      <c r="I1068" s="7" t="s">
        <v>411</v>
      </c>
      <c r="J1068" s="7" t="s">
        <v>1016</v>
      </c>
      <c r="K1068" s="7" t="s">
        <v>29</v>
      </c>
      <c r="L1068" s="3" t="str">
        <f>E1068&amp;D1068</f>
        <v>E.SP.IPAEE_INS_CONF_S_I_IAS_0030</v>
      </c>
      <c r="M1068" s="3" t="str">
        <f>IFERROR(MID(D1068,SEARCH("S_I_",D1068,1),3),"")</f>
        <v>S_I</v>
      </c>
      <c r="N1068" s="3" t="str">
        <f>IFERROR(MID(D1068,SEARCH("C_I_",D1068,1),3),"")</f>
        <v/>
      </c>
      <c r="O1068" s="3" t="str">
        <f>IF(AND(M1068="",N1068=""),"Extra","")</f>
        <v/>
      </c>
      <c r="P1068" s="3" t="str">
        <f>IF(Q1068=0,"TERCEIRO","MRS")</f>
        <v>MRS</v>
      </c>
      <c r="Q1068" s="8" t="str">
        <f>IFERROR(VLOOKUP(L1068,#REF!,4,0),"0,00")</f>
        <v>0,00</v>
      </c>
      <c r="R1068" s="9" t="s">
        <v>57</v>
      </c>
      <c r="S1068" s="9">
        <f>COUNTIF(D1068,"*_SEG_*")</f>
        <v>0</v>
      </c>
      <c r="T1068" s="9">
        <f>COUNTIF(D1068,"*_MAN_*")</f>
        <v>0</v>
      </c>
      <c r="U1068" s="9">
        <f>(RIGHT(D1068,4))*1</f>
        <v>30</v>
      </c>
      <c r="V1068" s="9" t="str">
        <f>IFERROR(VLOOKUP(I1068,#REF!,2,0),"Sinalização")</f>
        <v>Sinalização</v>
      </c>
    </row>
    <row r="1069" spans="1:22" x14ac:dyDescent="0.25">
      <c r="A1069" s="3" t="s">
        <v>22</v>
      </c>
      <c r="B1069" s="4">
        <v>23510879</v>
      </c>
      <c r="C1069" s="5" t="s">
        <v>23</v>
      </c>
      <c r="D1069" s="6" t="s">
        <v>1015</v>
      </c>
      <c r="E1069" s="6" t="s">
        <v>25</v>
      </c>
      <c r="F1069" s="11">
        <v>46165</v>
      </c>
      <c r="G1069" s="6" t="s">
        <v>1079</v>
      </c>
      <c r="H1069" s="7" t="s">
        <v>32</v>
      </c>
      <c r="I1069" s="7" t="s">
        <v>415</v>
      </c>
      <c r="J1069" s="7" t="s">
        <v>1016</v>
      </c>
      <c r="K1069" s="7" t="s">
        <v>29</v>
      </c>
      <c r="L1069" s="3" t="str">
        <f>E1069&amp;D1069</f>
        <v>E.SP.IPAEE_INS_CONF_S_I_IAS_0030</v>
      </c>
      <c r="M1069" s="3" t="str">
        <f>IFERROR(MID(D1069,SEARCH("S_I_",D1069,1),3),"")</f>
        <v>S_I</v>
      </c>
      <c r="N1069" s="3" t="str">
        <f>IFERROR(MID(D1069,SEARCH("C_I_",D1069,1),3),"")</f>
        <v/>
      </c>
      <c r="O1069" s="3" t="str">
        <f>IF(AND(M1069="",N1069=""),"Extra","")</f>
        <v/>
      </c>
      <c r="P1069" s="3" t="str">
        <f>IF(Q1069=0,"TERCEIRO","MRS")</f>
        <v>MRS</v>
      </c>
      <c r="Q1069" s="8" t="str">
        <f>IFERROR(VLOOKUP(L1069,#REF!,4,0),"0,00")</f>
        <v>0,00</v>
      </c>
      <c r="R1069" s="9" t="s">
        <v>57</v>
      </c>
      <c r="S1069" s="9">
        <f>COUNTIF(D1069,"*_SEG_*")</f>
        <v>0</v>
      </c>
      <c r="T1069" s="9">
        <f>COUNTIF(D1069,"*_MAN_*")</f>
        <v>0</v>
      </c>
      <c r="U1069" s="9">
        <f>(RIGHT(D1069,4))*1</f>
        <v>30</v>
      </c>
      <c r="V1069" s="9" t="str">
        <f>IFERROR(VLOOKUP(I1069,#REF!,2,0),"Sinalização")</f>
        <v>Sinalização</v>
      </c>
    </row>
    <row r="1070" spans="1:22" x14ac:dyDescent="0.25">
      <c r="A1070" s="3" t="s">
        <v>22</v>
      </c>
      <c r="B1070" s="4">
        <v>23510880</v>
      </c>
      <c r="C1070" s="5" t="s">
        <v>23</v>
      </c>
      <c r="D1070" s="6" t="s">
        <v>1015</v>
      </c>
      <c r="E1070" s="6" t="s">
        <v>25</v>
      </c>
      <c r="F1070" s="11">
        <v>46165</v>
      </c>
      <c r="G1070" s="6" t="s">
        <v>1079</v>
      </c>
      <c r="H1070" s="7" t="s">
        <v>32</v>
      </c>
      <c r="I1070" s="7" t="s">
        <v>1017</v>
      </c>
      <c r="J1070" s="7" t="s">
        <v>1016</v>
      </c>
      <c r="K1070" s="7" t="s">
        <v>29</v>
      </c>
      <c r="L1070" s="3" t="str">
        <f>E1070&amp;D1070</f>
        <v>E.SP.IPAEE_INS_CONF_S_I_IAS_0030</v>
      </c>
      <c r="M1070" s="3" t="str">
        <f>IFERROR(MID(D1070,SEARCH("S_I_",D1070,1),3),"")</f>
        <v>S_I</v>
      </c>
      <c r="N1070" s="3" t="str">
        <f>IFERROR(MID(D1070,SEARCH("C_I_",D1070,1),3),"")</f>
        <v/>
      </c>
      <c r="O1070" s="3" t="str">
        <f>IF(AND(M1070="",N1070=""),"Extra","")</f>
        <v/>
      </c>
      <c r="P1070" s="3" t="str">
        <f>IF(Q1070=0,"TERCEIRO","MRS")</f>
        <v>MRS</v>
      </c>
      <c r="Q1070" s="8" t="str">
        <f>IFERROR(VLOOKUP(L1070,#REF!,4,0),"0,00")</f>
        <v>0,00</v>
      </c>
      <c r="R1070" s="9" t="s">
        <v>57</v>
      </c>
      <c r="S1070" s="9">
        <f>COUNTIF(D1070,"*_SEG_*")</f>
        <v>0</v>
      </c>
      <c r="T1070" s="9">
        <f>COUNTIF(D1070,"*_MAN_*")</f>
        <v>0</v>
      </c>
      <c r="U1070" s="9">
        <f>(RIGHT(D1070,4))*1</f>
        <v>30</v>
      </c>
      <c r="V1070" s="9" t="str">
        <f>IFERROR(VLOOKUP(I1070,#REF!,2,0),"Sinalização")</f>
        <v>Sinalização</v>
      </c>
    </row>
    <row r="1071" spans="1:22" x14ac:dyDescent="0.25">
      <c r="A1071" s="3" t="s">
        <v>22</v>
      </c>
      <c r="B1071" s="4">
        <v>23510881</v>
      </c>
      <c r="C1071" s="5" t="s">
        <v>23</v>
      </c>
      <c r="D1071" s="6" t="s">
        <v>1015</v>
      </c>
      <c r="E1071" s="6" t="s">
        <v>25</v>
      </c>
      <c r="F1071" s="11">
        <v>46165</v>
      </c>
      <c r="G1071" s="6" t="s">
        <v>1079</v>
      </c>
      <c r="H1071" s="7" t="s">
        <v>26</v>
      </c>
      <c r="I1071" s="7" t="s">
        <v>383</v>
      </c>
      <c r="J1071" s="7" t="s">
        <v>1016</v>
      </c>
      <c r="K1071" s="7" t="s">
        <v>29</v>
      </c>
      <c r="L1071" s="3" t="str">
        <f>E1071&amp;D1071</f>
        <v>E.SP.IPAEE_INS_CONF_S_I_IAS_0030</v>
      </c>
      <c r="M1071" s="3" t="str">
        <f>IFERROR(MID(D1071,SEARCH("S_I_",D1071,1),3),"")</f>
        <v>S_I</v>
      </c>
      <c r="N1071" s="3" t="str">
        <f>IFERROR(MID(D1071,SEARCH("C_I_",D1071,1),3),"")</f>
        <v/>
      </c>
      <c r="O1071" s="3" t="str">
        <f>IF(AND(M1071="",N1071=""),"Extra","")</f>
        <v/>
      </c>
      <c r="P1071" s="3" t="str">
        <f>IF(Q1071=0,"TERCEIRO","MRS")</f>
        <v>MRS</v>
      </c>
      <c r="Q1071" s="8" t="str">
        <f>IFERROR(VLOOKUP(L1071,#REF!,4,0),"0,00")</f>
        <v>0,00</v>
      </c>
      <c r="R1071" s="9" t="s">
        <v>57</v>
      </c>
      <c r="S1071" s="9">
        <f>COUNTIF(D1071,"*_SEG_*")</f>
        <v>0</v>
      </c>
      <c r="T1071" s="9">
        <f>COUNTIF(D1071,"*_MAN_*")</f>
        <v>0</v>
      </c>
      <c r="U1071" s="9">
        <f>(RIGHT(D1071,4))*1</f>
        <v>30</v>
      </c>
      <c r="V1071" s="9" t="str">
        <f>IFERROR(VLOOKUP(I1071,#REF!,2,0),"Sinalização")</f>
        <v>Sinalização</v>
      </c>
    </row>
    <row r="1072" spans="1:22" x14ac:dyDescent="0.25">
      <c r="A1072" s="3" t="s">
        <v>22</v>
      </c>
      <c r="B1072" s="4">
        <v>23510882</v>
      </c>
      <c r="C1072" s="5" t="s">
        <v>23</v>
      </c>
      <c r="D1072" s="6" t="s">
        <v>1015</v>
      </c>
      <c r="E1072" s="6" t="s">
        <v>25</v>
      </c>
      <c r="F1072" s="11">
        <v>46165</v>
      </c>
      <c r="G1072" s="6" t="s">
        <v>1079</v>
      </c>
      <c r="H1072" s="7" t="s">
        <v>26</v>
      </c>
      <c r="I1072" s="7" t="s">
        <v>386</v>
      </c>
      <c r="J1072" s="7" t="s">
        <v>1016</v>
      </c>
      <c r="K1072" s="7" t="s">
        <v>29</v>
      </c>
      <c r="L1072" s="3" t="str">
        <f>E1072&amp;D1072</f>
        <v>E.SP.IPAEE_INS_CONF_S_I_IAS_0030</v>
      </c>
      <c r="M1072" s="3" t="str">
        <f>IFERROR(MID(D1072,SEARCH("S_I_",D1072,1),3),"")</f>
        <v>S_I</v>
      </c>
      <c r="N1072" s="3" t="str">
        <f>IFERROR(MID(D1072,SEARCH("C_I_",D1072,1),3),"")</f>
        <v/>
      </c>
      <c r="O1072" s="3" t="str">
        <f>IF(AND(M1072="",N1072=""),"Extra","")</f>
        <v/>
      </c>
      <c r="P1072" s="3" t="str">
        <f>IF(Q1072=0,"TERCEIRO","MRS")</f>
        <v>MRS</v>
      </c>
      <c r="Q1072" s="8" t="str">
        <f>IFERROR(VLOOKUP(L1072,#REF!,4,0),"0,00")</f>
        <v>0,00</v>
      </c>
      <c r="R1072" s="9" t="s">
        <v>57</v>
      </c>
      <c r="S1072" s="9">
        <f>COUNTIF(D1072,"*_SEG_*")</f>
        <v>0</v>
      </c>
      <c r="T1072" s="9">
        <f>COUNTIF(D1072,"*_MAN_*")</f>
        <v>0</v>
      </c>
      <c r="U1072" s="9">
        <f>(RIGHT(D1072,4))*1</f>
        <v>30</v>
      </c>
      <c r="V1072" s="9" t="str">
        <f>IFERROR(VLOOKUP(I1072,#REF!,2,0),"Sinalização")</f>
        <v>Sinalização</v>
      </c>
    </row>
    <row r="1073" spans="1:22" x14ac:dyDescent="0.25">
      <c r="A1073" s="3" t="s">
        <v>22</v>
      </c>
      <c r="B1073" s="4">
        <v>23510883</v>
      </c>
      <c r="C1073" s="5" t="s">
        <v>23</v>
      </c>
      <c r="D1073" s="6" t="s">
        <v>1015</v>
      </c>
      <c r="E1073" s="6" t="s">
        <v>25</v>
      </c>
      <c r="F1073" s="11">
        <v>46165</v>
      </c>
      <c r="G1073" s="6" t="s">
        <v>1079</v>
      </c>
      <c r="H1073" s="7" t="s">
        <v>32</v>
      </c>
      <c r="I1073" s="7" t="s">
        <v>385</v>
      </c>
      <c r="J1073" s="7" t="s">
        <v>1016</v>
      </c>
      <c r="K1073" s="7" t="s">
        <v>29</v>
      </c>
      <c r="L1073" s="3" t="str">
        <f>E1073&amp;D1073</f>
        <v>E.SP.IPAEE_INS_CONF_S_I_IAS_0030</v>
      </c>
      <c r="M1073" s="3" t="str">
        <f>IFERROR(MID(D1073,SEARCH("S_I_",D1073,1),3),"")</f>
        <v>S_I</v>
      </c>
      <c r="N1073" s="3" t="str">
        <f>IFERROR(MID(D1073,SEARCH("C_I_",D1073,1),3),"")</f>
        <v/>
      </c>
      <c r="O1073" s="3" t="str">
        <f>IF(AND(M1073="",N1073=""),"Extra","")</f>
        <v/>
      </c>
      <c r="P1073" s="3" t="str">
        <f>IF(Q1073=0,"TERCEIRO","MRS")</f>
        <v>MRS</v>
      </c>
      <c r="Q1073" s="8" t="str">
        <f>IFERROR(VLOOKUP(L1073,#REF!,4,0),"0,00")</f>
        <v>0,00</v>
      </c>
      <c r="R1073" s="9" t="s">
        <v>57</v>
      </c>
      <c r="S1073" s="9">
        <f>COUNTIF(D1073,"*_SEG_*")</f>
        <v>0</v>
      </c>
      <c r="T1073" s="9">
        <f>COUNTIF(D1073,"*_MAN_*")</f>
        <v>0</v>
      </c>
      <c r="U1073" s="9">
        <f>(RIGHT(D1073,4))*1</f>
        <v>30</v>
      </c>
      <c r="V1073" s="9" t="str">
        <f>IFERROR(VLOOKUP(I1073,#REF!,2,0),"Sinalização")</f>
        <v>Sinalização</v>
      </c>
    </row>
    <row r="1074" spans="1:22" x14ac:dyDescent="0.25">
      <c r="A1074" s="3" t="s">
        <v>22</v>
      </c>
      <c r="B1074" s="4">
        <v>23510884</v>
      </c>
      <c r="C1074" s="5" t="s">
        <v>23</v>
      </c>
      <c r="D1074" s="6" t="s">
        <v>1015</v>
      </c>
      <c r="E1074" s="6" t="s">
        <v>25</v>
      </c>
      <c r="F1074" s="11">
        <v>46165</v>
      </c>
      <c r="G1074" s="6" t="s">
        <v>1079</v>
      </c>
      <c r="H1074" s="7" t="s">
        <v>32</v>
      </c>
      <c r="I1074" s="7" t="s">
        <v>384</v>
      </c>
      <c r="J1074" s="7" t="s">
        <v>1016</v>
      </c>
      <c r="K1074" s="7" t="s">
        <v>29</v>
      </c>
      <c r="L1074" s="3" t="str">
        <f>E1074&amp;D1074</f>
        <v>E.SP.IPAEE_INS_CONF_S_I_IAS_0030</v>
      </c>
      <c r="M1074" s="3" t="str">
        <f>IFERROR(MID(D1074,SEARCH("S_I_",D1074,1),3),"")</f>
        <v>S_I</v>
      </c>
      <c r="N1074" s="3" t="str">
        <f>IFERROR(MID(D1074,SEARCH("C_I_",D1074,1),3),"")</f>
        <v/>
      </c>
      <c r="O1074" s="3" t="str">
        <f>IF(AND(M1074="",N1074=""),"Extra","")</f>
        <v/>
      </c>
      <c r="P1074" s="3" t="str">
        <f>IF(Q1074=0,"TERCEIRO","MRS")</f>
        <v>MRS</v>
      </c>
      <c r="Q1074" s="8" t="str">
        <f>IFERROR(VLOOKUP(L1074,#REF!,4,0),"0,00")</f>
        <v>0,00</v>
      </c>
      <c r="R1074" s="9" t="s">
        <v>57</v>
      </c>
      <c r="S1074" s="9">
        <f>COUNTIF(D1074,"*_SEG_*")</f>
        <v>0</v>
      </c>
      <c r="T1074" s="9">
        <f>COUNTIF(D1074,"*_MAN_*")</f>
        <v>0</v>
      </c>
      <c r="U1074" s="9">
        <f>(RIGHT(D1074,4))*1</f>
        <v>30</v>
      </c>
      <c r="V1074" s="9" t="str">
        <f>IFERROR(VLOOKUP(I1074,#REF!,2,0),"Sinalização")</f>
        <v>Sinalização</v>
      </c>
    </row>
    <row r="1075" spans="1:22" x14ac:dyDescent="0.25">
      <c r="A1075" s="3" t="s">
        <v>22</v>
      </c>
      <c r="B1075" s="4">
        <v>23510885</v>
      </c>
      <c r="C1075" s="5" t="s">
        <v>23</v>
      </c>
      <c r="D1075" s="6" t="s">
        <v>1015</v>
      </c>
      <c r="E1075" s="6" t="s">
        <v>25</v>
      </c>
      <c r="F1075" s="11">
        <v>46165</v>
      </c>
      <c r="G1075" s="6" t="s">
        <v>1079</v>
      </c>
      <c r="H1075" s="7" t="s">
        <v>26</v>
      </c>
      <c r="I1075" s="7" t="s">
        <v>1018</v>
      </c>
      <c r="J1075" s="7" t="s">
        <v>1016</v>
      </c>
      <c r="K1075" s="7" t="s">
        <v>29</v>
      </c>
      <c r="L1075" s="3" t="str">
        <f>E1075&amp;D1075</f>
        <v>E.SP.IPAEE_INS_CONF_S_I_IAS_0030</v>
      </c>
      <c r="M1075" s="3" t="str">
        <f>IFERROR(MID(D1075,SEARCH("S_I_",D1075,1),3),"")</f>
        <v>S_I</v>
      </c>
      <c r="N1075" s="3" t="str">
        <f>IFERROR(MID(D1075,SEARCH("C_I_",D1075,1),3),"")</f>
        <v/>
      </c>
      <c r="O1075" s="3" t="str">
        <f>IF(AND(M1075="",N1075=""),"Extra","")</f>
        <v/>
      </c>
      <c r="P1075" s="3" t="str">
        <f>IF(Q1075=0,"TERCEIRO","MRS")</f>
        <v>MRS</v>
      </c>
      <c r="Q1075" s="8" t="str">
        <f>IFERROR(VLOOKUP(L1075,#REF!,4,0),"0,00")</f>
        <v>0,00</v>
      </c>
      <c r="R1075" s="9" t="s">
        <v>57</v>
      </c>
      <c r="S1075" s="9">
        <f>COUNTIF(D1075,"*_SEG_*")</f>
        <v>0</v>
      </c>
      <c r="T1075" s="9">
        <f>COUNTIF(D1075,"*_MAN_*")</f>
        <v>0</v>
      </c>
      <c r="U1075" s="9">
        <f>(RIGHT(D1075,4))*1</f>
        <v>30</v>
      </c>
      <c r="V1075" s="9" t="str">
        <f>IFERROR(VLOOKUP(I1075,#REF!,2,0),"Sinalização")</f>
        <v>Sinalização</v>
      </c>
    </row>
    <row r="1076" spans="1:22" x14ac:dyDescent="0.25">
      <c r="A1076" s="3" t="s">
        <v>22</v>
      </c>
      <c r="B1076" s="4">
        <v>23510886</v>
      </c>
      <c r="C1076" s="5" t="s">
        <v>23</v>
      </c>
      <c r="D1076" s="6" t="s">
        <v>1015</v>
      </c>
      <c r="E1076" s="6" t="s">
        <v>25</v>
      </c>
      <c r="F1076" s="11">
        <v>46165</v>
      </c>
      <c r="G1076" s="6" t="s">
        <v>1079</v>
      </c>
      <c r="H1076" s="7" t="s">
        <v>26</v>
      </c>
      <c r="I1076" s="7" t="s">
        <v>1019</v>
      </c>
      <c r="J1076" s="7" t="s">
        <v>1016</v>
      </c>
      <c r="K1076" s="7" t="s">
        <v>29</v>
      </c>
      <c r="L1076" s="3" t="str">
        <f>E1076&amp;D1076</f>
        <v>E.SP.IPAEE_INS_CONF_S_I_IAS_0030</v>
      </c>
      <c r="M1076" s="3" t="str">
        <f>IFERROR(MID(D1076,SEARCH("S_I_",D1076,1),3),"")</f>
        <v>S_I</v>
      </c>
      <c r="N1076" s="3" t="str">
        <f>IFERROR(MID(D1076,SEARCH("C_I_",D1076,1),3),"")</f>
        <v/>
      </c>
      <c r="O1076" s="3" t="str">
        <f>IF(AND(M1076="",N1076=""),"Extra","")</f>
        <v/>
      </c>
      <c r="P1076" s="3" t="str">
        <f>IF(Q1076=0,"TERCEIRO","MRS")</f>
        <v>MRS</v>
      </c>
      <c r="Q1076" s="8" t="str">
        <f>IFERROR(VLOOKUP(L1076,#REF!,4,0),"0,00")</f>
        <v>0,00</v>
      </c>
      <c r="R1076" s="9" t="s">
        <v>57</v>
      </c>
      <c r="S1076" s="9">
        <f>COUNTIF(D1076,"*_SEG_*")</f>
        <v>0</v>
      </c>
      <c r="T1076" s="9">
        <f>COUNTIF(D1076,"*_MAN_*")</f>
        <v>0</v>
      </c>
      <c r="U1076" s="9">
        <f>(RIGHT(D1076,4))*1</f>
        <v>30</v>
      </c>
      <c r="V1076" s="9" t="str">
        <f>IFERROR(VLOOKUP(I1076,#REF!,2,0),"Sinalização")</f>
        <v>Sinalização</v>
      </c>
    </row>
    <row r="1077" spans="1:22" x14ac:dyDescent="0.25">
      <c r="A1077" s="3" t="s">
        <v>22</v>
      </c>
      <c r="B1077" s="4">
        <v>23510887</v>
      </c>
      <c r="C1077" s="5" t="s">
        <v>23</v>
      </c>
      <c r="D1077" s="6" t="s">
        <v>1015</v>
      </c>
      <c r="E1077" s="6" t="s">
        <v>25</v>
      </c>
      <c r="F1077" s="11">
        <v>46165</v>
      </c>
      <c r="G1077" s="6" t="s">
        <v>1079</v>
      </c>
      <c r="H1077" s="7" t="s">
        <v>32</v>
      </c>
      <c r="I1077" s="7" t="s">
        <v>210</v>
      </c>
      <c r="J1077" s="7" t="s">
        <v>1016</v>
      </c>
      <c r="K1077" s="7" t="s">
        <v>29</v>
      </c>
      <c r="L1077" s="3" t="str">
        <f>E1077&amp;D1077</f>
        <v>E.SP.IPAEE_INS_CONF_S_I_IAS_0030</v>
      </c>
      <c r="M1077" s="3" t="str">
        <f>IFERROR(MID(D1077,SEARCH("S_I_",D1077,1),3),"")</f>
        <v>S_I</v>
      </c>
      <c r="N1077" s="3" t="str">
        <f>IFERROR(MID(D1077,SEARCH("C_I_",D1077,1),3),"")</f>
        <v/>
      </c>
      <c r="O1077" s="3" t="str">
        <f>IF(AND(M1077="",N1077=""),"Extra","")</f>
        <v/>
      </c>
      <c r="P1077" s="3" t="str">
        <f>IF(Q1077=0,"TERCEIRO","MRS")</f>
        <v>MRS</v>
      </c>
      <c r="Q1077" s="8" t="str">
        <f>IFERROR(VLOOKUP(L1077,#REF!,4,0),"0,00")</f>
        <v>0,00</v>
      </c>
      <c r="R1077" s="9" t="s">
        <v>57</v>
      </c>
      <c r="S1077" s="9">
        <f>COUNTIF(D1077,"*_SEG_*")</f>
        <v>0</v>
      </c>
      <c r="T1077" s="9">
        <f>COUNTIF(D1077,"*_MAN_*")</f>
        <v>0</v>
      </c>
      <c r="U1077" s="9">
        <f>(RIGHT(D1077,4))*1</f>
        <v>30</v>
      </c>
      <c r="V1077" s="9" t="str">
        <f>IFERROR(VLOOKUP(I1077,#REF!,2,0),"Sinalização")</f>
        <v>Sinalização</v>
      </c>
    </row>
    <row r="1078" spans="1:22" x14ac:dyDescent="0.25">
      <c r="A1078" s="3" t="s">
        <v>22</v>
      </c>
      <c r="B1078" s="4">
        <v>23510888</v>
      </c>
      <c r="C1078" s="5" t="s">
        <v>23</v>
      </c>
      <c r="D1078" s="6" t="s">
        <v>1015</v>
      </c>
      <c r="E1078" s="6" t="s">
        <v>25</v>
      </c>
      <c r="F1078" s="11">
        <v>46165</v>
      </c>
      <c r="G1078" s="6" t="s">
        <v>1079</v>
      </c>
      <c r="H1078" s="7" t="s">
        <v>32</v>
      </c>
      <c r="I1078" s="7" t="s">
        <v>310</v>
      </c>
      <c r="J1078" s="7" t="s">
        <v>1016</v>
      </c>
      <c r="K1078" s="7" t="s">
        <v>29</v>
      </c>
      <c r="L1078" s="3" t="str">
        <f>E1078&amp;D1078</f>
        <v>E.SP.IPAEE_INS_CONF_S_I_IAS_0030</v>
      </c>
      <c r="M1078" s="3" t="str">
        <f>IFERROR(MID(D1078,SEARCH("S_I_",D1078,1),3),"")</f>
        <v>S_I</v>
      </c>
      <c r="N1078" s="3" t="str">
        <f>IFERROR(MID(D1078,SEARCH("C_I_",D1078,1),3),"")</f>
        <v/>
      </c>
      <c r="O1078" s="3" t="str">
        <f>IF(AND(M1078="",N1078=""),"Extra","")</f>
        <v/>
      </c>
      <c r="P1078" s="3" t="str">
        <f>IF(Q1078=0,"TERCEIRO","MRS")</f>
        <v>MRS</v>
      </c>
      <c r="Q1078" s="8" t="str">
        <f>IFERROR(VLOOKUP(L1078,#REF!,4,0),"0,00")</f>
        <v>0,00</v>
      </c>
      <c r="R1078" s="9" t="s">
        <v>57</v>
      </c>
      <c r="S1078" s="9">
        <f>COUNTIF(D1078,"*_SEG_*")</f>
        <v>0</v>
      </c>
      <c r="T1078" s="9">
        <f>COUNTIF(D1078,"*_MAN_*")</f>
        <v>0</v>
      </c>
      <c r="U1078" s="9">
        <f>(RIGHT(D1078,4))*1</f>
        <v>30</v>
      </c>
      <c r="V1078" s="9" t="str">
        <f>IFERROR(VLOOKUP(I1078,#REF!,2,0),"Sinalização")</f>
        <v>Sinalização</v>
      </c>
    </row>
    <row r="1079" spans="1:22" x14ac:dyDescent="0.25">
      <c r="A1079" s="3" t="s">
        <v>22</v>
      </c>
      <c r="B1079" s="4">
        <v>23510889</v>
      </c>
      <c r="C1079" s="5" t="s">
        <v>23</v>
      </c>
      <c r="D1079" s="6" t="s">
        <v>1015</v>
      </c>
      <c r="E1079" s="6" t="s">
        <v>25</v>
      </c>
      <c r="F1079" s="11">
        <v>46165</v>
      </c>
      <c r="G1079" s="6" t="s">
        <v>1079</v>
      </c>
      <c r="H1079" s="7" t="s">
        <v>26</v>
      </c>
      <c r="I1079" s="7" t="s">
        <v>1020</v>
      </c>
      <c r="J1079" s="7" t="s">
        <v>1016</v>
      </c>
      <c r="K1079" s="7" t="s">
        <v>29</v>
      </c>
      <c r="L1079" s="3" t="str">
        <f>E1079&amp;D1079</f>
        <v>E.SP.IPAEE_INS_CONF_S_I_IAS_0030</v>
      </c>
      <c r="M1079" s="3" t="str">
        <f>IFERROR(MID(D1079,SEARCH("S_I_",D1079,1),3),"")</f>
        <v>S_I</v>
      </c>
      <c r="N1079" s="3" t="str">
        <f>IFERROR(MID(D1079,SEARCH("C_I_",D1079,1),3),"")</f>
        <v/>
      </c>
      <c r="O1079" s="3" t="str">
        <f>IF(AND(M1079="",N1079=""),"Extra","")</f>
        <v/>
      </c>
      <c r="P1079" s="3" t="str">
        <f>IF(Q1079=0,"TERCEIRO","MRS")</f>
        <v>MRS</v>
      </c>
      <c r="Q1079" s="8" t="str">
        <f>IFERROR(VLOOKUP(L1079,#REF!,4,0),"0,00")</f>
        <v>0,00</v>
      </c>
      <c r="R1079" s="9" t="s">
        <v>57</v>
      </c>
      <c r="S1079" s="9">
        <f>COUNTIF(D1079,"*_SEG_*")</f>
        <v>0</v>
      </c>
      <c r="T1079" s="9">
        <f>COUNTIF(D1079,"*_MAN_*")</f>
        <v>0</v>
      </c>
      <c r="U1079" s="9">
        <f>(RIGHT(D1079,4))*1</f>
        <v>30</v>
      </c>
      <c r="V1079" s="9" t="str">
        <f>IFERROR(VLOOKUP(I1079,#REF!,2,0),"Sinalização")</f>
        <v>Sinalização</v>
      </c>
    </row>
    <row r="1080" spans="1:22" x14ac:dyDescent="0.25">
      <c r="A1080" s="3" t="s">
        <v>22</v>
      </c>
      <c r="B1080" s="4">
        <v>23510890</v>
      </c>
      <c r="C1080" s="5" t="s">
        <v>23</v>
      </c>
      <c r="D1080" s="6" t="s">
        <v>1015</v>
      </c>
      <c r="E1080" s="6" t="s">
        <v>25</v>
      </c>
      <c r="F1080" s="11">
        <v>46165</v>
      </c>
      <c r="G1080" s="6" t="s">
        <v>1079</v>
      </c>
      <c r="H1080" s="7" t="s">
        <v>26</v>
      </c>
      <c r="I1080" s="7" t="s">
        <v>1021</v>
      </c>
      <c r="J1080" s="7" t="s">
        <v>1016</v>
      </c>
      <c r="K1080" s="7" t="s">
        <v>29</v>
      </c>
      <c r="L1080" s="3" t="str">
        <f>E1080&amp;D1080</f>
        <v>E.SP.IPAEE_INS_CONF_S_I_IAS_0030</v>
      </c>
      <c r="M1080" s="3" t="str">
        <f>IFERROR(MID(D1080,SEARCH("S_I_",D1080,1),3),"")</f>
        <v>S_I</v>
      </c>
      <c r="N1080" s="3" t="str">
        <f>IFERROR(MID(D1080,SEARCH("C_I_",D1080,1),3),"")</f>
        <v/>
      </c>
      <c r="O1080" s="3" t="str">
        <f>IF(AND(M1080="",N1080=""),"Extra","")</f>
        <v/>
      </c>
      <c r="P1080" s="3" t="str">
        <f>IF(Q1080=0,"TERCEIRO","MRS")</f>
        <v>MRS</v>
      </c>
      <c r="Q1080" s="8" t="str">
        <f>IFERROR(VLOOKUP(L1080,#REF!,4,0),"0,00")</f>
        <v>0,00</v>
      </c>
      <c r="R1080" s="9" t="s">
        <v>57</v>
      </c>
      <c r="S1080" s="9">
        <f>COUNTIF(D1080,"*_SEG_*")</f>
        <v>0</v>
      </c>
      <c r="T1080" s="9">
        <f>COUNTIF(D1080,"*_MAN_*")</f>
        <v>0</v>
      </c>
      <c r="U1080" s="9">
        <f>(RIGHT(D1080,4))*1</f>
        <v>30</v>
      </c>
      <c r="V1080" s="9" t="str">
        <f>IFERROR(VLOOKUP(I1080,#REF!,2,0),"Sinalização")</f>
        <v>Sinalização</v>
      </c>
    </row>
    <row r="1081" spans="1:22" x14ac:dyDescent="0.25">
      <c r="A1081" s="3" t="s">
        <v>22</v>
      </c>
      <c r="B1081" s="4">
        <v>23510891</v>
      </c>
      <c r="C1081" s="5" t="s">
        <v>23</v>
      </c>
      <c r="D1081" s="6" t="s">
        <v>1015</v>
      </c>
      <c r="E1081" s="6" t="s">
        <v>25</v>
      </c>
      <c r="F1081" s="11">
        <v>46165</v>
      </c>
      <c r="G1081" s="6" t="s">
        <v>1079</v>
      </c>
      <c r="H1081" s="7" t="s">
        <v>32</v>
      </c>
      <c r="I1081" s="7" t="s">
        <v>1022</v>
      </c>
      <c r="J1081" s="7" t="s">
        <v>1016</v>
      </c>
      <c r="K1081" s="7" t="s">
        <v>29</v>
      </c>
      <c r="L1081" s="3" t="str">
        <f>E1081&amp;D1081</f>
        <v>E.SP.IPAEE_INS_CONF_S_I_IAS_0030</v>
      </c>
      <c r="M1081" s="3" t="str">
        <f>IFERROR(MID(D1081,SEARCH("S_I_",D1081,1),3),"")</f>
        <v>S_I</v>
      </c>
      <c r="N1081" s="3" t="str">
        <f>IFERROR(MID(D1081,SEARCH("C_I_",D1081,1),3),"")</f>
        <v/>
      </c>
      <c r="O1081" s="3" t="str">
        <f>IF(AND(M1081="",N1081=""),"Extra","")</f>
        <v/>
      </c>
      <c r="P1081" s="3" t="str">
        <f>IF(Q1081=0,"TERCEIRO","MRS")</f>
        <v>MRS</v>
      </c>
      <c r="Q1081" s="8" t="str">
        <f>IFERROR(VLOOKUP(L1081,#REF!,4,0),"0,00")</f>
        <v>0,00</v>
      </c>
      <c r="R1081" s="9" t="s">
        <v>57</v>
      </c>
      <c r="S1081" s="9">
        <f>COUNTIF(D1081,"*_SEG_*")</f>
        <v>0</v>
      </c>
      <c r="T1081" s="9">
        <f>COUNTIF(D1081,"*_MAN_*")</f>
        <v>0</v>
      </c>
      <c r="U1081" s="9">
        <f>(RIGHT(D1081,4))*1</f>
        <v>30</v>
      </c>
      <c r="V1081" s="9" t="str">
        <f>IFERROR(VLOOKUP(I1081,#REF!,2,0),"Sinalização")</f>
        <v>Sinalização</v>
      </c>
    </row>
    <row r="1082" spans="1:22" x14ac:dyDescent="0.25">
      <c r="A1082" s="3" t="s">
        <v>22</v>
      </c>
      <c r="B1082" s="4">
        <v>23510892</v>
      </c>
      <c r="C1082" s="5" t="s">
        <v>23</v>
      </c>
      <c r="D1082" s="6" t="s">
        <v>1015</v>
      </c>
      <c r="E1082" s="6" t="s">
        <v>25</v>
      </c>
      <c r="F1082" s="11">
        <v>46165</v>
      </c>
      <c r="G1082" s="6" t="s">
        <v>1079</v>
      </c>
      <c r="H1082" s="7" t="s">
        <v>32</v>
      </c>
      <c r="I1082" s="7" t="s">
        <v>412</v>
      </c>
      <c r="J1082" s="7" t="s">
        <v>1016</v>
      </c>
      <c r="K1082" s="7" t="s">
        <v>29</v>
      </c>
      <c r="L1082" s="3" t="str">
        <f>E1082&amp;D1082</f>
        <v>E.SP.IPAEE_INS_CONF_S_I_IAS_0030</v>
      </c>
      <c r="M1082" s="3" t="str">
        <f>IFERROR(MID(D1082,SEARCH("S_I_",D1082,1),3),"")</f>
        <v>S_I</v>
      </c>
      <c r="N1082" s="3" t="str">
        <f>IFERROR(MID(D1082,SEARCH("C_I_",D1082,1),3),"")</f>
        <v/>
      </c>
      <c r="O1082" s="3" t="str">
        <f>IF(AND(M1082="",N1082=""),"Extra","")</f>
        <v/>
      </c>
      <c r="P1082" s="3" t="str">
        <f>IF(Q1082=0,"TERCEIRO","MRS")</f>
        <v>MRS</v>
      </c>
      <c r="Q1082" s="8" t="str">
        <f>IFERROR(VLOOKUP(L1082,#REF!,4,0),"0,00")</f>
        <v>0,00</v>
      </c>
      <c r="R1082" s="9" t="s">
        <v>57</v>
      </c>
      <c r="S1082" s="9">
        <f>COUNTIF(D1082,"*_SEG_*")</f>
        <v>0</v>
      </c>
      <c r="T1082" s="9">
        <f>COUNTIF(D1082,"*_MAN_*")</f>
        <v>0</v>
      </c>
      <c r="U1082" s="9">
        <f>(RIGHT(D1082,4))*1</f>
        <v>30</v>
      </c>
      <c r="V1082" s="9" t="str">
        <f>IFERROR(VLOOKUP(I1082,#REF!,2,0),"Sinalização")</f>
        <v>Sinalização</v>
      </c>
    </row>
    <row r="1083" spans="1:22" x14ac:dyDescent="0.25">
      <c r="A1083" s="3" t="s">
        <v>22</v>
      </c>
      <c r="B1083" s="4">
        <v>23510893</v>
      </c>
      <c r="C1083" s="5" t="s">
        <v>23</v>
      </c>
      <c r="D1083" s="6" t="s">
        <v>1015</v>
      </c>
      <c r="E1083" s="6" t="s">
        <v>25</v>
      </c>
      <c r="F1083" s="11">
        <v>46165</v>
      </c>
      <c r="G1083" s="6" t="s">
        <v>1079</v>
      </c>
      <c r="H1083" s="7" t="s">
        <v>26</v>
      </c>
      <c r="I1083" s="7" t="s">
        <v>413</v>
      </c>
      <c r="J1083" s="7" t="s">
        <v>1016</v>
      </c>
      <c r="K1083" s="7" t="s">
        <v>29</v>
      </c>
      <c r="L1083" s="3" t="str">
        <f>E1083&amp;D1083</f>
        <v>E.SP.IPAEE_INS_CONF_S_I_IAS_0030</v>
      </c>
      <c r="M1083" s="3" t="str">
        <f>IFERROR(MID(D1083,SEARCH("S_I_",D1083,1),3),"")</f>
        <v>S_I</v>
      </c>
      <c r="N1083" s="3" t="str">
        <f>IFERROR(MID(D1083,SEARCH("C_I_",D1083,1),3),"")</f>
        <v/>
      </c>
      <c r="O1083" s="3" t="str">
        <f>IF(AND(M1083="",N1083=""),"Extra","")</f>
        <v/>
      </c>
      <c r="P1083" s="3" t="str">
        <f>IF(Q1083=0,"TERCEIRO","MRS")</f>
        <v>MRS</v>
      </c>
      <c r="Q1083" s="8" t="str">
        <f>IFERROR(VLOOKUP(L1083,#REF!,4,0),"0,00")</f>
        <v>0,00</v>
      </c>
      <c r="R1083" s="9" t="s">
        <v>57</v>
      </c>
      <c r="S1083" s="9">
        <f>COUNTIF(D1083,"*_SEG_*")</f>
        <v>0</v>
      </c>
      <c r="T1083" s="9">
        <f>COUNTIF(D1083,"*_MAN_*")</f>
        <v>0</v>
      </c>
      <c r="U1083" s="9">
        <f>(RIGHT(D1083,4))*1</f>
        <v>30</v>
      </c>
      <c r="V1083" s="9" t="str">
        <f>IFERROR(VLOOKUP(I1083,#REF!,2,0),"Sinalização")</f>
        <v>Sinalização</v>
      </c>
    </row>
    <row r="1084" spans="1:22" x14ac:dyDescent="0.25">
      <c r="A1084" s="3" t="s">
        <v>22</v>
      </c>
      <c r="B1084" s="4">
        <v>23510894</v>
      </c>
      <c r="C1084" s="5" t="s">
        <v>23</v>
      </c>
      <c r="D1084" s="6" t="s">
        <v>1015</v>
      </c>
      <c r="E1084" s="6" t="s">
        <v>25</v>
      </c>
      <c r="F1084" s="11">
        <v>46165</v>
      </c>
      <c r="G1084" s="6" t="s">
        <v>1079</v>
      </c>
      <c r="H1084" s="7" t="s">
        <v>26</v>
      </c>
      <c r="I1084" s="7" t="s">
        <v>1023</v>
      </c>
      <c r="J1084" s="7" t="s">
        <v>1016</v>
      </c>
      <c r="K1084" s="7" t="s">
        <v>29</v>
      </c>
      <c r="L1084" s="3" t="str">
        <f>E1084&amp;D1084</f>
        <v>E.SP.IPAEE_INS_CONF_S_I_IAS_0030</v>
      </c>
      <c r="M1084" s="3" t="str">
        <f>IFERROR(MID(D1084,SEARCH("S_I_",D1084,1),3),"")</f>
        <v>S_I</v>
      </c>
      <c r="N1084" s="3" t="str">
        <f>IFERROR(MID(D1084,SEARCH("C_I_",D1084,1),3),"")</f>
        <v/>
      </c>
      <c r="O1084" s="3" t="str">
        <f>IF(AND(M1084="",N1084=""),"Extra","")</f>
        <v/>
      </c>
      <c r="P1084" s="3" t="str">
        <f>IF(Q1084=0,"TERCEIRO","MRS")</f>
        <v>MRS</v>
      </c>
      <c r="Q1084" s="8" t="str">
        <f>IFERROR(VLOOKUP(L1084,#REF!,4,0),"0,00")</f>
        <v>0,00</v>
      </c>
      <c r="R1084" s="9" t="s">
        <v>57</v>
      </c>
      <c r="S1084" s="9">
        <f>COUNTIF(D1084,"*_SEG_*")</f>
        <v>0</v>
      </c>
      <c r="T1084" s="9">
        <f>COUNTIF(D1084,"*_MAN_*")</f>
        <v>0</v>
      </c>
      <c r="U1084" s="9">
        <f>(RIGHT(D1084,4))*1</f>
        <v>30</v>
      </c>
      <c r="V1084" s="9" t="str">
        <f>IFERROR(VLOOKUP(I1084,#REF!,2,0),"Sinalização")</f>
        <v>Sinalização</v>
      </c>
    </row>
    <row r="1085" spans="1:22" x14ac:dyDescent="0.25">
      <c r="A1085" s="3" t="s">
        <v>22</v>
      </c>
      <c r="B1085" s="4">
        <v>23510895</v>
      </c>
      <c r="C1085" s="5" t="s">
        <v>23</v>
      </c>
      <c r="D1085" s="6" t="s">
        <v>1015</v>
      </c>
      <c r="E1085" s="6" t="s">
        <v>25</v>
      </c>
      <c r="F1085" s="11">
        <v>46165</v>
      </c>
      <c r="G1085" s="6" t="s">
        <v>1079</v>
      </c>
      <c r="H1085" s="7" t="s">
        <v>26</v>
      </c>
      <c r="I1085" s="7" t="s">
        <v>416</v>
      </c>
      <c r="J1085" s="7" t="s">
        <v>1016</v>
      </c>
      <c r="K1085" s="7" t="s">
        <v>29</v>
      </c>
      <c r="L1085" s="3" t="str">
        <f>E1085&amp;D1085</f>
        <v>E.SP.IPAEE_INS_CONF_S_I_IAS_0030</v>
      </c>
      <c r="M1085" s="3" t="str">
        <f>IFERROR(MID(D1085,SEARCH("S_I_",D1085,1),3),"")</f>
        <v>S_I</v>
      </c>
      <c r="N1085" s="3" t="str">
        <f>IFERROR(MID(D1085,SEARCH("C_I_",D1085,1),3),"")</f>
        <v/>
      </c>
      <c r="O1085" s="3" t="str">
        <f>IF(AND(M1085="",N1085=""),"Extra","")</f>
        <v/>
      </c>
      <c r="P1085" s="3" t="str">
        <f>IF(Q1085=0,"TERCEIRO","MRS")</f>
        <v>MRS</v>
      </c>
      <c r="Q1085" s="8" t="str">
        <f>IFERROR(VLOOKUP(L1085,#REF!,4,0),"0,00")</f>
        <v>0,00</v>
      </c>
      <c r="R1085" s="9" t="s">
        <v>57</v>
      </c>
      <c r="S1085" s="9">
        <f>COUNTIF(D1085,"*_SEG_*")</f>
        <v>0</v>
      </c>
      <c r="T1085" s="9">
        <f>COUNTIF(D1085,"*_MAN_*")</f>
        <v>0</v>
      </c>
      <c r="U1085" s="9">
        <f>(RIGHT(D1085,4))*1</f>
        <v>30</v>
      </c>
      <c r="V1085" s="9" t="str">
        <f>IFERROR(VLOOKUP(I1085,#REF!,2,0),"Sinalização")</f>
        <v>Sinalização</v>
      </c>
    </row>
    <row r="1086" spans="1:22" x14ac:dyDescent="0.25">
      <c r="A1086" s="3" t="s">
        <v>22</v>
      </c>
      <c r="B1086" s="4">
        <v>23510896</v>
      </c>
      <c r="C1086" s="5" t="s">
        <v>23</v>
      </c>
      <c r="D1086" s="6" t="s">
        <v>1015</v>
      </c>
      <c r="E1086" s="6" t="s">
        <v>25</v>
      </c>
      <c r="F1086" s="11">
        <v>46165</v>
      </c>
      <c r="G1086" s="6" t="s">
        <v>1079</v>
      </c>
      <c r="H1086" s="7" t="s">
        <v>26</v>
      </c>
      <c r="I1086" s="7" t="s">
        <v>1024</v>
      </c>
      <c r="J1086" s="7" t="s">
        <v>1016</v>
      </c>
      <c r="K1086" s="7" t="s">
        <v>29</v>
      </c>
      <c r="L1086" s="3" t="str">
        <f>E1086&amp;D1086</f>
        <v>E.SP.IPAEE_INS_CONF_S_I_IAS_0030</v>
      </c>
      <c r="M1086" s="3" t="str">
        <f>IFERROR(MID(D1086,SEARCH("S_I_",D1086,1),3),"")</f>
        <v>S_I</v>
      </c>
      <c r="N1086" s="3" t="str">
        <f>IFERROR(MID(D1086,SEARCH("C_I_",D1086,1),3),"")</f>
        <v/>
      </c>
      <c r="O1086" s="3" t="str">
        <f>IF(AND(M1086="",N1086=""),"Extra","")</f>
        <v/>
      </c>
      <c r="P1086" s="3" t="str">
        <f>IF(Q1086=0,"TERCEIRO","MRS")</f>
        <v>MRS</v>
      </c>
      <c r="Q1086" s="8" t="str">
        <f>IFERROR(VLOOKUP(L1086,#REF!,4,0),"0,00")</f>
        <v>0,00</v>
      </c>
      <c r="R1086" s="9" t="s">
        <v>57</v>
      </c>
      <c r="S1086" s="9">
        <f>COUNTIF(D1086,"*_SEG_*")</f>
        <v>0</v>
      </c>
      <c r="T1086" s="9">
        <f>COUNTIF(D1086,"*_MAN_*")</f>
        <v>0</v>
      </c>
      <c r="U1086" s="9">
        <f>(RIGHT(D1086,4))*1</f>
        <v>30</v>
      </c>
      <c r="V1086" s="9" t="str">
        <f>IFERROR(VLOOKUP(I1086,#REF!,2,0),"Sinalização")</f>
        <v>Sinalização</v>
      </c>
    </row>
    <row r="1087" spans="1:22" x14ac:dyDescent="0.25">
      <c r="A1087" s="3" t="s">
        <v>22</v>
      </c>
      <c r="B1087" s="4">
        <v>23510897</v>
      </c>
      <c r="C1087" s="5" t="s">
        <v>23</v>
      </c>
      <c r="D1087" s="6" t="s">
        <v>1015</v>
      </c>
      <c r="E1087" s="6" t="s">
        <v>25</v>
      </c>
      <c r="F1087" s="11">
        <v>46165</v>
      </c>
      <c r="G1087" s="6" t="s">
        <v>1079</v>
      </c>
      <c r="H1087" s="7" t="s">
        <v>26</v>
      </c>
      <c r="I1087" s="7" t="s">
        <v>1025</v>
      </c>
      <c r="J1087" s="7" t="s">
        <v>1016</v>
      </c>
      <c r="K1087" s="7" t="s">
        <v>29</v>
      </c>
      <c r="L1087" s="3" t="str">
        <f>E1087&amp;D1087</f>
        <v>E.SP.IPAEE_INS_CONF_S_I_IAS_0030</v>
      </c>
      <c r="M1087" s="3" t="str">
        <f>IFERROR(MID(D1087,SEARCH("S_I_",D1087,1),3),"")</f>
        <v>S_I</v>
      </c>
      <c r="N1087" s="3" t="str">
        <f>IFERROR(MID(D1087,SEARCH("C_I_",D1087,1),3),"")</f>
        <v/>
      </c>
      <c r="O1087" s="3" t="str">
        <f>IF(AND(M1087="",N1087=""),"Extra","")</f>
        <v/>
      </c>
      <c r="P1087" s="3" t="str">
        <f>IF(Q1087=0,"TERCEIRO","MRS")</f>
        <v>MRS</v>
      </c>
      <c r="Q1087" s="8" t="str">
        <f>IFERROR(VLOOKUP(L1087,#REF!,4,0),"0,00")</f>
        <v>0,00</v>
      </c>
      <c r="R1087" s="9" t="s">
        <v>57</v>
      </c>
      <c r="S1087" s="9">
        <f>COUNTIF(D1087,"*_SEG_*")</f>
        <v>0</v>
      </c>
      <c r="T1087" s="9">
        <f>COUNTIF(D1087,"*_MAN_*")</f>
        <v>0</v>
      </c>
      <c r="U1087" s="9">
        <f>(RIGHT(D1087,4))*1</f>
        <v>30</v>
      </c>
      <c r="V1087" s="9" t="str">
        <f>IFERROR(VLOOKUP(I1087,#REF!,2,0),"Sinalização")</f>
        <v>Sinalização</v>
      </c>
    </row>
    <row r="1088" spans="1:22" x14ac:dyDescent="0.25">
      <c r="A1088" s="3" t="s">
        <v>22</v>
      </c>
      <c r="B1088" s="4">
        <v>23510898</v>
      </c>
      <c r="C1088" s="5" t="s">
        <v>23</v>
      </c>
      <c r="D1088" s="6" t="s">
        <v>1015</v>
      </c>
      <c r="E1088" s="6" t="s">
        <v>25</v>
      </c>
      <c r="F1088" s="11">
        <v>46165</v>
      </c>
      <c r="G1088" s="6" t="s">
        <v>1079</v>
      </c>
      <c r="H1088" s="7" t="s">
        <v>26</v>
      </c>
      <c r="I1088" s="7" t="s">
        <v>316</v>
      </c>
      <c r="J1088" s="7" t="s">
        <v>1016</v>
      </c>
      <c r="K1088" s="7" t="s">
        <v>29</v>
      </c>
      <c r="L1088" s="3" t="str">
        <f>E1088&amp;D1088</f>
        <v>E.SP.IPAEE_INS_CONF_S_I_IAS_0030</v>
      </c>
      <c r="M1088" s="3" t="str">
        <f>IFERROR(MID(D1088,SEARCH("S_I_",D1088,1),3),"")</f>
        <v>S_I</v>
      </c>
      <c r="N1088" s="3" t="str">
        <f>IFERROR(MID(D1088,SEARCH("C_I_",D1088,1),3),"")</f>
        <v/>
      </c>
      <c r="O1088" s="3" t="str">
        <f>IF(AND(M1088="",N1088=""),"Extra","")</f>
        <v/>
      </c>
      <c r="P1088" s="3" t="str">
        <f>IF(Q1088=0,"TERCEIRO","MRS")</f>
        <v>MRS</v>
      </c>
      <c r="Q1088" s="8" t="str">
        <f>IFERROR(VLOOKUP(L1088,#REF!,4,0),"0,00")</f>
        <v>0,00</v>
      </c>
      <c r="R1088" s="9" t="s">
        <v>57</v>
      </c>
      <c r="S1088" s="9">
        <f>COUNTIF(D1088,"*_SEG_*")</f>
        <v>0</v>
      </c>
      <c r="T1088" s="9">
        <f>COUNTIF(D1088,"*_MAN_*")</f>
        <v>0</v>
      </c>
      <c r="U1088" s="9">
        <f>(RIGHT(D1088,4))*1</f>
        <v>30</v>
      </c>
      <c r="V1088" s="9" t="str">
        <f>IFERROR(VLOOKUP(I1088,#REF!,2,0),"Sinalização")</f>
        <v>Sinalização</v>
      </c>
    </row>
    <row r="1089" spans="1:22" x14ac:dyDescent="0.25">
      <c r="A1089" s="3" t="s">
        <v>22</v>
      </c>
      <c r="B1089" s="4">
        <v>23510899</v>
      </c>
      <c r="C1089" s="5" t="s">
        <v>23</v>
      </c>
      <c r="D1089" s="6" t="s">
        <v>1015</v>
      </c>
      <c r="E1089" s="6" t="s">
        <v>25</v>
      </c>
      <c r="F1089" s="11">
        <v>46165</v>
      </c>
      <c r="G1089" s="6" t="s">
        <v>1079</v>
      </c>
      <c r="H1089" s="7" t="s">
        <v>26</v>
      </c>
      <c r="I1089" s="7" t="s">
        <v>312</v>
      </c>
      <c r="J1089" s="7" t="s">
        <v>1016</v>
      </c>
      <c r="K1089" s="7" t="s">
        <v>29</v>
      </c>
      <c r="L1089" s="3" t="str">
        <f>E1089&amp;D1089</f>
        <v>E.SP.IPAEE_INS_CONF_S_I_IAS_0030</v>
      </c>
      <c r="M1089" s="3" t="str">
        <f>IFERROR(MID(D1089,SEARCH("S_I_",D1089,1),3),"")</f>
        <v>S_I</v>
      </c>
      <c r="N1089" s="3" t="str">
        <f>IFERROR(MID(D1089,SEARCH("C_I_",D1089,1),3),"")</f>
        <v/>
      </c>
      <c r="O1089" s="3" t="str">
        <f>IF(AND(M1089="",N1089=""),"Extra","")</f>
        <v/>
      </c>
      <c r="P1089" s="3" t="str">
        <f>IF(Q1089=0,"TERCEIRO","MRS")</f>
        <v>MRS</v>
      </c>
      <c r="Q1089" s="8" t="str">
        <f>IFERROR(VLOOKUP(L1089,#REF!,4,0),"0,00")</f>
        <v>0,00</v>
      </c>
      <c r="R1089" s="9" t="s">
        <v>57</v>
      </c>
      <c r="S1089" s="9">
        <f>COUNTIF(D1089,"*_SEG_*")</f>
        <v>0</v>
      </c>
      <c r="T1089" s="9">
        <f>COUNTIF(D1089,"*_MAN_*")</f>
        <v>0</v>
      </c>
      <c r="U1089" s="9">
        <f>(RIGHT(D1089,4))*1</f>
        <v>30</v>
      </c>
      <c r="V1089" s="9" t="str">
        <f>IFERROR(VLOOKUP(I1089,#REF!,2,0),"Sinalização")</f>
        <v>Sinalização</v>
      </c>
    </row>
    <row r="1090" spans="1:22" x14ac:dyDescent="0.25">
      <c r="A1090" s="3" t="s">
        <v>22</v>
      </c>
      <c r="B1090" s="4">
        <v>23510901</v>
      </c>
      <c r="C1090" s="5" t="s">
        <v>23</v>
      </c>
      <c r="D1090" s="6" t="s">
        <v>1015</v>
      </c>
      <c r="E1090" s="6" t="s">
        <v>25</v>
      </c>
      <c r="F1090" s="11">
        <v>46165</v>
      </c>
      <c r="G1090" s="6" t="s">
        <v>1079</v>
      </c>
      <c r="H1090" s="7" t="s">
        <v>26</v>
      </c>
      <c r="I1090" s="7" t="s">
        <v>313</v>
      </c>
      <c r="J1090" s="7" t="s">
        <v>1016</v>
      </c>
      <c r="K1090" s="7" t="s">
        <v>29</v>
      </c>
      <c r="L1090" s="3" t="str">
        <f>E1090&amp;D1090</f>
        <v>E.SP.IPAEE_INS_CONF_S_I_IAS_0030</v>
      </c>
      <c r="M1090" s="3" t="str">
        <f>IFERROR(MID(D1090,SEARCH("S_I_",D1090,1),3),"")</f>
        <v>S_I</v>
      </c>
      <c r="N1090" s="3" t="str">
        <f>IFERROR(MID(D1090,SEARCH("C_I_",D1090,1),3),"")</f>
        <v/>
      </c>
      <c r="O1090" s="3" t="str">
        <f>IF(AND(M1090="",N1090=""),"Extra","")</f>
        <v/>
      </c>
      <c r="P1090" s="3" t="str">
        <f>IF(Q1090=0,"TERCEIRO","MRS")</f>
        <v>MRS</v>
      </c>
      <c r="Q1090" s="8" t="str">
        <f>IFERROR(VLOOKUP(L1090,#REF!,4,0),"0,00")</f>
        <v>0,00</v>
      </c>
      <c r="R1090" s="9" t="s">
        <v>57</v>
      </c>
      <c r="S1090" s="9">
        <f>COUNTIF(D1090,"*_SEG_*")</f>
        <v>0</v>
      </c>
      <c r="T1090" s="9">
        <f>COUNTIF(D1090,"*_MAN_*")</f>
        <v>0</v>
      </c>
      <c r="U1090" s="9">
        <f>(RIGHT(D1090,4))*1</f>
        <v>30</v>
      </c>
      <c r="V1090" s="9" t="str">
        <f>IFERROR(VLOOKUP(I1090,#REF!,2,0),"Sinalização")</f>
        <v>Sinalização</v>
      </c>
    </row>
    <row r="1091" spans="1:22" x14ac:dyDescent="0.25">
      <c r="A1091" s="3" t="s">
        <v>22</v>
      </c>
      <c r="B1091" s="4">
        <v>23510904</v>
      </c>
      <c r="C1091" s="5" t="s">
        <v>23</v>
      </c>
      <c r="D1091" s="6" t="s">
        <v>1015</v>
      </c>
      <c r="E1091" s="6" t="s">
        <v>25</v>
      </c>
      <c r="F1091" s="11">
        <v>46165</v>
      </c>
      <c r="G1091" s="6" t="s">
        <v>1079</v>
      </c>
      <c r="H1091" s="7" t="s">
        <v>26</v>
      </c>
      <c r="I1091" s="7" t="s">
        <v>319</v>
      </c>
      <c r="J1091" s="7" t="s">
        <v>1016</v>
      </c>
      <c r="K1091" s="7" t="s">
        <v>29</v>
      </c>
      <c r="L1091" s="3" t="str">
        <f>E1091&amp;D1091</f>
        <v>E.SP.IPAEE_INS_CONF_S_I_IAS_0030</v>
      </c>
      <c r="M1091" s="3" t="str">
        <f>IFERROR(MID(D1091,SEARCH("S_I_",D1091,1),3),"")</f>
        <v>S_I</v>
      </c>
      <c r="N1091" s="3" t="str">
        <f>IFERROR(MID(D1091,SEARCH("C_I_",D1091,1),3),"")</f>
        <v/>
      </c>
      <c r="O1091" s="3" t="str">
        <f>IF(AND(M1091="",N1091=""),"Extra","")</f>
        <v/>
      </c>
      <c r="P1091" s="3" t="str">
        <f>IF(Q1091=0,"TERCEIRO","MRS")</f>
        <v>MRS</v>
      </c>
      <c r="Q1091" s="8" t="str">
        <f>IFERROR(VLOOKUP(L1091,#REF!,4,0),"0,00")</f>
        <v>0,00</v>
      </c>
      <c r="R1091" s="9" t="s">
        <v>57</v>
      </c>
      <c r="S1091" s="9">
        <f>COUNTIF(D1091,"*_SEG_*")</f>
        <v>0</v>
      </c>
      <c r="T1091" s="9">
        <f>COUNTIF(D1091,"*_MAN_*")</f>
        <v>0</v>
      </c>
      <c r="U1091" s="9">
        <f>(RIGHT(D1091,4))*1</f>
        <v>30</v>
      </c>
      <c r="V1091" s="9" t="str">
        <f>IFERROR(VLOOKUP(I1091,#REF!,2,0),"Sinalização")</f>
        <v>Sinalização</v>
      </c>
    </row>
    <row r="1092" spans="1:22" x14ac:dyDescent="0.25">
      <c r="A1092" s="3" t="s">
        <v>22</v>
      </c>
      <c r="B1092" s="4">
        <v>23510905</v>
      </c>
      <c r="C1092" s="5" t="s">
        <v>23</v>
      </c>
      <c r="D1092" s="6" t="s">
        <v>1015</v>
      </c>
      <c r="E1092" s="6" t="s">
        <v>25</v>
      </c>
      <c r="F1092" s="11">
        <v>46165</v>
      </c>
      <c r="G1092" s="6" t="s">
        <v>1079</v>
      </c>
      <c r="H1092" s="7" t="s">
        <v>26</v>
      </c>
      <c r="I1092" s="7" t="s">
        <v>314</v>
      </c>
      <c r="J1092" s="7" t="s">
        <v>1016</v>
      </c>
      <c r="K1092" s="7" t="s">
        <v>29</v>
      </c>
      <c r="L1092" s="3" t="str">
        <f>E1092&amp;D1092</f>
        <v>E.SP.IPAEE_INS_CONF_S_I_IAS_0030</v>
      </c>
      <c r="M1092" s="3" t="str">
        <f>IFERROR(MID(D1092,SEARCH("S_I_",D1092,1),3),"")</f>
        <v>S_I</v>
      </c>
      <c r="N1092" s="3" t="str">
        <f>IFERROR(MID(D1092,SEARCH("C_I_",D1092,1),3),"")</f>
        <v/>
      </c>
      <c r="O1092" s="3" t="str">
        <f>IF(AND(M1092="",N1092=""),"Extra","")</f>
        <v/>
      </c>
      <c r="P1092" s="3" t="str">
        <f>IF(Q1092=0,"TERCEIRO","MRS")</f>
        <v>MRS</v>
      </c>
      <c r="Q1092" s="8" t="str">
        <f>IFERROR(VLOOKUP(L1092,#REF!,4,0),"0,00")</f>
        <v>0,00</v>
      </c>
      <c r="R1092" s="9" t="s">
        <v>57</v>
      </c>
      <c r="S1092" s="9">
        <f>COUNTIF(D1092,"*_SEG_*")</f>
        <v>0</v>
      </c>
      <c r="T1092" s="9">
        <f>COUNTIF(D1092,"*_MAN_*")</f>
        <v>0</v>
      </c>
      <c r="U1092" s="9">
        <f>(RIGHT(D1092,4))*1</f>
        <v>30</v>
      </c>
      <c r="V1092" s="9" t="str">
        <f>IFERROR(VLOOKUP(I1092,#REF!,2,0),"Sinalização")</f>
        <v>Sinalização</v>
      </c>
    </row>
    <row r="1093" spans="1:22" x14ac:dyDescent="0.25">
      <c r="A1093" s="3" t="s">
        <v>22</v>
      </c>
      <c r="B1093" s="4">
        <v>23510906</v>
      </c>
      <c r="C1093" s="5" t="s">
        <v>23</v>
      </c>
      <c r="D1093" s="6" t="s">
        <v>1015</v>
      </c>
      <c r="E1093" s="6" t="s">
        <v>25</v>
      </c>
      <c r="F1093" s="11">
        <v>46165</v>
      </c>
      <c r="G1093" s="6" t="s">
        <v>1079</v>
      </c>
      <c r="H1093" s="7" t="s">
        <v>26</v>
      </c>
      <c r="I1093" s="7" t="s">
        <v>315</v>
      </c>
      <c r="J1093" s="7" t="s">
        <v>1016</v>
      </c>
      <c r="K1093" s="7" t="s">
        <v>29</v>
      </c>
      <c r="L1093" s="3" t="str">
        <f>E1093&amp;D1093</f>
        <v>E.SP.IPAEE_INS_CONF_S_I_IAS_0030</v>
      </c>
      <c r="M1093" s="3" t="str">
        <f>IFERROR(MID(D1093,SEARCH("S_I_",D1093,1),3),"")</f>
        <v>S_I</v>
      </c>
      <c r="N1093" s="3" t="str">
        <f>IFERROR(MID(D1093,SEARCH("C_I_",D1093,1),3),"")</f>
        <v/>
      </c>
      <c r="O1093" s="3" t="str">
        <f>IF(AND(M1093="",N1093=""),"Extra","")</f>
        <v/>
      </c>
      <c r="P1093" s="3" t="str">
        <f>IF(Q1093=0,"TERCEIRO","MRS")</f>
        <v>MRS</v>
      </c>
      <c r="Q1093" s="8" t="str">
        <f>IFERROR(VLOOKUP(L1093,#REF!,4,0),"0,00")</f>
        <v>0,00</v>
      </c>
      <c r="R1093" s="9" t="s">
        <v>57</v>
      </c>
      <c r="S1093" s="9">
        <f>COUNTIF(D1093,"*_SEG_*")</f>
        <v>0</v>
      </c>
      <c r="T1093" s="9">
        <f>COUNTIF(D1093,"*_MAN_*")</f>
        <v>0</v>
      </c>
      <c r="U1093" s="9">
        <f>(RIGHT(D1093,4))*1</f>
        <v>30</v>
      </c>
      <c r="V1093" s="9" t="str">
        <f>IFERROR(VLOOKUP(I1093,#REF!,2,0),"Sinalização")</f>
        <v>Sinalização</v>
      </c>
    </row>
    <row r="1094" spans="1:22" x14ac:dyDescent="0.25">
      <c r="A1094" s="3" t="s">
        <v>22</v>
      </c>
      <c r="B1094" s="4">
        <v>23510907</v>
      </c>
      <c r="C1094" s="5" t="s">
        <v>23</v>
      </c>
      <c r="D1094" s="6" t="s">
        <v>1015</v>
      </c>
      <c r="E1094" s="6" t="s">
        <v>25</v>
      </c>
      <c r="F1094" s="11">
        <v>46165</v>
      </c>
      <c r="G1094" s="6" t="s">
        <v>1079</v>
      </c>
      <c r="H1094" s="7" t="s">
        <v>26</v>
      </c>
      <c r="I1094" s="7" t="s">
        <v>311</v>
      </c>
      <c r="J1094" s="7" t="s">
        <v>1016</v>
      </c>
      <c r="K1094" s="7" t="s">
        <v>29</v>
      </c>
      <c r="L1094" s="3" t="str">
        <f>E1094&amp;D1094</f>
        <v>E.SP.IPAEE_INS_CONF_S_I_IAS_0030</v>
      </c>
      <c r="M1094" s="3" t="str">
        <f>IFERROR(MID(D1094,SEARCH("S_I_",D1094,1),3),"")</f>
        <v>S_I</v>
      </c>
      <c r="N1094" s="3" t="str">
        <f>IFERROR(MID(D1094,SEARCH("C_I_",D1094,1),3),"")</f>
        <v/>
      </c>
      <c r="O1094" s="3" t="str">
        <f>IF(AND(M1094="",N1094=""),"Extra","")</f>
        <v/>
      </c>
      <c r="P1094" s="3" t="str">
        <f>IF(Q1094=0,"TERCEIRO","MRS")</f>
        <v>MRS</v>
      </c>
      <c r="Q1094" s="8" t="str">
        <f>IFERROR(VLOOKUP(L1094,#REF!,4,0),"0,00")</f>
        <v>0,00</v>
      </c>
      <c r="R1094" s="9" t="s">
        <v>57</v>
      </c>
      <c r="S1094" s="9">
        <f>COUNTIF(D1094,"*_SEG_*")</f>
        <v>0</v>
      </c>
      <c r="T1094" s="9">
        <f>COUNTIF(D1094,"*_MAN_*")</f>
        <v>0</v>
      </c>
      <c r="U1094" s="9">
        <f>(RIGHT(D1094,4))*1</f>
        <v>30</v>
      </c>
      <c r="V1094" s="9" t="str">
        <f>IFERROR(VLOOKUP(I1094,#REF!,2,0),"Sinalização")</f>
        <v>Sinalização</v>
      </c>
    </row>
    <row r="1095" spans="1:22" x14ac:dyDescent="0.25">
      <c r="A1095" s="3" t="s">
        <v>22</v>
      </c>
      <c r="B1095" s="4">
        <v>23510908</v>
      </c>
      <c r="C1095" s="5" t="s">
        <v>23</v>
      </c>
      <c r="D1095" s="6" t="s">
        <v>1015</v>
      </c>
      <c r="E1095" s="6" t="s">
        <v>25</v>
      </c>
      <c r="F1095" s="11">
        <v>46165</v>
      </c>
      <c r="G1095" s="6" t="s">
        <v>1079</v>
      </c>
      <c r="H1095" s="7" t="s">
        <v>26</v>
      </c>
      <c r="I1095" s="7" t="s">
        <v>317</v>
      </c>
      <c r="J1095" s="7" t="s">
        <v>1016</v>
      </c>
      <c r="K1095" s="7" t="s">
        <v>29</v>
      </c>
      <c r="L1095" s="3" t="str">
        <f>E1095&amp;D1095</f>
        <v>E.SP.IPAEE_INS_CONF_S_I_IAS_0030</v>
      </c>
      <c r="M1095" s="3" t="str">
        <f>IFERROR(MID(D1095,SEARCH("S_I_",D1095,1),3),"")</f>
        <v>S_I</v>
      </c>
      <c r="N1095" s="3" t="str">
        <f>IFERROR(MID(D1095,SEARCH("C_I_",D1095,1),3),"")</f>
        <v/>
      </c>
      <c r="O1095" s="3" t="str">
        <f>IF(AND(M1095="",N1095=""),"Extra","")</f>
        <v/>
      </c>
      <c r="P1095" s="3" t="str">
        <f>IF(Q1095=0,"TERCEIRO","MRS")</f>
        <v>MRS</v>
      </c>
      <c r="Q1095" s="8" t="str">
        <f>IFERROR(VLOOKUP(L1095,#REF!,4,0),"0,00")</f>
        <v>0,00</v>
      </c>
      <c r="R1095" s="9" t="s">
        <v>57</v>
      </c>
      <c r="S1095" s="9">
        <f>COUNTIF(D1095,"*_SEG_*")</f>
        <v>0</v>
      </c>
      <c r="T1095" s="9">
        <f>COUNTIF(D1095,"*_MAN_*")</f>
        <v>0</v>
      </c>
      <c r="U1095" s="9">
        <f>(RIGHT(D1095,4))*1</f>
        <v>30</v>
      </c>
      <c r="V1095" s="9" t="str">
        <f>IFERROR(VLOOKUP(I1095,#REF!,2,0),"Sinalização")</f>
        <v>Sinalização</v>
      </c>
    </row>
    <row r="1096" spans="1:22" x14ac:dyDescent="0.25">
      <c r="A1096" s="3" t="s">
        <v>22</v>
      </c>
      <c r="B1096" s="4">
        <v>23510909</v>
      </c>
      <c r="C1096" s="5" t="s">
        <v>23</v>
      </c>
      <c r="D1096" s="6" t="s">
        <v>1015</v>
      </c>
      <c r="E1096" s="6" t="s">
        <v>25</v>
      </c>
      <c r="F1096" s="11">
        <v>46165</v>
      </c>
      <c r="G1096" s="6" t="s">
        <v>1079</v>
      </c>
      <c r="H1096" s="7" t="s">
        <v>26</v>
      </c>
      <c r="I1096" s="7" t="s">
        <v>318</v>
      </c>
      <c r="J1096" s="7" t="s">
        <v>1016</v>
      </c>
      <c r="K1096" s="7" t="s">
        <v>29</v>
      </c>
      <c r="L1096" s="3" t="str">
        <f>E1096&amp;D1096</f>
        <v>E.SP.IPAEE_INS_CONF_S_I_IAS_0030</v>
      </c>
      <c r="M1096" s="3" t="str">
        <f>IFERROR(MID(D1096,SEARCH("S_I_",D1096,1),3),"")</f>
        <v>S_I</v>
      </c>
      <c r="N1096" s="3" t="str">
        <f>IFERROR(MID(D1096,SEARCH("C_I_",D1096,1),3),"")</f>
        <v/>
      </c>
      <c r="O1096" s="3" t="str">
        <f>IF(AND(M1096="",N1096=""),"Extra","")</f>
        <v/>
      </c>
      <c r="P1096" s="3" t="str">
        <f>IF(Q1096=0,"TERCEIRO","MRS")</f>
        <v>MRS</v>
      </c>
      <c r="Q1096" s="8" t="str">
        <f>IFERROR(VLOOKUP(L1096,#REF!,4,0),"0,00")</f>
        <v>0,00</v>
      </c>
      <c r="R1096" s="9" t="s">
        <v>57</v>
      </c>
      <c r="S1096" s="9">
        <f>COUNTIF(D1096,"*_SEG_*")</f>
        <v>0</v>
      </c>
      <c r="T1096" s="9">
        <f>COUNTIF(D1096,"*_MAN_*")</f>
        <v>0</v>
      </c>
      <c r="U1096" s="9">
        <f>(RIGHT(D1096,4))*1</f>
        <v>30</v>
      </c>
      <c r="V1096" s="9" t="str">
        <f>IFERROR(VLOOKUP(I1096,#REF!,2,0),"Sinalização")</f>
        <v>Sinalização</v>
      </c>
    </row>
    <row r="1097" spans="1:22" x14ac:dyDescent="0.25">
      <c r="A1097" s="3" t="s">
        <v>22</v>
      </c>
      <c r="B1097" s="4">
        <v>23510910</v>
      </c>
      <c r="C1097" s="5" t="s">
        <v>23</v>
      </c>
      <c r="D1097" s="6" t="s">
        <v>1015</v>
      </c>
      <c r="E1097" s="6" t="s">
        <v>25</v>
      </c>
      <c r="F1097" s="11">
        <v>46165</v>
      </c>
      <c r="G1097" s="6" t="s">
        <v>1079</v>
      </c>
      <c r="H1097" s="7" t="s">
        <v>26</v>
      </c>
      <c r="I1097" s="7" t="s">
        <v>1026</v>
      </c>
      <c r="J1097" s="7" t="s">
        <v>1016</v>
      </c>
      <c r="K1097" s="7" t="s">
        <v>29</v>
      </c>
      <c r="L1097" s="3" t="str">
        <f>E1097&amp;D1097</f>
        <v>E.SP.IPAEE_INS_CONF_S_I_IAS_0030</v>
      </c>
      <c r="M1097" s="3" t="str">
        <f>IFERROR(MID(D1097,SEARCH("S_I_",D1097,1),3),"")</f>
        <v>S_I</v>
      </c>
      <c r="N1097" s="3" t="str">
        <f>IFERROR(MID(D1097,SEARCH("C_I_",D1097,1),3),"")</f>
        <v/>
      </c>
      <c r="O1097" s="3" t="str">
        <f>IF(AND(M1097="",N1097=""),"Extra","")</f>
        <v/>
      </c>
      <c r="P1097" s="3" t="str">
        <f>IF(Q1097=0,"TERCEIRO","MRS")</f>
        <v>MRS</v>
      </c>
      <c r="Q1097" s="8" t="str">
        <f>IFERROR(VLOOKUP(L1097,#REF!,4,0),"0,00")</f>
        <v>0,00</v>
      </c>
      <c r="R1097" s="9" t="s">
        <v>57</v>
      </c>
      <c r="S1097" s="9">
        <f>COUNTIF(D1097,"*_SEG_*")</f>
        <v>0</v>
      </c>
      <c r="T1097" s="9">
        <f>COUNTIF(D1097,"*_MAN_*")</f>
        <v>0</v>
      </c>
      <c r="U1097" s="9">
        <f>(RIGHT(D1097,4))*1</f>
        <v>30</v>
      </c>
      <c r="V1097" s="9" t="str">
        <f>IFERROR(VLOOKUP(I1097,#REF!,2,0),"Sinalização")</f>
        <v>Sinalização</v>
      </c>
    </row>
    <row r="1098" spans="1:22" x14ac:dyDescent="0.25">
      <c r="A1098" s="3" t="s">
        <v>22</v>
      </c>
      <c r="B1098" s="4">
        <v>23510915</v>
      </c>
      <c r="C1098" s="5" t="s">
        <v>23</v>
      </c>
      <c r="D1098" s="6" t="s">
        <v>1015</v>
      </c>
      <c r="E1098" s="6" t="s">
        <v>25</v>
      </c>
      <c r="F1098" s="11">
        <v>46165</v>
      </c>
      <c r="G1098" s="6" t="s">
        <v>1079</v>
      </c>
      <c r="H1098" s="7" t="s">
        <v>26</v>
      </c>
      <c r="I1098" s="7" t="s">
        <v>1027</v>
      </c>
      <c r="J1098" s="7" t="s">
        <v>1016</v>
      </c>
      <c r="K1098" s="7" t="s">
        <v>29</v>
      </c>
      <c r="L1098" s="3" t="str">
        <f>E1098&amp;D1098</f>
        <v>E.SP.IPAEE_INS_CONF_S_I_IAS_0030</v>
      </c>
      <c r="M1098" s="3" t="str">
        <f>IFERROR(MID(D1098,SEARCH("S_I_",D1098,1),3),"")</f>
        <v>S_I</v>
      </c>
      <c r="N1098" s="3" t="str">
        <f>IFERROR(MID(D1098,SEARCH("C_I_",D1098,1),3),"")</f>
        <v/>
      </c>
      <c r="O1098" s="3" t="str">
        <f>IF(AND(M1098="",N1098=""),"Extra","")</f>
        <v/>
      </c>
      <c r="P1098" s="3" t="str">
        <f>IF(Q1098=0,"TERCEIRO","MRS")</f>
        <v>MRS</v>
      </c>
      <c r="Q1098" s="8" t="str">
        <f>IFERROR(VLOOKUP(L1098,#REF!,4,0),"0,00")</f>
        <v>0,00</v>
      </c>
      <c r="R1098" s="9" t="s">
        <v>57</v>
      </c>
      <c r="S1098" s="9">
        <f>COUNTIF(D1098,"*_SEG_*")</f>
        <v>0</v>
      </c>
      <c r="T1098" s="9">
        <f>COUNTIF(D1098,"*_MAN_*")</f>
        <v>0</v>
      </c>
      <c r="U1098" s="9">
        <f>(RIGHT(D1098,4))*1</f>
        <v>30</v>
      </c>
      <c r="V1098" s="9" t="str">
        <f>IFERROR(VLOOKUP(I1098,#REF!,2,0),"Sinalização")</f>
        <v>Sinalização</v>
      </c>
    </row>
    <row r="1099" spans="1:22" x14ac:dyDescent="0.25">
      <c r="A1099" s="3" t="s">
        <v>22</v>
      </c>
      <c r="B1099" s="4">
        <v>23510916</v>
      </c>
      <c r="C1099" s="5" t="s">
        <v>23</v>
      </c>
      <c r="D1099" s="6" t="s">
        <v>1015</v>
      </c>
      <c r="E1099" s="6" t="s">
        <v>25</v>
      </c>
      <c r="F1099" s="11">
        <v>46165</v>
      </c>
      <c r="G1099" s="6" t="s">
        <v>1079</v>
      </c>
      <c r="H1099" s="7" t="s">
        <v>26</v>
      </c>
      <c r="I1099" s="7" t="s">
        <v>1028</v>
      </c>
      <c r="J1099" s="7" t="s">
        <v>1016</v>
      </c>
      <c r="K1099" s="7" t="s">
        <v>29</v>
      </c>
      <c r="L1099" s="3" t="str">
        <f>E1099&amp;D1099</f>
        <v>E.SP.IPAEE_INS_CONF_S_I_IAS_0030</v>
      </c>
      <c r="M1099" s="3" t="str">
        <f>IFERROR(MID(D1099,SEARCH("S_I_",D1099,1),3),"")</f>
        <v>S_I</v>
      </c>
      <c r="N1099" s="3" t="str">
        <f>IFERROR(MID(D1099,SEARCH("C_I_",D1099,1),3),"")</f>
        <v/>
      </c>
      <c r="O1099" s="3" t="str">
        <f>IF(AND(M1099="",N1099=""),"Extra","")</f>
        <v/>
      </c>
      <c r="P1099" s="3" t="str">
        <f>IF(Q1099=0,"TERCEIRO","MRS")</f>
        <v>MRS</v>
      </c>
      <c r="Q1099" s="8" t="str">
        <f>IFERROR(VLOOKUP(L1099,#REF!,4,0),"0,00")</f>
        <v>0,00</v>
      </c>
      <c r="R1099" s="9" t="s">
        <v>57</v>
      </c>
      <c r="S1099" s="9">
        <f>COUNTIF(D1099,"*_SEG_*")</f>
        <v>0</v>
      </c>
      <c r="T1099" s="9">
        <f>COUNTIF(D1099,"*_MAN_*")</f>
        <v>0</v>
      </c>
      <c r="U1099" s="9">
        <f>(RIGHT(D1099,4))*1</f>
        <v>30</v>
      </c>
      <c r="V1099" s="9" t="str">
        <f>IFERROR(VLOOKUP(I1099,#REF!,2,0),"Sinalização")</f>
        <v>Sinalização</v>
      </c>
    </row>
    <row r="1100" spans="1:22" x14ac:dyDescent="0.25">
      <c r="A1100" s="3" t="s">
        <v>22</v>
      </c>
      <c r="B1100" s="4">
        <v>23510917</v>
      </c>
      <c r="C1100" s="5" t="s">
        <v>23</v>
      </c>
      <c r="D1100" s="6" t="s">
        <v>1015</v>
      </c>
      <c r="E1100" s="6" t="s">
        <v>25</v>
      </c>
      <c r="F1100" s="11">
        <v>46165</v>
      </c>
      <c r="G1100" s="6" t="s">
        <v>1079</v>
      </c>
      <c r="H1100" s="7" t="s">
        <v>26</v>
      </c>
      <c r="I1100" s="7" t="s">
        <v>1029</v>
      </c>
      <c r="J1100" s="7" t="s">
        <v>1016</v>
      </c>
      <c r="K1100" s="7" t="s">
        <v>29</v>
      </c>
      <c r="L1100" s="3" t="str">
        <f>E1100&amp;D1100</f>
        <v>E.SP.IPAEE_INS_CONF_S_I_IAS_0030</v>
      </c>
      <c r="M1100" s="3" t="str">
        <f>IFERROR(MID(D1100,SEARCH("S_I_",D1100,1),3),"")</f>
        <v>S_I</v>
      </c>
      <c r="N1100" s="3" t="str">
        <f>IFERROR(MID(D1100,SEARCH("C_I_",D1100,1),3),"")</f>
        <v/>
      </c>
      <c r="O1100" s="3" t="str">
        <f>IF(AND(M1100="",N1100=""),"Extra","")</f>
        <v/>
      </c>
      <c r="P1100" s="3" t="str">
        <f>IF(Q1100=0,"TERCEIRO","MRS")</f>
        <v>MRS</v>
      </c>
      <c r="Q1100" s="8" t="str">
        <f>IFERROR(VLOOKUP(L1100,#REF!,4,0),"0,00")</f>
        <v>0,00</v>
      </c>
      <c r="R1100" s="9" t="s">
        <v>57</v>
      </c>
      <c r="S1100" s="9">
        <f>COUNTIF(D1100,"*_SEG_*")</f>
        <v>0</v>
      </c>
      <c r="T1100" s="9">
        <f>COUNTIF(D1100,"*_MAN_*")</f>
        <v>0</v>
      </c>
      <c r="U1100" s="9">
        <f>(RIGHT(D1100,4))*1</f>
        <v>30</v>
      </c>
      <c r="V1100" s="9" t="str">
        <f>IFERROR(VLOOKUP(I1100,#REF!,2,0),"Sinalização")</f>
        <v>Sinalização</v>
      </c>
    </row>
    <row r="1101" spans="1:22" x14ac:dyDescent="0.25">
      <c r="A1101" s="3" t="s">
        <v>22</v>
      </c>
      <c r="B1101" s="4">
        <v>23510918</v>
      </c>
      <c r="C1101" s="5" t="s">
        <v>23</v>
      </c>
      <c r="D1101" s="6" t="s">
        <v>1015</v>
      </c>
      <c r="E1101" s="6" t="s">
        <v>25</v>
      </c>
      <c r="F1101" s="11">
        <v>46165</v>
      </c>
      <c r="G1101" s="6" t="s">
        <v>1079</v>
      </c>
      <c r="H1101" s="7" t="s">
        <v>26</v>
      </c>
      <c r="I1101" s="7" t="s">
        <v>1030</v>
      </c>
      <c r="J1101" s="7" t="s">
        <v>1016</v>
      </c>
      <c r="K1101" s="7" t="s">
        <v>29</v>
      </c>
      <c r="L1101" s="3" t="str">
        <f>E1101&amp;D1101</f>
        <v>E.SP.IPAEE_INS_CONF_S_I_IAS_0030</v>
      </c>
      <c r="M1101" s="3" t="str">
        <f>IFERROR(MID(D1101,SEARCH("S_I_",D1101,1),3),"")</f>
        <v>S_I</v>
      </c>
      <c r="N1101" s="3" t="str">
        <f>IFERROR(MID(D1101,SEARCH("C_I_",D1101,1),3),"")</f>
        <v/>
      </c>
      <c r="O1101" s="3" t="str">
        <f>IF(AND(M1101="",N1101=""),"Extra","")</f>
        <v/>
      </c>
      <c r="P1101" s="3" t="str">
        <f>IF(Q1101=0,"TERCEIRO","MRS")</f>
        <v>MRS</v>
      </c>
      <c r="Q1101" s="8" t="str">
        <f>IFERROR(VLOOKUP(L1101,#REF!,4,0),"0,00")</f>
        <v>0,00</v>
      </c>
      <c r="R1101" s="9" t="s">
        <v>57</v>
      </c>
      <c r="S1101" s="9">
        <f>COUNTIF(D1101,"*_SEG_*")</f>
        <v>0</v>
      </c>
      <c r="T1101" s="9">
        <f>COUNTIF(D1101,"*_MAN_*")</f>
        <v>0</v>
      </c>
      <c r="U1101" s="9">
        <f>(RIGHT(D1101,4))*1</f>
        <v>30</v>
      </c>
      <c r="V1101" s="9" t="str">
        <f>IFERROR(VLOOKUP(I1101,#REF!,2,0),"Sinalização")</f>
        <v>Sinalização</v>
      </c>
    </row>
    <row r="1102" spans="1:22" x14ac:dyDescent="0.25">
      <c r="A1102" s="3" t="s">
        <v>22</v>
      </c>
      <c r="B1102" s="4">
        <v>23510919</v>
      </c>
      <c r="C1102" s="5" t="s">
        <v>23</v>
      </c>
      <c r="D1102" s="6" t="s">
        <v>1015</v>
      </c>
      <c r="E1102" s="6" t="s">
        <v>25</v>
      </c>
      <c r="F1102" s="11">
        <v>46165</v>
      </c>
      <c r="G1102" s="6" t="s">
        <v>1079</v>
      </c>
      <c r="H1102" s="7" t="s">
        <v>26</v>
      </c>
      <c r="I1102" s="7" t="s">
        <v>1031</v>
      </c>
      <c r="J1102" s="7" t="s">
        <v>1016</v>
      </c>
      <c r="K1102" s="7" t="s">
        <v>29</v>
      </c>
      <c r="L1102" s="3" t="str">
        <f>E1102&amp;D1102</f>
        <v>E.SP.IPAEE_INS_CONF_S_I_IAS_0030</v>
      </c>
      <c r="M1102" s="3" t="str">
        <f>IFERROR(MID(D1102,SEARCH("S_I_",D1102,1),3),"")</f>
        <v>S_I</v>
      </c>
      <c r="N1102" s="3" t="str">
        <f>IFERROR(MID(D1102,SEARCH("C_I_",D1102,1),3),"")</f>
        <v/>
      </c>
      <c r="O1102" s="3" t="str">
        <f>IF(AND(M1102="",N1102=""),"Extra","")</f>
        <v/>
      </c>
      <c r="P1102" s="3" t="str">
        <f>IF(Q1102=0,"TERCEIRO","MRS")</f>
        <v>MRS</v>
      </c>
      <c r="Q1102" s="8" t="str">
        <f>IFERROR(VLOOKUP(L1102,#REF!,4,0),"0,00")</f>
        <v>0,00</v>
      </c>
      <c r="R1102" s="9" t="s">
        <v>57</v>
      </c>
      <c r="S1102" s="9">
        <f>COUNTIF(D1102,"*_SEG_*")</f>
        <v>0</v>
      </c>
      <c r="T1102" s="9">
        <f>COUNTIF(D1102,"*_MAN_*")</f>
        <v>0</v>
      </c>
      <c r="U1102" s="9">
        <f>(RIGHT(D1102,4))*1</f>
        <v>30</v>
      </c>
      <c r="V1102" s="9" t="str">
        <f>IFERROR(VLOOKUP(I1102,#REF!,2,0),"Sinalização")</f>
        <v>Sinalização</v>
      </c>
    </row>
    <row r="1103" spans="1:22" x14ac:dyDescent="0.25">
      <c r="A1103" s="3" t="s">
        <v>22</v>
      </c>
      <c r="B1103" s="4">
        <v>23510920</v>
      </c>
      <c r="C1103" s="5" t="s">
        <v>23</v>
      </c>
      <c r="D1103" s="6" t="s">
        <v>1015</v>
      </c>
      <c r="E1103" s="6" t="s">
        <v>25</v>
      </c>
      <c r="F1103" s="11">
        <v>46165</v>
      </c>
      <c r="G1103" s="6" t="s">
        <v>1079</v>
      </c>
      <c r="H1103" s="7" t="s">
        <v>26</v>
      </c>
      <c r="I1103" s="7" t="s">
        <v>1032</v>
      </c>
      <c r="J1103" s="7" t="s">
        <v>1016</v>
      </c>
      <c r="K1103" s="7" t="s">
        <v>29</v>
      </c>
      <c r="L1103" s="3" t="str">
        <f>E1103&amp;D1103</f>
        <v>E.SP.IPAEE_INS_CONF_S_I_IAS_0030</v>
      </c>
      <c r="M1103" s="3" t="str">
        <f>IFERROR(MID(D1103,SEARCH("S_I_",D1103,1),3),"")</f>
        <v>S_I</v>
      </c>
      <c r="N1103" s="3" t="str">
        <f>IFERROR(MID(D1103,SEARCH("C_I_",D1103,1),3),"")</f>
        <v/>
      </c>
      <c r="O1103" s="3" t="str">
        <f>IF(AND(M1103="",N1103=""),"Extra","")</f>
        <v/>
      </c>
      <c r="P1103" s="3" t="str">
        <f>IF(Q1103=0,"TERCEIRO","MRS")</f>
        <v>MRS</v>
      </c>
      <c r="Q1103" s="8" t="str">
        <f>IFERROR(VLOOKUP(L1103,#REF!,4,0),"0,00")</f>
        <v>0,00</v>
      </c>
      <c r="R1103" s="9" t="s">
        <v>57</v>
      </c>
      <c r="S1103" s="9">
        <f>COUNTIF(D1103,"*_SEG_*")</f>
        <v>0</v>
      </c>
      <c r="T1103" s="9">
        <f>COUNTIF(D1103,"*_MAN_*")</f>
        <v>0</v>
      </c>
      <c r="U1103" s="9">
        <f>(RIGHT(D1103,4))*1</f>
        <v>30</v>
      </c>
      <c r="V1103" s="9" t="str">
        <f>IFERROR(VLOOKUP(I1103,#REF!,2,0),"Sinalização")</f>
        <v>Sinalização</v>
      </c>
    </row>
    <row r="1104" spans="1:22" x14ac:dyDescent="0.25">
      <c r="A1104" s="3" t="s">
        <v>22</v>
      </c>
      <c r="B1104" s="4">
        <v>23510923</v>
      </c>
      <c r="C1104" s="5" t="s">
        <v>23</v>
      </c>
      <c r="D1104" s="6" t="s">
        <v>1015</v>
      </c>
      <c r="E1104" s="6" t="s">
        <v>25</v>
      </c>
      <c r="F1104" s="11">
        <v>46165</v>
      </c>
      <c r="G1104" s="6" t="s">
        <v>1079</v>
      </c>
      <c r="H1104" s="7" t="s">
        <v>26</v>
      </c>
      <c r="I1104" s="7" t="s">
        <v>1033</v>
      </c>
      <c r="J1104" s="7" t="s">
        <v>1016</v>
      </c>
      <c r="K1104" s="7" t="s">
        <v>29</v>
      </c>
      <c r="L1104" s="3" t="str">
        <f>E1104&amp;D1104</f>
        <v>E.SP.IPAEE_INS_CONF_S_I_IAS_0030</v>
      </c>
      <c r="M1104" s="3" t="str">
        <f>IFERROR(MID(D1104,SEARCH("S_I_",D1104,1),3),"")</f>
        <v>S_I</v>
      </c>
      <c r="N1104" s="3" t="str">
        <f>IFERROR(MID(D1104,SEARCH("C_I_",D1104,1),3),"")</f>
        <v/>
      </c>
      <c r="O1104" s="3" t="str">
        <f>IF(AND(M1104="",N1104=""),"Extra","")</f>
        <v/>
      </c>
      <c r="P1104" s="3" t="str">
        <f>IF(Q1104=0,"TERCEIRO","MRS")</f>
        <v>MRS</v>
      </c>
      <c r="Q1104" s="8" t="str">
        <f>IFERROR(VLOOKUP(L1104,#REF!,4,0),"0,00")</f>
        <v>0,00</v>
      </c>
      <c r="R1104" s="9" t="s">
        <v>57</v>
      </c>
      <c r="S1104" s="9">
        <f>COUNTIF(D1104,"*_SEG_*")</f>
        <v>0</v>
      </c>
      <c r="T1104" s="9">
        <f>COUNTIF(D1104,"*_MAN_*")</f>
        <v>0</v>
      </c>
      <c r="U1104" s="9">
        <f>(RIGHT(D1104,4))*1</f>
        <v>30</v>
      </c>
      <c r="V1104" s="9" t="str">
        <f>IFERROR(VLOOKUP(I1104,#REF!,2,0),"Sinalização")</f>
        <v>Sinalização</v>
      </c>
    </row>
    <row r="1105" spans="1:22" x14ac:dyDescent="0.25">
      <c r="A1105" s="3" t="s">
        <v>22</v>
      </c>
      <c r="B1105" s="4">
        <v>23510924</v>
      </c>
      <c r="C1105" s="5" t="s">
        <v>23</v>
      </c>
      <c r="D1105" s="6" t="s">
        <v>1015</v>
      </c>
      <c r="E1105" s="6" t="s">
        <v>25</v>
      </c>
      <c r="F1105" s="11">
        <v>46165</v>
      </c>
      <c r="G1105" s="6" t="s">
        <v>1079</v>
      </c>
      <c r="H1105" s="7" t="s">
        <v>26</v>
      </c>
      <c r="I1105" s="7" t="s">
        <v>1034</v>
      </c>
      <c r="J1105" s="7" t="s">
        <v>1016</v>
      </c>
      <c r="K1105" s="7" t="s">
        <v>29</v>
      </c>
      <c r="L1105" s="3" t="str">
        <f>E1105&amp;D1105</f>
        <v>E.SP.IPAEE_INS_CONF_S_I_IAS_0030</v>
      </c>
      <c r="M1105" s="3" t="str">
        <f>IFERROR(MID(D1105,SEARCH("S_I_",D1105,1),3),"")</f>
        <v>S_I</v>
      </c>
      <c r="N1105" s="3" t="str">
        <f>IFERROR(MID(D1105,SEARCH("C_I_",D1105,1),3),"")</f>
        <v/>
      </c>
      <c r="O1105" s="3" t="str">
        <f>IF(AND(M1105="",N1105=""),"Extra","")</f>
        <v/>
      </c>
      <c r="P1105" s="3" t="str">
        <f>IF(Q1105=0,"TERCEIRO","MRS")</f>
        <v>MRS</v>
      </c>
      <c r="Q1105" s="8" t="str">
        <f>IFERROR(VLOOKUP(L1105,#REF!,4,0),"0,00")</f>
        <v>0,00</v>
      </c>
      <c r="R1105" s="9" t="s">
        <v>57</v>
      </c>
      <c r="S1105" s="9">
        <f>COUNTIF(D1105,"*_SEG_*")</f>
        <v>0</v>
      </c>
      <c r="T1105" s="9">
        <f>COUNTIF(D1105,"*_MAN_*")</f>
        <v>0</v>
      </c>
      <c r="U1105" s="9">
        <f>(RIGHT(D1105,4))*1</f>
        <v>30</v>
      </c>
      <c r="V1105" s="9" t="str">
        <f>IFERROR(VLOOKUP(I1105,#REF!,2,0),"Sinalização")</f>
        <v>Sinalização</v>
      </c>
    </row>
    <row r="1106" spans="1:22" x14ac:dyDescent="0.25">
      <c r="A1106" s="3" t="s">
        <v>22</v>
      </c>
      <c r="B1106" s="4">
        <v>23510925</v>
      </c>
      <c r="C1106" s="5" t="s">
        <v>23</v>
      </c>
      <c r="D1106" s="6" t="s">
        <v>1015</v>
      </c>
      <c r="E1106" s="6" t="s">
        <v>25</v>
      </c>
      <c r="F1106" s="11">
        <v>46165</v>
      </c>
      <c r="G1106" s="6" t="s">
        <v>1079</v>
      </c>
      <c r="H1106" s="7" t="s">
        <v>26</v>
      </c>
      <c r="I1106" s="7" t="s">
        <v>211</v>
      </c>
      <c r="J1106" s="7" t="s">
        <v>1016</v>
      </c>
      <c r="K1106" s="7" t="s">
        <v>29</v>
      </c>
      <c r="L1106" s="3" t="str">
        <f>E1106&amp;D1106</f>
        <v>E.SP.IPAEE_INS_CONF_S_I_IAS_0030</v>
      </c>
      <c r="M1106" s="3" t="str">
        <f>IFERROR(MID(D1106,SEARCH("S_I_",D1106,1),3),"")</f>
        <v>S_I</v>
      </c>
      <c r="N1106" s="3" t="str">
        <f>IFERROR(MID(D1106,SEARCH("C_I_",D1106,1),3),"")</f>
        <v/>
      </c>
      <c r="O1106" s="3" t="str">
        <f>IF(AND(M1106="",N1106=""),"Extra","")</f>
        <v/>
      </c>
      <c r="P1106" s="3" t="str">
        <f>IF(Q1106=0,"TERCEIRO","MRS")</f>
        <v>MRS</v>
      </c>
      <c r="Q1106" s="8" t="str">
        <f>IFERROR(VLOOKUP(L1106,#REF!,4,0),"0,00")</f>
        <v>0,00</v>
      </c>
      <c r="R1106" s="9" t="s">
        <v>57</v>
      </c>
      <c r="S1106" s="9">
        <f>COUNTIF(D1106,"*_SEG_*")</f>
        <v>0</v>
      </c>
      <c r="T1106" s="9">
        <f>COUNTIF(D1106,"*_MAN_*")</f>
        <v>0</v>
      </c>
      <c r="U1106" s="9">
        <f>(RIGHT(D1106,4))*1</f>
        <v>30</v>
      </c>
      <c r="V1106" s="9" t="str">
        <f>IFERROR(VLOOKUP(I1106,#REF!,2,0),"Sinalização")</f>
        <v>Sinalização</v>
      </c>
    </row>
    <row r="1107" spans="1:22" x14ac:dyDescent="0.25">
      <c r="A1107" s="3" t="s">
        <v>22</v>
      </c>
      <c r="B1107" s="4">
        <v>23510926</v>
      </c>
      <c r="C1107" s="5" t="s">
        <v>23</v>
      </c>
      <c r="D1107" s="6" t="s">
        <v>1015</v>
      </c>
      <c r="E1107" s="6" t="s">
        <v>25</v>
      </c>
      <c r="F1107" s="11">
        <v>46165</v>
      </c>
      <c r="G1107" s="6" t="s">
        <v>1079</v>
      </c>
      <c r="H1107" s="7" t="s">
        <v>26</v>
      </c>
      <c r="I1107" s="7" t="s">
        <v>1035</v>
      </c>
      <c r="J1107" s="7" t="s">
        <v>1016</v>
      </c>
      <c r="K1107" s="7" t="s">
        <v>29</v>
      </c>
      <c r="L1107" s="3" t="str">
        <f>E1107&amp;D1107</f>
        <v>E.SP.IPAEE_INS_CONF_S_I_IAS_0030</v>
      </c>
      <c r="M1107" s="3" t="str">
        <f>IFERROR(MID(D1107,SEARCH("S_I_",D1107,1),3),"")</f>
        <v>S_I</v>
      </c>
      <c r="N1107" s="3" t="str">
        <f>IFERROR(MID(D1107,SEARCH("C_I_",D1107,1),3),"")</f>
        <v/>
      </c>
      <c r="O1107" s="3" t="str">
        <f>IF(AND(M1107="",N1107=""),"Extra","")</f>
        <v/>
      </c>
      <c r="P1107" s="3" t="str">
        <f>IF(Q1107=0,"TERCEIRO","MRS")</f>
        <v>MRS</v>
      </c>
      <c r="Q1107" s="8" t="str">
        <f>IFERROR(VLOOKUP(L1107,#REF!,4,0),"0,00")</f>
        <v>0,00</v>
      </c>
      <c r="R1107" s="9" t="s">
        <v>57</v>
      </c>
      <c r="S1107" s="9">
        <f>COUNTIF(D1107,"*_SEG_*")</f>
        <v>0</v>
      </c>
      <c r="T1107" s="9">
        <f>COUNTIF(D1107,"*_MAN_*")</f>
        <v>0</v>
      </c>
      <c r="U1107" s="9">
        <f>(RIGHT(D1107,4))*1</f>
        <v>30</v>
      </c>
      <c r="V1107" s="9" t="str">
        <f>IFERROR(VLOOKUP(I1107,#REF!,2,0),"Sinalização")</f>
        <v>Sinalização</v>
      </c>
    </row>
    <row r="1108" spans="1:22" x14ac:dyDescent="0.25">
      <c r="A1108" s="3" t="s">
        <v>22</v>
      </c>
      <c r="B1108" s="4">
        <v>23510927</v>
      </c>
      <c r="C1108" s="5" t="s">
        <v>23</v>
      </c>
      <c r="D1108" s="6" t="s">
        <v>1015</v>
      </c>
      <c r="E1108" s="6" t="s">
        <v>25</v>
      </c>
      <c r="F1108" s="11">
        <v>46165</v>
      </c>
      <c r="G1108" s="6" t="s">
        <v>1079</v>
      </c>
      <c r="H1108" s="7" t="s">
        <v>26</v>
      </c>
      <c r="I1108" s="7" t="s">
        <v>209</v>
      </c>
      <c r="J1108" s="7" t="s">
        <v>1016</v>
      </c>
      <c r="K1108" s="7" t="s">
        <v>29</v>
      </c>
      <c r="L1108" s="3" t="str">
        <f>E1108&amp;D1108</f>
        <v>E.SP.IPAEE_INS_CONF_S_I_IAS_0030</v>
      </c>
      <c r="M1108" s="3" t="str">
        <f>IFERROR(MID(D1108,SEARCH("S_I_",D1108,1),3),"")</f>
        <v>S_I</v>
      </c>
      <c r="N1108" s="3" t="str">
        <f>IFERROR(MID(D1108,SEARCH("C_I_",D1108,1),3),"")</f>
        <v/>
      </c>
      <c r="O1108" s="3" t="str">
        <f>IF(AND(M1108="",N1108=""),"Extra","")</f>
        <v/>
      </c>
      <c r="P1108" s="3" t="str">
        <f>IF(Q1108=0,"TERCEIRO","MRS")</f>
        <v>MRS</v>
      </c>
      <c r="Q1108" s="8" t="str">
        <f>IFERROR(VLOOKUP(L1108,#REF!,4,0),"0,00")</f>
        <v>0,00</v>
      </c>
      <c r="R1108" s="9" t="s">
        <v>57</v>
      </c>
      <c r="S1108" s="9">
        <f>COUNTIF(D1108,"*_SEG_*")</f>
        <v>0</v>
      </c>
      <c r="T1108" s="9">
        <f>COUNTIF(D1108,"*_MAN_*")</f>
        <v>0</v>
      </c>
      <c r="U1108" s="9">
        <f>(RIGHT(D1108,4))*1</f>
        <v>30</v>
      </c>
      <c r="V1108" s="9" t="str">
        <f>IFERROR(VLOOKUP(I1108,#REF!,2,0),"Sinalização")</f>
        <v>Sinalização</v>
      </c>
    </row>
    <row r="1109" spans="1:22" x14ac:dyDescent="0.25">
      <c r="A1109" s="3" t="s">
        <v>22</v>
      </c>
      <c r="B1109" s="4">
        <v>23510928</v>
      </c>
      <c r="C1109" s="5" t="s">
        <v>23</v>
      </c>
      <c r="D1109" s="6" t="s">
        <v>1015</v>
      </c>
      <c r="E1109" s="6" t="s">
        <v>25</v>
      </c>
      <c r="F1109" s="11">
        <v>46165</v>
      </c>
      <c r="G1109" s="6" t="s">
        <v>1079</v>
      </c>
      <c r="H1109" s="7" t="s">
        <v>26</v>
      </c>
      <c r="I1109" s="7" t="s">
        <v>1036</v>
      </c>
      <c r="J1109" s="7" t="s">
        <v>1016</v>
      </c>
      <c r="K1109" s="7" t="s">
        <v>29</v>
      </c>
      <c r="L1109" s="3" t="str">
        <f>E1109&amp;D1109</f>
        <v>E.SP.IPAEE_INS_CONF_S_I_IAS_0030</v>
      </c>
      <c r="M1109" s="3" t="str">
        <f>IFERROR(MID(D1109,SEARCH("S_I_",D1109,1),3),"")</f>
        <v>S_I</v>
      </c>
      <c r="N1109" s="3" t="str">
        <f>IFERROR(MID(D1109,SEARCH("C_I_",D1109,1),3),"")</f>
        <v/>
      </c>
      <c r="O1109" s="3" t="str">
        <f>IF(AND(M1109="",N1109=""),"Extra","")</f>
        <v/>
      </c>
      <c r="P1109" s="3" t="str">
        <f>IF(Q1109=0,"TERCEIRO","MRS")</f>
        <v>MRS</v>
      </c>
      <c r="Q1109" s="8" t="str">
        <f>IFERROR(VLOOKUP(L1109,#REF!,4,0),"0,00")</f>
        <v>0,00</v>
      </c>
      <c r="R1109" s="9" t="s">
        <v>57</v>
      </c>
      <c r="S1109" s="9">
        <f>COUNTIF(D1109,"*_SEG_*")</f>
        <v>0</v>
      </c>
      <c r="T1109" s="9">
        <f>COUNTIF(D1109,"*_MAN_*")</f>
        <v>0</v>
      </c>
      <c r="U1109" s="9">
        <f>(RIGHT(D1109,4))*1</f>
        <v>30</v>
      </c>
      <c r="V1109" s="9" t="str">
        <f>IFERROR(VLOOKUP(I1109,#REF!,2,0),"Sinalização")</f>
        <v>Sinalização</v>
      </c>
    </row>
    <row r="1110" spans="1:22" x14ac:dyDescent="0.25">
      <c r="A1110" s="3" t="s">
        <v>22</v>
      </c>
      <c r="B1110" s="4">
        <v>23510929</v>
      </c>
      <c r="C1110" s="5" t="s">
        <v>23</v>
      </c>
      <c r="D1110" s="6" t="s">
        <v>1015</v>
      </c>
      <c r="E1110" s="6" t="s">
        <v>25</v>
      </c>
      <c r="F1110" s="11">
        <v>46165</v>
      </c>
      <c r="G1110" s="6" t="s">
        <v>1079</v>
      </c>
      <c r="H1110" s="7" t="s">
        <v>26</v>
      </c>
      <c r="I1110" s="7" t="s">
        <v>1037</v>
      </c>
      <c r="J1110" s="7" t="s">
        <v>1016</v>
      </c>
      <c r="K1110" s="7" t="s">
        <v>29</v>
      </c>
      <c r="L1110" s="3" t="str">
        <f>E1110&amp;D1110</f>
        <v>E.SP.IPAEE_INS_CONF_S_I_IAS_0030</v>
      </c>
      <c r="M1110" s="3" t="str">
        <f>IFERROR(MID(D1110,SEARCH("S_I_",D1110,1),3),"")</f>
        <v>S_I</v>
      </c>
      <c r="N1110" s="3" t="str">
        <f>IFERROR(MID(D1110,SEARCH("C_I_",D1110,1),3),"")</f>
        <v/>
      </c>
      <c r="O1110" s="3" t="str">
        <f>IF(AND(M1110="",N1110=""),"Extra","")</f>
        <v/>
      </c>
      <c r="P1110" s="3" t="str">
        <f>IF(Q1110=0,"TERCEIRO","MRS")</f>
        <v>MRS</v>
      </c>
      <c r="Q1110" s="8" t="str">
        <f>IFERROR(VLOOKUP(L1110,#REF!,4,0),"0,00")</f>
        <v>0,00</v>
      </c>
      <c r="R1110" s="9" t="s">
        <v>57</v>
      </c>
      <c r="S1110" s="9">
        <f>COUNTIF(D1110,"*_SEG_*")</f>
        <v>0</v>
      </c>
      <c r="T1110" s="9">
        <f>COUNTIF(D1110,"*_MAN_*")</f>
        <v>0</v>
      </c>
      <c r="U1110" s="9">
        <f>(RIGHT(D1110,4))*1</f>
        <v>30</v>
      </c>
      <c r="V1110" s="9" t="str">
        <f>IFERROR(VLOOKUP(I1110,#REF!,2,0),"Sinalização")</f>
        <v>Sinalização</v>
      </c>
    </row>
    <row r="1111" spans="1:22" x14ac:dyDescent="0.25">
      <c r="A1111" s="3" t="s">
        <v>22</v>
      </c>
      <c r="B1111" s="4">
        <v>23510930</v>
      </c>
      <c r="C1111" s="5" t="s">
        <v>23</v>
      </c>
      <c r="D1111" s="6" t="s">
        <v>1015</v>
      </c>
      <c r="E1111" s="6" t="s">
        <v>25</v>
      </c>
      <c r="F1111" s="11">
        <v>46165</v>
      </c>
      <c r="G1111" s="6" t="s">
        <v>1079</v>
      </c>
      <c r="H1111" s="7" t="s">
        <v>26</v>
      </c>
      <c r="I1111" s="7" t="s">
        <v>1038</v>
      </c>
      <c r="J1111" s="7" t="s">
        <v>1016</v>
      </c>
      <c r="K1111" s="7" t="s">
        <v>29</v>
      </c>
      <c r="L1111" s="3" t="str">
        <f>E1111&amp;D1111</f>
        <v>E.SP.IPAEE_INS_CONF_S_I_IAS_0030</v>
      </c>
      <c r="M1111" s="3" t="str">
        <f>IFERROR(MID(D1111,SEARCH("S_I_",D1111,1),3),"")</f>
        <v>S_I</v>
      </c>
      <c r="N1111" s="3" t="str">
        <f>IFERROR(MID(D1111,SEARCH("C_I_",D1111,1),3),"")</f>
        <v/>
      </c>
      <c r="O1111" s="3" t="str">
        <f>IF(AND(M1111="",N1111=""),"Extra","")</f>
        <v/>
      </c>
      <c r="P1111" s="3" t="str">
        <f>IF(Q1111=0,"TERCEIRO","MRS")</f>
        <v>MRS</v>
      </c>
      <c r="Q1111" s="8" t="str">
        <f>IFERROR(VLOOKUP(L1111,#REF!,4,0),"0,00")</f>
        <v>0,00</v>
      </c>
      <c r="R1111" s="9" t="s">
        <v>57</v>
      </c>
      <c r="S1111" s="9">
        <f>COUNTIF(D1111,"*_SEG_*")</f>
        <v>0</v>
      </c>
      <c r="T1111" s="9">
        <f>COUNTIF(D1111,"*_MAN_*")</f>
        <v>0</v>
      </c>
      <c r="U1111" s="9">
        <f>(RIGHT(D1111,4))*1</f>
        <v>30</v>
      </c>
      <c r="V1111" s="9" t="str">
        <f>IFERROR(VLOOKUP(I1111,#REF!,2,0),"Sinalização")</f>
        <v>Sinalização</v>
      </c>
    </row>
    <row r="1112" spans="1:22" x14ac:dyDescent="0.25">
      <c r="A1112" s="3" t="s">
        <v>22</v>
      </c>
      <c r="B1112" s="4">
        <v>23510931</v>
      </c>
      <c r="C1112" s="5" t="s">
        <v>23</v>
      </c>
      <c r="D1112" s="6" t="s">
        <v>1015</v>
      </c>
      <c r="E1112" s="6" t="s">
        <v>25</v>
      </c>
      <c r="F1112" s="11">
        <v>46165</v>
      </c>
      <c r="G1112" s="6" t="s">
        <v>1079</v>
      </c>
      <c r="H1112" s="7" t="s">
        <v>26</v>
      </c>
      <c r="I1112" s="7" t="s">
        <v>1039</v>
      </c>
      <c r="J1112" s="7" t="s">
        <v>1016</v>
      </c>
      <c r="K1112" s="7" t="s">
        <v>29</v>
      </c>
      <c r="L1112" s="3" t="str">
        <f>E1112&amp;D1112</f>
        <v>E.SP.IPAEE_INS_CONF_S_I_IAS_0030</v>
      </c>
      <c r="M1112" s="3" t="str">
        <f>IFERROR(MID(D1112,SEARCH("S_I_",D1112,1),3),"")</f>
        <v>S_I</v>
      </c>
      <c r="N1112" s="3" t="str">
        <f>IFERROR(MID(D1112,SEARCH("C_I_",D1112,1),3),"")</f>
        <v/>
      </c>
      <c r="O1112" s="3" t="str">
        <f>IF(AND(M1112="",N1112=""),"Extra","")</f>
        <v/>
      </c>
      <c r="P1112" s="3" t="str">
        <f>IF(Q1112=0,"TERCEIRO","MRS")</f>
        <v>MRS</v>
      </c>
      <c r="Q1112" s="8" t="str">
        <f>IFERROR(VLOOKUP(L1112,#REF!,4,0),"0,00")</f>
        <v>0,00</v>
      </c>
      <c r="R1112" s="9" t="s">
        <v>57</v>
      </c>
      <c r="S1112" s="9">
        <f>COUNTIF(D1112,"*_SEG_*")</f>
        <v>0</v>
      </c>
      <c r="T1112" s="9">
        <f>COUNTIF(D1112,"*_MAN_*")</f>
        <v>0</v>
      </c>
      <c r="U1112" s="9">
        <f>(RIGHT(D1112,4))*1</f>
        <v>30</v>
      </c>
      <c r="V1112" s="9" t="str">
        <f>IFERROR(VLOOKUP(I1112,#REF!,2,0),"Sinalização")</f>
        <v>Sinalização</v>
      </c>
    </row>
    <row r="1113" spans="1:22" x14ac:dyDescent="0.25">
      <c r="A1113" s="3" t="s">
        <v>22</v>
      </c>
      <c r="B1113" s="4">
        <v>23510932</v>
      </c>
      <c r="C1113" s="5" t="s">
        <v>23</v>
      </c>
      <c r="D1113" s="6" t="s">
        <v>1015</v>
      </c>
      <c r="E1113" s="6" t="s">
        <v>25</v>
      </c>
      <c r="F1113" s="11">
        <v>46165</v>
      </c>
      <c r="G1113" s="6" t="s">
        <v>1079</v>
      </c>
      <c r="H1113" s="7" t="s">
        <v>26</v>
      </c>
      <c r="I1113" s="7" t="s">
        <v>207</v>
      </c>
      <c r="J1113" s="7" t="s">
        <v>1016</v>
      </c>
      <c r="K1113" s="7" t="s">
        <v>29</v>
      </c>
      <c r="L1113" s="3" t="str">
        <f>E1113&amp;D1113</f>
        <v>E.SP.IPAEE_INS_CONF_S_I_IAS_0030</v>
      </c>
      <c r="M1113" s="3" t="str">
        <f>IFERROR(MID(D1113,SEARCH("S_I_",D1113,1),3),"")</f>
        <v>S_I</v>
      </c>
      <c r="N1113" s="3" t="str">
        <f>IFERROR(MID(D1113,SEARCH("C_I_",D1113,1),3),"")</f>
        <v/>
      </c>
      <c r="O1113" s="3" t="str">
        <f>IF(AND(M1113="",N1113=""),"Extra","")</f>
        <v/>
      </c>
      <c r="P1113" s="3" t="str">
        <f>IF(Q1113=0,"TERCEIRO","MRS")</f>
        <v>MRS</v>
      </c>
      <c r="Q1113" s="8" t="str">
        <f>IFERROR(VLOOKUP(L1113,#REF!,4,0),"0,00")</f>
        <v>0,00</v>
      </c>
      <c r="R1113" s="9" t="s">
        <v>57</v>
      </c>
      <c r="S1113" s="9">
        <f>COUNTIF(D1113,"*_SEG_*")</f>
        <v>0</v>
      </c>
      <c r="T1113" s="9">
        <f>COUNTIF(D1113,"*_MAN_*")</f>
        <v>0</v>
      </c>
      <c r="U1113" s="9">
        <f>(RIGHT(D1113,4))*1</f>
        <v>30</v>
      </c>
      <c r="V1113" s="9" t="str">
        <f>IFERROR(VLOOKUP(I1113,#REF!,2,0),"Sinalização")</f>
        <v>Sinalização</v>
      </c>
    </row>
    <row r="1114" spans="1:22" x14ac:dyDescent="0.25">
      <c r="A1114" s="3" t="s">
        <v>22</v>
      </c>
      <c r="B1114" s="4">
        <v>23510953</v>
      </c>
      <c r="C1114" s="5" t="s">
        <v>23</v>
      </c>
      <c r="D1114" s="6" t="s">
        <v>1040</v>
      </c>
      <c r="E1114" s="6" t="s">
        <v>25</v>
      </c>
      <c r="F1114" s="11">
        <v>46165</v>
      </c>
      <c r="G1114" s="6" t="s">
        <v>1079</v>
      </c>
      <c r="H1114" s="7" t="s">
        <v>26</v>
      </c>
      <c r="I1114" s="7" t="s">
        <v>937</v>
      </c>
      <c r="J1114" s="7" t="s">
        <v>830</v>
      </c>
      <c r="K1114" s="7" t="s">
        <v>29</v>
      </c>
      <c r="L1114" s="3" t="str">
        <f>E1114&amp;D1114</f>
        <v>E.SP.IPAT_EE_INS_CONF_S_I_CIRCUITO A DIODO_0030</v>
      </c>
      <c r="M1114" s="3" t="str">
        <f>IFERROR(MID(D1114,SEARCH("S_I_",D1114,1),3),"")</f>
        <v>S_I</v>
      </c>
      <c r="N1114" s="3" t="str">
        <f>IFERROR(MID(D1114,SEARCH("C_I_",D1114,1),3),"")</f>
        <v/>
      </c>
      <c r="O1114" s="3" t="str">
        <f>IF(AND(M1114="",N1114=""),"Extra","")</f>
        <v/>
      </c>
      <c r="P1114" s="3" t="str">
        <f>IF(Q1114=0,"TERCEIRO","MRS")</f>
        <v>MRS</v>
      </c>
      <c r="Q1114" s="8" t="str">
        <f>IFERROR(VLOOKUP(L1114,#REF!,4,0),"0,00")</f>
        <v>0,00</v>
      </c>
      <c r="R1114" s="9" t="s">
        <v>42</v>
      </c>
      <c r="S1114" s="9">
        <f>COUNTIF(D1114,"*_SEG_*")</f>
        <v>0</v>
      </c>
      <c r="T1114" s="9">
        <f>COUNTIF(D1114,"*_MAN_*")</f>
        <v>0</v>
      </c>
      <c r="U1114" s="9">
        <f>(RIGHT(D1114,4))*1</f>
        <v>30</v>
      </c>
      <c r="V1114" s="9" t="str">
        <f>IFERROR(VLOOKUP(I1114,#REF!,2,0),"Sinalização")</f>
        <v>Sinalização</v>
      </c>
    </row>
    <row r="1115" spans="1:22" x14ac:dyDescent="0.25">
      <c r="A1115" s="3" t="s">
        <v>22</v>
      </c>
      <c r="B1115" s="4">
        <v>23510954</v>
      </c>
      <c r="C1115" s="5" t="s">
        <v>23</v>
      </c>
      <c r="D1115" s="6" t="s">
        <v>1040</v>
      </c>
      <c r="E1115" s="6" t="s">
        <v>25</v>
      </c>
      <c r="F1115" s="11">
        <v>46165</v>
      </c>
      <c r="G1115" s="6" t="s">
        <v>1079</v>
      </c>
      <c r="H1115" s="7" t="s">
        <v>26</v>
      </c>
      <c r="I1115" s="7" t="s">
        <v>939</v>
      </c>
      <c r="J1115" s="7" t="s">
        <v>830</v>
      </c>
      <c r="K1115" s="7" t="s">
        <v>29</v>
      </c>
      <c r="L1115" s="3" t="str">
        <f>E1115&amp;D1115</f>
        <v>E.SP.IPAT_EE_INS_CONF_S_I_CIRCUITO A DIODO_0030</v>
      </c>
      <c r="M1115" s="3" t="str">
        <f>IFERROR(MID(D1115,SEARCH("S_I_",D1115,1),3),"")</f>
        <v>S_I</v>
      </c>
      <c r="N1115" s="3" t="str">
        <f>IFERROR(MID(D1115,SEARCH("C_I_",D1115,1),3),"")</f>
        <v/>
      </c>
      <c r="O1115" s="3" t="str">
        <f>IF(AND(M1115="",N1115=""),"Extra","")</f>
        <v/>
      </c>
      <c r="P1115" s="3" t="str">
        <f>IF(Q1115=0,"TERCEIRO","MRS")</f>
        <v>MRS</v>
      </c>
      <c r="Q1115" s="8" t="str">
        <f>IFERROR(VLOOKUP(L1115,#REF!,4,0),"0,00")</f>
        <v>0,00</v>
      </c>
      <c r="R1115" s="9" t="s">
        <v>42</v>
      </c>
      <c r="S1115" s="9">
        <f>COUNTIF(D1115,"*_SEG_*")</f>
        <v>0</v>
      </c>
      <c r="T1115" s="9">
        <f>COUNTIF(D1115,"*_MAN_*")</f>
        <v>0</v>
      </c>
      <c r="U1115" s="9">
        <f>(RIGHT(D1115,4))*1</f>
        <v>30</v>
      </c>
      <c r="V1115" s="9" t="str">
        <f>IFERROR(VLOOKUP(I1115,#REF!,2,0),"Sinalização")</f>
        <v>Sinalização</v>
      </c>
    </row>
    <row r="1116" spans="1:22" x14ac:dyDescent="0.25">
      <c r="A1116" s="3" t="s">
        <v>22</v>
      </c>
      <c r="B1116" s="4">
        <v>23510955</v>
      </c>
      <c r="C1116" s="5" t="s">
        <v>23</v>
      </c>
      <c r="D1116" s="6" t="s">
        <v>1040</v>
      </c>
      <c r="E1116" s="6" t="s">
        <v>25</v>
      </c>
      <c r="F1116" s="11">
        <v>46165</v>
      </c>
      <c r="G1116" s="6" t="s">
        <v>1079</v>
      </c>
      <c r="H1116" s="7" t="s">
        <v>26</v>
      </c>
      <c r="I1116" s="7" t="s">
        <v>940</v>
      </c>
      <c r="J1116" s="7" t="s">
        <v>830</v>
      </c>
      <c r="K1116" s="7" t="s">
        <v>29</v>
      </c>
      <c r="L1116" s="3" t="str">
        <f>E1116&amp;D1116</f>
        <v>E.SP.IPAT_EE_INS_CONF_S_I_CIRCUITO A DIODO_0030</v>
      </c>
      <c r="M1116" s="3" t="str">
        <f>IFERROR(MID(D1116,SEARCH("S_I_",D1116,1),3),"")</f>
        <v>S_I</v>
      </c>
      <c r="N1116" s="3" t="str">
        <f>IFERROR(MID(D1116,SEARCH("C_I_",D1116,1),3),"")</f>
        <v/>
      </c>
      <c r="O1116" s="3" t="str">
        <f>IF(AND(M1116="",N1116=""),"Extra","")</f>
        <v/>
      </c>
      <c r="P1116" s="3" t="str">
        <f>IF(Q1116=0,"TERCEIRO","MRS")</f>
        <v>MRS</v>
      </c>
      <c r="Q1116" s="8" t="str">
        <f>IFERROR(VLOOKUP(L1116,#REF!,4,0),"0,00")</f>
        <v>0,00</v>
      </c>
      <c r="R1116" s="9" t="s">
        <v>42</v>
      </c>
      <c r="S1116" s="9">
        <f>COUNTIF(D1116,"*_SEG_*")</f>
        <v>0</v>
      </c>
      <c r="T1116" s="9">
        <f>COUNTIF(D1116,"*_MAN_*")</f>
        <v>0</v>
      </c>
      <c r="U1116" s="9">
        <f>(RIGHT(D1116,4))*1</f>
        <v>30</v>
      </c>
      <c r="V1116" s="9" t="str">
        <f>IFERROR(VLOOKUP(I1116,#REF!,2,0),"Sinalização")</f>
        <v>Sinalização</v>
      </c>
    </row>
    <row r="1117" spans="1:22" x14ac:dyDescent="0.25">
      <c r="A1117" s="3" t="s">
        <v>22</v>
      </c>
      <c r="B1117" s="4">
        <v>23510956</v>
      </c>
      <c r="C1117" s="5" t="s">
        <v>23</v>
      </c>
      <c r="D1117" s="6" t="s">
        <v>1040</v>
      </c>
      <c r="E1117" s="6" t="s">
        <v>25</v>
      </c>
      <c r="F1117" s="11">
        <v>46165</v>
      </c>
      <c r="G1117" s="6" t="s">
        <v>1079</v>
      </c>
      <c r="H1117" s="7" t="s">
        <v>26</v>
      </c>
      <c r="I1117" s="7" t="s">
        <v>250</v>
      </c>
      <c r="J1117" s="7" t="s">
        <v>830</v>
      </c>
      <c r="K1117" s="7" t="s">
        <v>29</v>
      </c>
      <c r="L1117" s="3" t="str">
        <f>E1117&amp;D1117</f>
        <v>E.SP.IPAT_EE_INS_CONF_S_I_CIRCUITO A DIODO_0030</v>
      </c>
      <c r="M1117" s="3" t="str">
        <f>IFERROR(MID(D1117,SEARCH("S_I_",D1117,1),3),"")</f>
        <v>S_I</v>
      </c>
      <c r="N1117" s="3" t="str">
        <f>IFERROR(MID(D1117,SEARCH("C_I_",D1117,1),3),"")</f>
        <v/>
      </c>
      <c r="O1117" s="3" t="str">
        <f>IF(AND(M1117="",N1117=""),"Extra","")</f>
        <v/>
      </c>
      <c r="P1117" s="3" t="str">
        <f>IF(Q1117=0,"TERCEIRO","MRS")</f>
        <v>MRS</v>
      </c>
      <c r="Q1117" s="8" t="str">
        <f>IFERROR(VLOOKUP(L1117,#REF!,4,0),"0,00")</f>
        <v>0,00</v>
      </c>
      <c r="R1117" s="9" t="s">
        <v>42</v>
      </c>
      <c r="S1117" s="9">
        <f>COUNTIF(D1117,"*_SEG_*")</f>
        <v>0</v>
      </c>
      <c r="T1117" s="9">
        <f>COUNTIF(D1117,"*_MAN_*")</f>
        <v>0</v>
      </c>
      <c r="U1117" s="9">
        <f>(RIGHT(D1117,4))*1</f>
        <v>30</v>
      </c>
      <c r="V1117" s="9" t="str">
        <f>IFERROR(VLOOKUP(I1117,#REF!,2,0),"Sinalização")</f>
        <v>Sinalização</v>
      </c>
    </row>
    <row r="1118" spans="1:22" x14ac:dyDescent="0.25">
      <c r="A1118" s="3" t="s">
        <v>22</v>
      </c>
      <c r="B1118" s="4">
        <v>23510957</v>
      </c>
      <c r="C1118" s="5" t="s">
        <v>23</v>
      </c>
      <c r="D1118" s="6" t="s">
        <v>1040</v>
      </c>
      <c r="E1118" s="6" t="s">
        <v>25</v>
      </c>
      <c r="F1118" s="11">
        <v>46165</v>
      </c>
      <c r="G1118" s="6" t="s">
        <v>1079</v>
      </c>
      <c r="H1118" s="7" t="s">
        <v>26</v>
      </c>
      <c r="I1118" s="7" t="s">
        <v>251</v>
      </c>
      <c r="J1118" s="7" t="s">
        <v>830</v>
      </c>
      <c r="K1118" s="7" t="s">
        <v>29</v>
      </c>
      <c r="L1118" s="3" t="str">
        <f>E1118&amp;D1118</f>
        <v>E.SP.IPAT_EE_INS_CONF_S_I_CIRCUITO A DIODO_0030</v>
      </c>
      <c r="M1118" s="3" t="str">
        <f>IFERROR(MID(D1118,SEARCH("S_I_",D1118,1),3),"")</f>
        <v>S_I</v>
      </c>
      <c r="N1118" s="3" t="str">
        <f>IFERROR(MID(D1118,SEARCH("C_I_",D1118,1),3),"")</f>
        <v/>
      </c>
      <c r="O1118" s="3" t="str">
        <f>IF(AND(M1118="",N1118=""),"Extra","")</f>
        <v/>
      </c>
      <c r="P1118" s="3" t="str">
        <f>IF(Q1118=0,"TERCEIRO","MRS")</f>
        <v>MRS</v>
      </c>
      <c r="Q1118" s="8" t="str">
        <f>IFERROR(VLOOKUP(L1118,#REF!,4,0),"0,00")</f>
        <v>0,00</v>
      </c>
      <c r="R1118" s="9" t="s">
        <v>42</v>
      </c>
      <c r="S1118" s="9">
        <f>COUNTIF(D1118,"*_SEG_*")</f>
        <v>0</v>
      </c>
      <c r="T1118" s="9">
        <f>COUNTIF(D1118,"*_MAN_*")</f>
        <v>0</v>
      </c>
      <c r="U1118" s="9">
        <f>(RIGHT(D1118,4))*1</f>
        <v>30</v>
      </c>
      <c r="V1118" s="9" t="str">
        <f>IFERROR(VLOOKUP(I1118,#REF!,2,0),"Sinalização")</f>
        <v>Sinalização</v>
      </c>
    </row>
    <row r="1119" spans="1:22" x14ac:dyDescent="0.25">
      <c r="A1119" s="3" t="s">
        <v>22</v>
      </c>
      <c r="B1119" s="4">
        <v>23511036</v>
      </c>
      <c r="C1119" s="5" t="s">
        <v>23</v>
      </c>
      <c r="D1119" s="6" t="s">
        <v>1041</v>
      </c>
      <c r="E1119" s="6" t="s">
        <v>25</v>
      </c>
      <c r="F1119" s="11">
        <v>46165</v>
      </c>
      <c r="G1119" s="6" t="s">
        <v>1079</v>
      </c>
      <c r="H1119" s="7" t="s">
        <v>26</v>
      </c>
      <c r="I1119" s="7" t="s">
        <v>414</v>
      </c>
      <c r="J1119" s="7" t="s">
        <v>1042</v>
      </c>
      <c r="K1119" s="7" t="s">
        <v>29</v>
      </c>
      <c r="L1119" s="3" t="str">
        <f>E1119&amp;D1119</f>
        <v>E.SP.IPAEE_INS_CONF_C_I_IAS_0030</v>
      </c>
      <c r="M1119" s="3" t="str">
        <f>IFERROR(MID(D1119,SEARCH("S_I_",D1119,1),3),"")</f>
        <v/>
      </c>
      <c r="N1119" s="3" t="str">
        <f>IFERROR(MID(D1119,SEARCH("C_I_",D1119,1),3),"")</f>
        <v>C_I</v>
      </c>
      <c r="O1119" s="3" t="str">
        <f>IF(AND(M1119="",N1119=""),"Extra","")</f>
        <v/>
      </c>
      <c r="P1119" s="3" t="str">
        <f>IF(Q1119=0,"TERCEIRO","MRS")</f>
        <v>MRS</v>
      </c>
      <c r="Q1119" s="8" t="str">
        <f>IFERROR(VLOOKUP(L1119,#REF!,4,0),"0,00")</f>
        <v>0,00</v>
      </c>
      <c r="R1119" s="9" t="s">
        <v>57</v>
      </c>
      <c r="S1119" s="9">
        <f>COUNTIF(D1119,"*_SEG_*")</f>
        <v>0</v>
      </c>
      <c r="T1119" s="9">
        <f>COUNTIF(D1119,"*_MAN_*")</f>
        <v>0</v>
      </c>
      <c r="U1119" s="9">
        <f>(RIGHT(D1119,4))*1</f>
        <v>30</v>
      </c>
      <c r="V1119" s="9" t="str">
        <f>IFERROR(VLOOKUP(I1119,#REF!,2,0),"Sinalização")</f>
        <v>Sinalização</v>
      </c>
    </row>
    <row r="1120" spans="1:22" x14ac:dyDescent="0.25">
      <c r="A1120" s="3" t="s">
        <v>22</v>
      </c>
      <c r="B1120" s="4">
        <v>23511037</v>
      </c>
      <c r="C1120" s="5" t="s">
        <v>23</v>
      </c>
      <c r="D1120" s="6" t="s">
        <v>1041</v>
      </c>
      <c r="E1120" s="6" t="s">
        <v>25</v>
      </c>
      <c r="F1120" s="11">
        <v>46165</v>
      </c>
      <c r="G1120" s="6" t="s">
        <v>1079</v>
      </c>
      <c r="H1120" s="7" t="s">
        <v>26</v>
      </c>
      <c r="I1120" s="7" t="s">
        <v>411</v>
      </c>
      <c r="J1120" s="7" t="s">
        <v>1042</v>
      </c>
      <c r="K1120" s="7" t="s">
        <v>29</v>
      </c>
      <c r="L1120" s="3" t="str">
        <f>E1120&amp;D1120</f>
        <v>E.SP.IPAEE_INS_CONF_C_I_IAS_0030</v>
      </c>
      <c r="M1120" s="3" t="str">
        <f>IFERROR(MID(D1120,SEARCH("S_I_",D1120,1),3),"")</f>
        <v/>
      </c>
      <c r="N1120" s="3" t="str">
        <f>IFERROR(MID(D1120,SEARCH("C_I_",D1120,1),3),"")</f>
        <v>C_I</v>
      </c>
      <c r="O1120" s="3" t="str">
        <f>IF(AND(M1120="",N1120=""),"Extra","")</f>
        <v/>
      </c>
      <c r="P1120" s="3" t="str">
        <f>IF(Q1120=0,"TERCEIRO","MRS")</f>
        <v>MRS</v>
      </c>
      <c r="Q1120" s="8" t="str">
        <f>IFERROR(VLOOKUP(L1120,#REF!,4,0),"0,00")</f>
        <v>0,00</v>
      </c>
      <c r="R1120" s="9" t="s">
        <v>57</v>
      </c>
      <c r="S1120" s="9">
        <f>COUNTIF(D1120,"*_SEG_*")</f>
        <v>0</v>
      </c>
      <c r="T1120" s="9">
        <f>COUNTIF(D1120,"*_MAN_*")</f>
        <v>0</v>
      </c>
      <c r="U1120" s="9">
        <f>(RIGHT(D1120,4))*1</f>
        <v>30</v>
      </c>
      <c r="V1120" s="9" t="str">
        <f>IFERROR(VLOOKUP(I1120,#REF!,2,0),"Sinalização")</f>
        <v>Sinalização</v>
      </c>
    </row>
    <row r="1121" spans="1:22" x14ac:dyDescent="0.25">
      <c r="A1121" s="3" t="s">
        <v>22</v>
      </c>
      <c r="B1121" s="4">
        <v>23511039</v>
      </c>
      <c r="C1121" s="5" t="s">
        <v>23</v>
      </c>
      <c r="D1121" s="6" t="s">
        <v>1041</v>
      </c>
      <c r="E1121" s="6" t="s">
        <v>25</v>
      </c>
      <c r="F1121" s="11">
        <v>46165</v>
      </c>
      <c r="G1121" s="6" t="s">
        <v>1079</v>
      </c>
      <c r="H1121" s="7" t="s">
        <v>26</v>
      </c>
      <c r="I1121" s="7" t="s">
        <v>412</v>
      </c>
      <c r="J1121" s="7" t="s">
        <v>1042</v>
      </c>
      <c r="K1121" s="7" t="s">
        <v>29</v>
      </c>
      <c r="L1121" s="3" t="str">
        <f>E1121&amp;D1121</f>
        <v>E.SP.IPAEE_INS_CONF_C_I_IAS_0030</v>
      </c>
      <c r="M1121" s="3" t="str">
        <f>IFERROR(MID(D1121,SEARCH("S_I_",D1121,1),3),"")</f>
        <v/>
      </c>
      <c r="N1121" s="3" t="str">
        <f>IFERROR(MID(D1121,SEARCH("C_I_",D1121,1),3),"")</f>
        <v>C_I</v>
      </c>
      <c r="O1121" s="3" t="str">
        <f>IF(AND(M1121="",N1121=""),"Extra","")</f>
        <v/>
      </c>
      <c r="P1121" s="3" t="str">
        <f>IF(Q1121=0,"TERCEIRO","MRS")</f>
        <v>MRS</v>
      </c>
      <c r="Q1121" s="8" t="str">
        <f>IFERROR(VLOOKUP(L1121,#REF!,4,0),"0,00")</f>
        <v>0,00</v>
      </c>
      <c r="R1121" s="9" t="s">
        <v>57</v>
      </c>
      <c r="S1121" s="9">
        <f>COUNTIF(D1121,"*_SEG_*")</f>
        <v>0</v>
      </c>
      <c r="T1121" s="9">
        <f>COUNTIF(D1121,"*_MAN_*")</f>
        <v>0</v>
      </c>
      <c r="U1121" s="9">
        <f>(RIGHT(D1121,4))*1</f>
        <v>30</v>
      </c>
      <c r="V1121" s="9" t="str">
        <f>IFERROR(VLOOKUP(I1121,#REF!,2,0),"Sinalização")</f>
        <v>Sinalização</v>
      </c>
    </row>
    <row r="1122" spans="1:22" x14ac:dyDescent="0.25">
      <c r="A1122" s="3" t="s">
        <v>22</v>
      </c>
      <c r="B1122" s="4">
        <v>23511040</v>
      </c>
      <c r="C1122" s="5" t="s">
        <v>23</v>
      </c>
      <c r="D1122" s="6" t="s">
        <v>1041</v>
      </c>
      <c r="E1122" s="6" t="s">
        <v>25</v>
      </c>
      <c r="F1122" s="11">
        <v>46165</v>
      </c>
      <c r="G1122" s="6" t="s">
        <v>1079</v>
      </c>
      <c r="H1122" s="7" t="s">
        <v>26</v>
      </c>
      <c r="I1122" s="7" t="s">
        <v>415</v>
      </c>
      <c r="J1122" s="7" t="s">
        <v>1042</v>
      </c>
      <c r="K1122" s="7" t="s">
        <v>29</v>
      </c>
      <c r="L1122" s="3" t="str">
        <f>E1122&amp;D1122</f>
        <v>E.SP.IPAEE_INS_CONF_C_I_IAS_0030</v>
      </c>
      <c r="M1122" s="3" t="str">
        <f>IFERROR(MID(D1122,SEARCH("S_I_",D1122,1),3),"")</f>
        <v/>
      </c>
      <c r="N1122" s="3" t="str">
        <f>IFERROR(MID(D1122,SEARCH("C_I_",D1122,1),3),"")</f>
        <v>C_I</v>
      </c>
      <c r="O1122" s="3" t="str">
        <f>IF(AND(M1122="",N1122=""),"Extra","")</f>
        <v/>
      </c>
      <c r="P1122" s="3" t="str">
        <f>IF(Q1122=0,"TERCEIRO","MRS")</f>
        <v>MRS</v>
      </c>
      <c r="Q1122" s="8" t="str">
        <f>IFERROR(VLOOKUP(L1122,#REF!,4,0),"0,00")</f>
        <v>0,00</v>
      </c>
      <c r="R1122" s="9" t="s">
        <v>57</v>
      </c>
      <c r="S1122" s="9">
        <f>COUNTIF(D1122,"*_SEG_*")</f>
        <v>0</v>
      </c>
      <c r="T1122" s="9">
        <f>COUNTIF(D1122,"*_MAN_*")</f>
        <v>0</v>
      </c>
      <c r="U1122" s="9">
        <f>(RIGHT(D1122,4))*1</f>
        <v>30</v>
      </c>
      <c r="V1122" s="9" t="str">
        <f>IFERROR(VLOOKUP(I1122,#REF!,2,0),"Sinalização")</f>
        <v>Sinalização</v>
      </c>
    </row>
    <row r="1123" spans="1:22" x14ac:dyDescent="0.25">
      <c r="A1123" s="3" t="s">
        <v>22</v>
      </c>
      <c r="B1123" s="4">
        <v>23511041</v>
      </c>
      <c r="C1123" s="5" t="s">
        <v>23</v>
      </c>
      <c r="D1123" s="6" t="s">
        <v>1041</v>
      </c>
      <c r="E1123" s="6" t="s">
        <v>25</v>
      </c>
      <c r="F1123" s="11">
        <v>46165</v>
      </c>
      <c r="G1123" s="6" t="s">
        <v>1079</v>
      </c>
      <c r="H1123" s="7" t="s">
        <v>26</v>
      </c>
      <c r="I1123" s="7" t="s">
        <v>413</v>
      </c>
      <c r="J1123" s="7" t="s">
        <v>1042</v>
      </c>
      <c r="K1123" s="7" t="s">
        <v>29</v>
      </c>
      <c r="L1123" s="3" t="str">
        <f>E1123&amp;D1123</f>
        <v>E.SP.IPAEE_INS_CONF_C_I_IAS_0030</v>
      </c>
      <c r="M1123" s="3" t="str">
        <f>IFERROR(MID(D1123,SEARCH("S_I_",D1123,1),3),"")</f>
        <v/>
      </c>
      <c r="N1123" s="3" t="str">
        <f>IFERROR(MID(D1123,SEARCH("C_I_",D1123,1),3),"")</f>
        <v>C_I</v>
      </c>
      <c r="O1123" s="3" t="str">
        <f>IF(AND(M1123="",N1123=""),"Extra","")</f>
        <v/>
      </c>
      <c r="P1123" s="3" t="str">
        <f>IF(Q1123=0,"TERCEIRO","MRS")</f>
        <v>MRS</v>
      </c>
      <c r="Q1123" s="8" t="str">
        <f>IFERROR(VLOOKUP(L1123,#REF!,4,0),"0,00")</f>
        <v>0,00</v>
      </c>
      <c r="R1123" s="9" t="s">
        <v>57</v>
      </c>
      <c r="S1123" s="9">
        <f>COUNTIF(D1123,"*_SEG_*")</f>
        <v>0</v>
      </c>
      <c r="T1123" s="9">
        <f>COUNTIF(D1123,"*_MAN_*")</f>
        <v>0</v>
      </c>
      <c r="U1123" s="9">
        <f>(RIGHT(D1123,4))*1</f>
        <v>30</v>
      </c>
      <c r="V1123" s="9" t="str">
        <f>IFERROR(VLOOKUP(I1123,#REF!,2,0),"Sinalização")</f>
        <v>Sinalização</v>
      </c>
    </row>
    <row r="1124" spans="1:22" x14ac:dyDescent="0.25">
      <c r="A1124" s="3" t="s">
        <v>22</v>
      </c>
      <c r="B1124" s="4">
        <v>23511065</v>
      </c>
      <c r="C1124" s="5" t="s">
        <v>23</v>
      </c>
      <c r="D1124" s="6" t="s">
        <v>1041</v>
      </c>
      <c r="E1124" s="6" t="s">
        <v>25</v>
      </c>
      <c r="F1124" s="11">
        <v>46165</v>
      </c>
      <c r="G1124" s="6" t="s">
        <v>1079</v>
      </c>
      <c r="H1124" s="7" t="s">
        <v>26</v>
      </c>
      <c r="I1124" s="7" t="s">
        <v>209</v>
      </c>
      <c r="J1124" s="7" t="s">
        <v>1042</v>
      </c>
      <c r="K1124" s="7" t="s">
        <v>29</v>
      </c>
      <c r="L1124" s="3" t="str">
        <f>E1124&amp;D1124</f>
        <v>E.SP.IPAEE_INS_CONF_C_I_IAS_0030</v>
      </c>
      <c r="M1124" s="3" t="str">
        <f>IFERROR(MID(D1124,SEARCH("S_I_",D1124,1),3),"")</f>
        <v/>
      </c>
      <c r="N1124" s="3" t="str">
        <f>IFERROR(MID(D1124,SEARCH("C_I_",D1124,1),3),"")</f>
        <v>C_I</v>
      </c>
      <c r="O1124" s="3" t="str">
        <f>IF(AND(M1124="",N1124=""),"Extra","")</f>
        <v/>
      </c>
      <c r="P1124" s="3" t="str">
        <f>IF(Q1124=0,"TERCEIRO","MRS")</f>
        <v>MRS</v>
      </c>
      <c r="Q1124" s="8" t="str">
        <f>IFERROR(VLOOKUP(L1124,#REF!,4,0),"0,00")</f>
        <v>0,00</v>
      </c>
      <c r="R1124" s="9" t="s">
        <v>57</v>
      </c>
      <c r="S1124" s="9">
        <f>COUNTIF(D1124,"*_SEG_*")</f>
        <v>0</v>
      </c>
      <c r="T1124" s="9">
        <f>COUNTIF(D1124,"*_MAN_*")</f>
        <v>0</v>
      </c>
      <c r="U1124" s="9">
        <f>(RIGHT(D1124,4))*1</f>
        <v>30</v>
      </c>
      <c r="V1124" s="9" t="str">
        <f>IFERROR(VLOOKUP(I1124,#REF!,2,0),"Sinalização")</f>
        <v>Sinalização</v>
      </c>
    </row>
    <row r="1125" spans="1:22" x14ac:dyDescent="0.25">
      <c r="A1125" s="3" t="s">
        <v>22</v>
      </c>
      <c r="B1125" s="4">
        <v>23511066</v>
      </c>
      <c r="C1125" s="5" t="s">
        <v>23</v>
      </c>
      <c r="D1125" s="6" t="s">
        <v>1041</v>
      </c>
      <c r="E1125" s="6" t="s">
        <v>25</v>
      </c>
      <c r="F1125" s="11">
        <v>46165</v>
      </c>
      <c r="G1125" s="6" t="s">
        <v>1079</v>
      </c>
      <c r="H1125" s="7" t="s">
        <v>26</v>
      </c>
      <c r="I1125" s="7" t="s">
        <v>1035</v>
      </c>
      <c r="J1125" s="7" t="s">
        <v>1042</v>
      </c>
      <c r="K1125" s="7" t="s">
        <v>29</v>
      </c>
      <c r="L1125" s="3" t="str">
        <f>E1125&amp;D1125</f>
        <v>E.SP.IPAEE_INS_CONF_C_I_IAS_0030</v>
      </c>
      <c r="M1125" s="3" t="str">
        <f>IFERROR(MID(D1125,SEARCH("S_I_",D1125,1),3),"")</f>
        <v/>
      </c>
      <c r="N1125" s="3" t="str">
        <f>IFERROR(MID(D1125,SEARCH("C_I_",D1125,1),3),"")</f>
        <v>C_I</v>
      </c>
      <c r="O1125" s="3" t="str">
        <f>IF(AND(M1125="",N1125=""),"Extra","")</f>
        <v/>
      </c>
      <c r="P1125" s="3" t="str">
        <f>IF(Q1125=0,"TERCEIRO","MRS")</f>
        <v>MRS</v>
      </c>
      <c r="Q1125" s="8" t="str">
        <f>IFERROR(VLOOKUP(L1125,#REF!,4,0),"0,00")</f>
        <v>0,00</v>
      </c>
      <c r="R1125" s="9" t="s">
        <v>57</v>
      </c>
      <c r="S1125" s="9">
        <f>COUNTIF(D1125,"*_SEG_*")</f>
        <v>0</v>
      </c>
      <c r="T1125" s="9">
        <f>COUNTIF(D1125,"*_MAN_*")</f>
        <v>0</v>
      </c>
      <c r="U1125" s="9">
        <f>(RIGHT(D1125,4))*1</f>
        <v>30</v>
      </c>
      <c r="V1125" s="9" t="str">
        <f>IFERROR(VLOOKUP(I1125,#REF!,2,0),"Sinalização")</f>
        <v>Sinalização</v>
      </c>
    </row>
    <row r="1126" spans="1:22" x14ac:dyDescent="0.25">
      <c r="A1126" s="3" t="s">
        <v>22</v>
      </c>
      <c r="B1126" s="4">
        <v>23511067</v>
      </c>
      <c r="C1126" s="5" t="s">
        <v>23</v>
      </c>
      <c r="D1126" s="6" t="s">
        <v>1041</v>
      </c>
      <c r="E1126" s="6" t="s">
        <v>25</v>
      </c>
      <c r="F1126" s="11">
        <v>46165</v>
      </c>
      <c r="G1126" s="6" t="s">
        <v>1079</v>
      </c>
      <c r="H1126" s="7" t="s">
        <v>26</v>
      </c>
      <c r="I1126" s="7" t="s">
        <v>211</v>
      </c>
      <c r="J1126" s="7" t="s">
        <v>1042</v>
      </c>
      <c r="K1126" s="7" t="s">
        <v>29</v>
      </c>
      <c r="L1126" s="3" t="str">
        <f>E1126&amp;D1126</f>
        <v>E.SP.IPAEE_INS_CONF_C_I_IAS_0030</v>
      </c>
      <c r="M1126" s="3" t="str">
        <f>IFERROR(MID(D1126,SEARCH("S_I_",D1126,1),3),"")</f>
        <v/>
      </c>
      <c r="N1126" s="3" t="str">
        <f>IFERROR(MID(D1126,SEARCH("C_I_",D1126,1),3),"")</f>
        <v>C_I</v>
      </c>
      <c r="O1126" s="3" t="str">
        <f>IF(AND(M1126="",N1126=""),"Extra","")</f>
        <v/>
      </c>
      <c r="P1126" s="3" t="str">
        <f>IF(Q1126=0,"TERCEIRO","MRS")</f>
        <v>MRS</v>
      </c>
      <c r="Q1126" s="8" t="str">
        <f>IFERROR(VLOOKUP(L1126,#REF!,4,0),"0,00")</f>
        <v>0,00</v>
      </c>
      <c r="R1126" s="9" t="s">
        <v>57</v>
      </c>
      <c r="S1126" s="9">
        <f>COUNTIF(D1126,"*_SEG_*")</f>
        <v>0</v>
      </c>
      <c r="T1126" s="9">
        <f>COUNTIF(D1126,"*_MAN_*")</f>
        <v>0</v>
      </c>
      <c r="U1126" s="9">
        <f>(RIGHT(D1126,4))*1</f>
        <v>30</v>
      </c>
      <c r="V1126" s="9" t="str">
        <f>IFERROR(VLOOKUP(I1126,#REF!,2,0),"Sinalização")</f>
        <v>Sinalização</v>
      </c>
    </row>
    <row r="1127" spans="1:22" x14ac:dyDescent="0.25">
      <c r="A1127" s="3" t="s">
        <v>22</v>
      </c>
      <c r="B1127" s="4">
        <v>23511068</v>
      </c>
      <c r="C1127" s="5" t="s">
        <v>23</v>
      </c>
      <c r="D1127" s="6" t="s">
        <v>1041</v>
      </c>
      <c r="E1127" s="6" t="s">
        <v>25</v>
      </c>
      <c r="F1127" s="11">
        <v>46165</v>
      </c>
      <c r="G1127" s="6" t="s">
        <v>1079</v>
      </c>
      <c r="H1127" s="7" t="s">
        <v>26</v>
      </c>
      <c r="I1127" s="7" t="s">
        <v>1034</v>
      </c>
      <c r="J1127" s="7" t="s">
        <v>1042</v>
      </c>
      <c r="K1127" s="7" t="s">
        <v>29</v>
      </c>
      <c r="L1127" s="3" t="str">
        <f>E1127&amp;D1127</f>
        <v>E.SP.IPAEE_INS_CONF_C_I_IAS_0030</v>
      </c>
      <c r="M1127" s="3" t="str">
        <f>IFERROR(MID(D1127,SEARCH("S_I_",D1127,1),3),"")</f>
        <v/>
      </c>
      <c r="N1127" s="3" t="str">
        <f>IFERROR(MID(D1127,SEARCH("C_I_",D1127,1),3),"")</f>
        <v>C_I</v>
      </c>
      <c r="O1127" s="3" t="str">
        <f>IF(AND(M1127="",N1127=""),"Extra","")</f>
        <v/>
      </c>
      <c r="P1127" s="3" t="str">
        <f>IF(Q1127=0,"TERCEIRO","MRS")</f>
        <v>MRS</v>
      </c>
      <c r="Q1127" s="8" t="str">
        <f>IFERROR(VLOOKUP(L1127,#REF!,4,0),"0,00")</f>
        <v>0,00</v>
      </c>
      <c r="R1127" s="9" t="s">
        <v>57</v>
      </c>
      <c r="S1127" s="9">
        <f>COUNTIF(D1127,"*_SEG_*")</f>
        <v>0</v>
      </c>
      <c r="T1127" s="9">
        <f>COUNTIF(D1127,"*_MAN_*")</f>
        <v>0</v>
      </c>
      <c r="U1127" s="9">
        <f>(RIGHT(D1127,4))*1</f>
        <v>30</v>
      </c>
      <c r="V1127" s="9" t="str">
        <f>IFERROR(VLOOKUP(I1127,#REF!,2,0),"Sinalização")</f>
        <v>Sinalização</v>
      </c>
    </row>
    <row r="1128" spans="1:22" x14ac:dyDescent="0.25">
      <c r="A1128" s="3" t="s">
        <v>22</v>
      </c>
      <c r="B1128" s="4">
        <v>23511069</v>
      </c>
      <c r="C1128" s="5" t="s">
        <v>23</v>
      </c>
      <c r="D1128" s="6" t="s">
        <v>1041</v>
      </c>
      <c r="E1128" s="6" t="s">
        <v>25</v>
      </c>
      <c r="F1128" s="11">
        <v>46165</v>
      </c>
      <c r="G1128" s="6" t="s">
        <v>1079</v>
      </c>
      <c r="H1128" s="7" t="s">
        <v>26</v>
      </c>
      <c r="I1128" s="7" t="s">
        <v>210</v>
      </c>
      <c r="J1128" s="7" t="s">
        <v>1042</v>
      </c>
      <c r="K1128" s="7" t="s">
        <v>29</v>
      </c>
      <c r="L1128" s="3" t="str">
        <f>E1128&amp;D1128</f>
        <v>E.SP.IPAEE_INS_CONF_C_I_IAS_0030</v>
      </c>
      <c r="M1128" s="3" t="str">
        <f>IFERROR(MID(D1128,SEARCH("S_I_",D1128,1),3),"")</f>
        <v/>
      </c>
      <c r="N1128" s="3" t="str">
        <f>IFERROR(MID(D1128,SEARCH("C_I_",D1128,1),3),"")</f>
        <v>C_I</v>
      </c>
      <c r="O1128" s="3" t="str">
        <f>IF(AND(M1128="",N1128=""),"Extra","")</f>
        <v/>
      </c>
      <c r="P1128" s="3" t="str">
        <f>IF(Q1128=0,"TERCEIRO","MRS")</f>
        <v>MRS</v>
      </c>
      <c r="Q1128" s="8" t="str">
        <f>IFERROR(VLOOKUP(L1128,#REF!,4,0),"0,00")</f>
        <v>0,00</v>
      </c>
      <c r="R1128" s="9" t="s">
        <v>57</v>
      </c>
      <c r="S1128" s="9">
        <f>COUNTIF(D1128,"*_SEG_*")</f>
        <v>0</v>
      </c>
      <c r="T1128" s="9">
        <f>COUNTIF(D1128,"*_MAN_*")</f>
        <v>0</v>
      </c>
      <c r="U1128" s="9">
        <f>(RIGHT(D1128,4))*1</f>
        <v>30</v>
      </c>
      <c r="V1128" s="9" t="str">
        <f>IFERROR(VLOOKUP(I1128,#REF!,2,0),"Sinalização")</f>
        <v>Sinalização</v>
      </c>
    </row>
    <row r="1129" spans="1:22" x14ac:dyDescent="0.25">
      <c r="A1129" s="3" t="s">
        <v>22</v>
      </c>
      <c r="B1129" s="4">
        <v>23511070</v>
      </c>
      <c r="C1129" s="5" t="s">
        <v>23</v>
      </c>
      <c r="D1129" s="6" t="s">
        <v>1041</v>
      </c>
      <c r="E1129" s="6" t="s">
        <v>25</v>
      </c>
      <c r="F1129" s="11">
        <v>46165</v>
      </c>
      <c r="G1129" s="6" t="s">
        <v>1079</v>
      </c>
      <c r="H1129" s="7" t="s">
        <v>26</v>
      </c>
      <c r="I1129" s="7" t="s">
        <v>1019</v>
      </c>
      <c r="J1129" s="7" t="s">
        <v>1042</v>
      </c>
      <c r="K1129" s="7" t="s">
        <v>29</v>
      </c>
      <c r="L1129" s="3" t="str">
        <f>E1129&amp;D1129</f>
        <v>E.SP.IPAEE_INS_CONF_C_I_IAS_0030</v>
      </c>
      <c r="M1129" s="3" t="str">
        <f>IFERROR(MID(D1129,SEARCH("S_I_",D1129,1),3),"")</f>
        <v/>
      </c>
      <c r="N1129" s="3" t="str">
        <f>IFERROR(MID(D1129,SEARCH("C_I_",D1129,1),3),"")</f>
        <v>C_I</v>
      </c>
      <c r="O1129" s="3" t="str">
        <f>IF(AND(M1129="",N1129=""),"Extra","")</f>
        <v/>
      </c>
      <c r="P1129" s="3" t="str">
        <f>IF(Q1129=0,"TERCEIRO","MRS")</f>
        <v>MRS</v>
      </c>
      <c r="Q1129" s="8" t="str">
        <f>IFERROR(VLOOKUP(L1129,#REF!,4,0),"0,00")</f>
        <v>0,00</v>
      </c>
      <c r="R1129" s="9" t="s">
        <v>57</v>
      </c>
      <c r="S1129" s="9">
        <f>COUNTIF(D1129,"*_SEG_*")</f>
        <v>0</v>
      </c>
      <c r="T1129" s="9">
        <f>COUNTIF(D1129,"*_MAN_*")</f>
        <v>0</v>
      </c>
      <c r="U1129" s="9">
        <f>(RIGHT(D1129,4))*1</f>
        <v>30</v>
      </c>
      <c r="V1129" s="9" t="str">
        <f>IFERROR(VLOOKUP(I1129,#REF!,2,0),"Sinalização")</f>
        <v>Sinalização</v>
      </c>
    </row>
    <row r="1130" spans="1:22" x14ac:dyDescent="0.25">
      <c r="A1130" s="3" t="s">
        <v>22</v>
      </c>
      <c r="B1130" s="4">
        <v>23511071</v>
      </c>
      <c r="C1130" s="5" t="s">
        <v>23</v>
      </c>
      <c r="D1130" s="6" t="s">
        <v>1041</v>
      </c>
      <c r="E1130" s="6" t="s">
        <v>25</v>
      </c>
      <c r="F1130" s="11">
        <v>46165</v>
      </c>
      <c r="G1130" s="6" t="s">
        <v>1079</v>
      </c>
      <c r="H1130" s="7" t="s">
        <v>26</v>
      </c>
      <c r="I1130" s="7" t="s">
        <v>1018</v>
      </c>
      <c r="J1130" s="7" t="s">
        <v>1042</v>
      </c>
      <c r="K1130" s="7" t="s">
        <v>29</v>
      </c>
      <c r="L1130" s="3" t="str">
        <f>E1130&amp;D1130</f>
        <v>E.SP.IPAEE_INS_CONF_C_I_IAS_0030</v>
      </c>
      <c r="M1130" s="3" t="str">
        <f>IFERROR(MID(D1130,SEARCH("S_I_",D1130,1),3),"")</f>
        <v/>
      </c>
      <c r="N1130" s="3" t="str">
        <f>IFERROR(MID(D1130,SEARCH("C_I_",D1130,1),3),"")</f>
        <v>C_I</v>
      </c>
      <c r="O1130" s="3" t="str">
        <f>IF(AND(M1130="",N1130=""),"Extra","")</f>
        <v/>
      </c>
      <c r="P1130" s="3" t="str">
        <f>IF(Q1130=0,"TERCEIRO","MRS")</f>
        <v>MRS</v>
      </c>
      <c r="Q1130" s="8" t="str">
        <f>IFERROR(VLOOKUP(L1130,#REF!,4,0),"0,00")</f>
        <v>0,00</v>
      </c>
      <c r="R1130" s="9" t="s">
        <v>57</v>
      </c>
      <c r="S1130" s="9">
        <f>COUNTIF(D1130,"*_SEG_*")</f>
        <v>0</v>
      </c>
      <c r="T1130" s="9">
        <f>COUNTIF(D1130,"*_MAN_*")</f>
        <v>0</v>
      </c>
      <c r="U1130" s="9">
        <f>(RIGHT(D1130,4))*1</f>
        <v>30</v>
      </c>
      <c r="V1130" s="9" t="str">
        <f>IFERROR(VLOOKUP(I1130,#REF!,2,0),"Sinalização")</f>
        <v>Sinalização</v>
      </c>
    </row>
    <row r="1131" spans="1:22" x14ac:dyDescent="0.25">
      <c r="A1131" s="3" t="s">
        <v>22</v>
      </c>
      <c r="B1131" s="4">
        <v>23511072</v>
      </c>
      <c r="C1131" s="5" t="s">
        <v>23</v>
      </c>
      <c r="D1131" s="6" t="s">
        <v>1041</v>
      </c>
      <c r="E1131" s="6" t="s">
        <v>25</v>
      </c>
      <c r="F1131" s="11">
        <v>46165</v>
      </c>
      <c r="G1131" s="6" t="s">
        <v>1079</v>
      </c>
      <c r="H1131" s="7" t="s">
        <v>26</v>
      </c>
      <c r="I1131" s="7" t="s">
        <v>1021</v>
      </c>
      <c r="J1131" s="7" t="s">
        <v>1042</v>
      </c>
      <c r="K1131" s="7" t="s">
        <v>29</v>
      </c>
      <c r="L1131" s="3" t="str">
        <f>E1131&amp;D1131</f>
        <v>E.SP.IPAEE_INS_CONF_C_I_IAS_0030</v>
      </c>
      <c r="M1131" s="3" t="str">
        <f>IFERROR(MID(D1131,SEARCH("S_I_",D1131,1),3),"")</f>
        <v/>
      </c>
      <c r="N1131" s="3" t="str">
        <f>IFERROR(MID(D1131,SEARCH("C_I_",D1131,1),3),"")</f>
        <v>C_I</v>
      </c>
      <c r="O1131" s="3" t="str">
        <f>IF(AND(M1131="",N1131=""),"Extra","")</f>
        <v/>
      </c>
      <c r="P1131" s="3" t="str">
        <f>IF(Q1131=0,"TERCEIRO","MRS")</f>
        <v>MRS</v>
      </c>
      <c r="Q1131" s="8" t="str">
        <f>IFERROR(VLOOKUP(L1131,#REF!,4,0),"0,00")</f>
        <v>0,00</v>
      </c>
      <c r="R1131" s="9" t="s">
        <v>57</v>
      </c>
      <c r="S1131" s="9">
        <f>COUNTIF(D1131,"*_SEG_*")</f>
        <v>0</v>
      </c>
      <c r="T1131" s="9">
        <f>COUNTIF(D1131,"*_MAN_*")</f>
        <v>0</v>
      </c>
      <c r="U1131" s="9">
        <f>(RIGHT(D1131,4))*1</f>
        <v>30</v>
      </c>
      <c r="V1131" s="9" t="str">
        <f>IFERROR(VLOOKUP(I1131,#REF!,2,0),"Sinalização")</f>
        <v>Sinalização</v>
      </c>
    </row>
    <row r="1132" spans="1:22" x14ac:dyDescent="0.25">
      <c r="A1132" s="3" t="s">
        <v>22</v>
      </c>
      <c r="B1132" s="4">
        <v>23511073</v>
      </c>
      <c r="C1132" s="5" t="s">
        <v>23</v>
      </c>
      <c r="D1132" s="6" t="s">
        <v>1041</v>
      </c>
      <c r="E1132" s="6" t="s">
        <v>25</v>
      </c>
      <c r="F1132" s="11">
        <v>46165</v>
      </c>
      <c r="G1132" s="6" t="s">
        <v>1079</v>
      </c>
      <c r="H1132" s="7" t="s">
        <v>26</v>
      </c>
      <c r="I1132" s="7" t="s">
        <v>1031</v>
      </c>
      <c r="J1132" s="7" t="s">
        <v>1042</v>
      </c>
      <c r="K1132" s="7" t="s">
        <v>29</v>
      </c>
      <c r="L1132" s="3" t="str">
        <f>E1132&amp;D1132</f>
        <v>E.SP.IPAEE_INS_CONF_C_I_IAS_0030</v>
      </c>
      <c r="M1132" s="3" t="str">
        <f>IFERROR(MID(D1132,SEARCH("S_I_",D1132,1),3),"")</f>
        <v/>
      </c>
      <c r="N1132" s="3" t="str">
        <f>IFERROR(MID(D1132,SEARCH("C_I_",D1132,1),3),"")</f>
        <v>C_I</v>
      </c>
      <c r="O1132" s="3" t="str">
        <f>IF(AND(M1132="",N1132=""),"Extra","")</f>
        <v/>
      </c>
      <c r="P1132" s="3" t="str">
        <f>IF(Q1132=0,"TERCEIRO","MRS")</f>
        <v>MRS</v>
      </c>
      <c r="Q1132" s="8" t="str">
        <f>IFERROR(VLOOKUP(L1132,#REF!,4,0),"0,00")</f>
        <v>0,00</v>
      </c>
      <c r="R1132" s="9" t="s">
        <v>57</v>
      </c>
      <c r="S1132" s="9">
        <f>COUNTIF(D1132,"*_SEG_*")</f>
        <v>0</v>
      </c>
      <c r="T1132" s="9">
        <f>COUNTIF(D1132,"*_MAN_*")</f>
        <v>0</v>
      </c>
      <c r="U1132" s="9">
        <f>(RIGHT(D1132,4))*1</f>
        <v>30</v>
      </c>
      <c r="V1132" s="9" t="str">
        <f>IFERROR(VLOOKUP(I1132,#REF!,2,0),"Sinalização")</f>
        <v>Sinalização</v>
      </c>
    </row>
    <row r="1133" spans="1:22" x14ac:dyDescent="0.25">
      <c r="A1133" s="3" t="s">
        <v>22</v>
      </c>
      <c r="B1133" s="4">
        <v>23511074</v>
      </c>
      <c r="C1133" s="5" t="s">
        <v>23</v>
      </c>
      <c r="D1133" s="6" t="s">
        <v>1041</v>
      </c>
      <c r="E1133" s="6" t="s">
        <v>25</v>
      </c>
      <c r="F1133" s="11">
        <v>46165</v>
      </c>
      <c r="G1133" s="6" t="s">
        <v>1079</v>
      </c>
      <c r="H1133" s="7" t="s">
        <v>26</v>
      </c>
      <c r="I1133" s="7" t="s">
        <v>1032</v>
      </c>
      <c r="J1133" s="7" t="s">
        <v>1042</v>
      </c>
      <c r="K1133" s="7" t="s">
        <v>29</v>
      </c>
      <c r="L1133" s="3" t="str">
        <f>E1133&amp;D1133</f>
        <v>E.SP.IPAEE_INS_CONF_C_I_IAS_0030</v>
      </c>
      <c r="M1133" s="3" t="str">
        <f>IFERROR(MID(D1133,SEARCH("S_I_",D1133,1),3),"")</f>
        <v/>
      </c>
      <c r="N1133" s="3" t="str">
        <f>IFERROR(MID(D1133,SEARCH("C_I_",D1133,1),3),"")</f>
        <v>C_I</v>
      </c>
      <c r="O1133" s="3" t="str">
        <f>IF(AND(M1133="",N1133=""),"Extra","")</f>
        <v/>
      </c>
      <c r="P1133" s="3" t="str">
        <f>IF(Q1133=0,"TERCEIRO","MRS")</f>
        <v>MRS</v>
      </c>
      <c r="Q1133" s="8" t="str">
        <f>IFERROR(VLOOKUP(L1133,#REF!,4,0),"0,00")</f>
        <v>0,00</v>
      </c>
      <c r="R1133" s="9" t="s">
        <v>57</v>
      </c>
      <c r="S1133" s="9">
        <f>COUNTIF(D1133,"*_SEG_*")</f>
        <v>0</v>
      </c>
      <c r="T1133" s="9">
        <f>COUNTIF(D1133,"*_MAN_*")</f>
        <v>0</v>
      </c>
      <c r="U1133" s="9">
        <f>(RIGHT(D1133,4))*1</f>
        <v>30</v>
      </c>
      <c r="V1133" s="9" t="str">
        <f>IFERROR(VLOOKUP(I1133,#REF!,2,0),"Sinalização")</f>
        <v>Sinalização</v>
      </c>
    </row>
    <row r="1134" spans="1:22" x14ac:dyDescent="0.25">
      <c r="A1134" s="3" t="s">
        <v>22</v>
      </c>
      <c r="B1134" s="4">
        <v>23511119</v>
      </c>
      <c r="C1134" s="5" t="s">
        <v>23</v>
      </c>
      <c r="D1134" s="6" t="s">
        <v>1043</v>
      </c>
      <c r="E1134" s="6" t="s">
        <v>25</v>
      </c>
      <c r="F1134" s="11">
        <v>46165</v>
      </c>
      <c r="G1134" s="6" t="s">
        <v>1079</v>
      </c>
      <c r="H1134" s="7" t="s">
        <v>26</v>
      </c>
      <c r="I1134" s="7" t="s">
        <v>937</v>
      </c>
      <c r="J1134" s="7" t="s">
        <v>822</v>
      </c>
      <c r="K1134" s="7" t="s">
        <v>29</v>
      </c>
      <c r="L1134" s="3" t="str">
        <f>E1134&amp;D1134</f>
        <v>E.SP.IPAEE_INS_SEG_S_I_CIRCUITO A DIODO_0030</v>
      </c>
      <c r="M1134" s="3" t="str">
        <f>IFERROR(MID(D1134,SEARCH("S_I_",D1134,1),3),"")</f>
        <v>S_I</v>
      </c>
      <c r="N1134" s="3" t="str">
        <f>IFERROR(MID(D1134,SEARCH("C_I_",D1134,1),3),"")</f>
        <v/>
      </c>
      <c r="O1134" s="3" t="str">
        <f>IF(AND(M1134="",N1134=""),"Extra","")</f>
        <v/>
      </c>
      <c r="P1134" s="3" t="str">
        <f>IF(Q1134=0,"TERCEIRO","MRS")</f>
        <v>MRS</v>
      </c>
      <c r="Q1134" s="8" t="str">
        <f>IFERROR(VLOOKUP(L1134,#REF!,4,0),"0,00")</f>
        <v>0,00</v>
      </c>
      <c r="R1134" s="9" t="s">
        <v>30</v>
      </c>
      <c r="S1134" s="9">
        <f>COUNTIF(D1134,"*_SEG_*")</f>
        <v>1</v>
      </c>
      <c r="T1134" s="9">
        <f>COUNTIF(D1134,"*_MAN_*")</f>
        <v>0</v>
      </c>
      <c r="U1134" s="9">
        <f>(RIGHT(D1134,4))*1</f>
        <v>30</v>
      </c>
      <c r="V1134" s="9" t="str">
        <f>IFERROR(VLOOKUP(I1134,#REF!,2,0),"Sinalização")</f>
        <v>Sinalização</v>
      </c>
    </row>
    <row r="1135" spans="1:22" x14ac:dyDescent="0.25">
      <c r="A1135" s="3" t="s">
        <v>22</v>
      </c>
      <c r="B1135" s="4">
        <v>23511120</v>
      </c>
      <c r="C1135" s="5" t="s">
        <v>23</v>
      </c>
      <c r="D1135" s="6" t="s">
        <v>1043</v>
      </c>
      <c r="E1135" s="6" t="s">
        <v>25</v>
      </c>
      <c r="F1135" s="11">
        <v>46165</v>
      </c>
      <c r="G1135" s="6" t="s">
        <v>1079</v>
      </c>
      <c r="H1135" s="7" t="s">
        <v>26</v>
      </c>
      <c r="I1135" s="7" t="s">
        <v>939</v>
      </c>
      <c r="J1135" s="7" t="s">
        <v>822</v>
      </c>
      <c r="K1135" s="7" t="s">
        <v>29</v>
      </c>
      <c r="L1135" s="3" t="str">
        <f>E1135&amp;D1135</f>
        <v>E.SP.IPAEE_INS_SEG_S_I_CIRCUITO A DIODO_0030</v>
      </c>
      <c r="M1135" s="3" t="str">
        <f>IFERROR(MID(D1135,SEARCH("S_I_",D1135,1),3),"")</f>
        <v>S_I</v>
      </c>
      <c r="N1135" s="3" t="str">
        <f>IFERROR(MID(D1135,SEARCH("C_I_",D1135,1),3),"")</f>
        <v/>
      </c>
      <c r="O1135" s="3" t="str">
        <f>IF(AND(M1135="",N1135=""),"Extra","")</f>
        <v/>
      </c>
      <c r="P1135" s="3" t="str">
        <f>IF(Q1135=0,"TERCEIRO","MRS")</f>
        <v>MRS</v>
      </c>
      <c r="Q1135" s="8" t="str">
        <f>IFERROR(VLOOKUP(L1135,#REF!,4,0),"0,00")</f>
        <v>0,00</v>
      </c>
      <c r="R1135" s="9" t="s">
        <v>30</v>
      </c>
      <c r="S1135" s="9">
        <f>COUNTIF(D1135,"*_SEG_*")</f>
        <v>1</v>
      </c>
      <c r="T1135" s="9">
        <f>COUNTIF(D1135,"*_MAN_*")</f>
        <v>0</v>
      </c>
      <c r="U1135" s="9">
        <f>(RIGHT(D1135,4))*1</f>
        <v>30</v>
      </c>
      <c r="V1135" s="9" t="str">
        <f>IFERROR(VLOOKUP(I1135,#REF!,2,0),"Sinalização")</f>
        <v>Sinalização</v>
      </c>
    </row>
    <row r="1136" spans="1:22" x14ac:dyDescent="0.25">
      <c r="A1136" s="3" t="s">
        <v>22</v>
      </c>
      <c r="B1136" s="4">
        <v>23511121</v>
      </c>
      <c r="C1136" s="5" t="s">
        <v>23</v>
      </c>
      <c r="D1136" s="6" t="s">
        <v>1043</v>
      </c>
      <c r="E1136" s="6" t="s">
        <v>25</v>
      </c>
      <c r="F1136" s="11">
        <v>46165</v>
      </c>
      <c r="G1136" s="6" t="s">
        <v>1079</v>
      </c>
      <c r="H1136" s="7" t="s">
        <v>26</v>
      </c>
      <c r="I1136" s="7" t="s">
        <v>940</v>
      </c>
      <c r="J1136" s="7" t="s">
        <v>822</v>
      </c>
      <c r="K1136" s="7" t="s">
        <v>29</v>
      </c>
      <c r="L1136" s="3" t="str">
        <f>E1136&amp;D1136</f>
        <v>E.SP.IPAEE_INS_SEG_S_I_CIRCUITO A DIODO_0030</v>
      </c>
      <c r="M1136" s="3" t="str">
        <f>IFERROR(MID(D1136,SEARCH("S_I_",D1136,1),3),"")</f>
        <v>S_I</v>
      </c>
      <c r="N1136" s="3" t="str">
        <f>IFERROR(MID(D1136,SEARCH("C_I_",D1136,1),3),"")</f>
        <v/>
      </c>
      <c r="O1136" s="3" t="str">
        <f>IF(AND(M1136="",N1136=""),"Extra","")</f>
        <v/>
      </c>
      <c r="P1136" s="3" t="str">
        <f>IF(Q1136=0,"TERCEIRO","MRS")</f>
        <v>MRS</v>
      </c>
      <c r="Q1136" s="8" t="str">
        <f>IFERROR(VLOOKUP(L1136,#REF!,4,0),"0,00")</f>
        <v>0,00</v>
      </c>
      <c r="R1136" s="9" t="s">
        <v>30</v>
      </c>
      <c r="S1136" s="9">
        <f>COUNTIF(D1136,"*_SEG_*")</f>
        <v>1</v>
      </c>
      <c r="T1136" s="9">
        <f>COUNTIF(D1136,"*_MAN_*")</f>
        <v>0</v>
      </c>
      <c r="U1136" s="9">
        <f>(RIGHT(D1136,4))*1</f>
        <v>30</v>
      </c>
      <c r="V1136" s="9" t="str">
        <f>IFERROR(VLOOKUP(I1136,#REF!,2,0),"Sinalização")</f>
        <v>Sinalização</v>
      </c>
    </row>
    <row r="1137" spans="1:22" x14ac:dyDescent="0.25">
      <c r="A1137" s="3" t="s">
        <v>22</v>
      </c>
      <c r="B1137" s="4">
        <v>23511122</v>
      </c>
      <c r="C1137" s="5" t="s">
        <v>23</v>
      </c>
      <c r="D1137" s="6" t="s">
        <v>1043</v>
      </c>
      <c r="E1137" s="6" t="s">
        <v>25</v>
      </c>
      <c r="F1137" s="11">
        <v>46165</v>
      </c>
      <c r="G1137" s="6" t="s">
        <v>1079</v>
      </c>
      <c r="H1137" s="7" t="s">
        <v>26</v>
      </c>
      <c r="I1137" s="7" t="s">
        <v>250</v>
      </c>
      <c r="J1137" s="7" t="s">
        <v>822</v>
      </c>
      <c r="K1137" s="7" t="s">
        <v>29</v>
      </c>
      <c r="L1137" s="3" t="str">
        <f>E1137&amp;D1137</f>
        <v>E.SP.IPAEE_INS_SEG_S_I_CIRCUITO A DIODO_0030</v>
      </c>
      <c r="M1137" s="3" t="str">
        <f>IFERROR(MID(D1137,SEARCH("S_I_",D1137,1),3),"")</f>
        <v>S_I</v>
      </c>
      <c r="N1137" s="3" t="str">
        <f>IFERROR(MID(D1137,SEARCH("C_I_",D1137,1),3),"")</f>
        <v/>
      </c>
      <c r="O1137" s="3" t="str">
        <f>IF(AND(M1137="",N1137=""),"Extra","")</f>
        <v/>
      </c>
      <c r="P1137" s="3" t="str">
        <f>IF(Q1137=0,"TERCEIRO","MRS")</f>
        <v>MRS</v>
      </c>
      <c r="Q1137" s="8" t="str">
        <f>IFERROR(VLOOKUP(L1137,#REF!,4,0),"0,00")</f>
        <v>0,00</v>
      </c>
      <c r="R1137" s="9" t="s">
        <v>30</v>
      </c>
      <c r="S1137" s="9">
        <f>COUNTIF(D1137,"*_SEG_*")</f>
        <v>1</v>
      </c>
      <c r="T1137" s="9">
        <f>COUNTIF(D1137,"*_MAN_*")</f>
        <v>0</v>
      </c>
      <c r="U1137" s="9">
        <f>(RIGHT(D1137,4))*1</f>
        <v>30</v>
      </c>
      <c r="V1137" s="9" t="str">
        <f>IFERROR(VLOOKUP(I1137,#REF!,2,0),"Sinalização")</f>
        <v>Sinalização</v>
      </c>
    </row>
    <row r="1138" spans="1:22" x14ac:dyDescent="0.25">
      <c r="A1138" s="3" t="s">
        <v>22</v>
      </c>
      <c r="B1138" s="4">
        <v>23511123</v>
      </c>
      <c r="C1138" s="5" t="s">
        <v>23</v>
      </c>
      <c r="D1138" s="6" t="s">
        <v>1043</v>
      </c>
      <c r="E1138" s="6" t="s">
        <v>25</v>
      </c>
      <c r="F1138" s="11">
        <v>46165</v>
      </c>
      <c r="G1138" s="6" t="s">
        <v>1079</v>
      </c>
      <c r="H1138" s="7" t="s">
        <v>26</v>
      </c>
      <c r="I1138" s="7" t="s">
        <v>251</v>
      </c>
      <c r="J1138" s="7" t="s">
        <v>822</v>
      </c>
      <c r="K1138" s="7" t="s">
        <v>29</v>
      </c>
      <c r="L1138" s="3" t="str">
        <f>E1138&amp;D1138</f>
        <v>E.SP.IPAEE_INS_SEG_S_I_CIRCUITO A DIODO_0030</v>
      </c>
      <c r="M1138" s="3" t="str">
        <f>IFERROR(MID(D1138,SEARCH("S_I_",D1138,1),3),"")</f>
        <v>S_I</v>
      </c>
      <c r="N1138" s="3" t="str">
        <f>IFERROR(MID(D1138,SEARCH("C_I_",D1138,1),3),"")</f>
        <v/>
      </c>
      <c r="O1138" s="3" t="str">
        <f>IF(AND(M1138="",N1138=""),"Extra","")</f>
        <v/>
      </c>
      <c r="P1138" s="3" t="str">
        <f>IF(Q1138=0,"TERCEIRO","MRS")</f>
        <v>MRS</v>
      </c>
      <c r="Q1138" s="8" t="str">
        <f>IFERROR(VLOOKUP(L1138,#REF!,4,0),"0,00")</f>
        <v>0,00</v>
      </c>
      <c r="R1138" s="9" t="s">
        <v>30</v>
      </c>
      <c r="S1138" s="9">
        <f>COUNTIF(D1138,"*_SEG_*")</f>
        <v>1</v>
      </c>
      <c r="T1138" s="9">
        <f>COUNTIF(D1138,"*_MAN_*")</f>
        <v>0</v>
      </c>
      <c r="U1138" s="9">
        <f>(RIGHT(D1138,4))*1</f>
        <v>30</v>
      </c>
      <c r="V1138" s="9" t="str">
        <f>IFERROR(VLOOKUP(I1138,#REF!,2,0),"Sinalização")</f>
        <v>Sinalização</v>
      </c>
    </row>
    <row r="1139" spans="1:22" x14ac:dyDescent="0.25">
      <c r="A1139" s="3" t="s">
        <v>22</v>
      </c>
      <c r="B1139" s="4">
        <v>23511149</v>
      </c>
      <c r="C1139" s="5" t="s">
        <v>23</v>
      </c>
      <c r="D1139" s="6" t="s">
        <v>804</v>
      </c>
      <c r="E1139" s="6" t="s">
        <v>25</v>
      </c>
      <c r="F1139" s="11">
        <v>46165</v>
      </c>
      <c r="G1139" s="6" t="s">
        <v>1079</v>
      </c>
      <c r="H1139" s="7" t="s">
        <v>26</v>
      </c>
      <c r="I1139" s="7" t="s">
        <v>427</v>
      </c>
      <c r="J1139" s="7" t="s">
        <v>805</v>
      </c>
      <c r="K1139" s="7" t="s">
        <v>29</v>
      </c>
      <c r="L1139" s="3" t="str">
        <f>E1139&amp;D1139</f>
        <v>E.SP.IPAEE_INS_CONF_S_I_MAQ CHAVE MOLA_0030</v>
      </c>
      <c r="M1139" s="3" t="str">
        <f>IFERROR(MID(D1139,SEARCH("S_I_",D1139,1),3),"")</f>
        <v>S_I</v>
      </c>
      <c r="N1139" s="3" t="str">
        <f>IFERROR(MID(D1139,SEARCH("C_I_",D1139,1),3),"")</f>
        <v/>
      </c>
      <c r="O1139" s="3" t="str">
        <f>IF(AND(M1139="",N1139=""),"Extra","")</f>
        <v/>
      </c>
      <c r="P1139" s="3" t="str">
        <f>IF(Q1139=0,"TERCEIRO","MRS")</f>
        <v>MRS</v>
      </c>
      <c r="Q1139" s="8" t="str">
        <f>IFERROR(VLOOKUP(L1139,#REF!,4,0),"0,00")</f>
        <v>0,00</v>
      </c>
      <c r="R1139" s="9" t="s">
        <v>42</v>
      </c>
      <c r="S1139" s="9">
        <f>COUNTIF(D1139,"*_SEG_*")</f>
        <v>0</v>
      </c>
      <c r="T1139" s="9">
        <f>COUNTIF(D1139,"*_MAN_*")</f>
        <v>0</v>
      </c>
      <c r="U1139" s="9">
        <f>(RIGHT(D1139,4))*1</f>
        <v>30</v>
      </c>
      <c r="V1139" s="9" t="str">
        <f>IFERROR(VLOOKUP(I1139,#REF!,2,0),"Sinalização")</f>
        <v>Sinalização</v>
      </c>
    </row>
    <row r="1140" spans="1:22" x14ac:dyDescent="0.25">
      <c r="A1140" s="3" t="s">
        <v>22</v>
      </c>
      <c r="B1140" s="4">
        <v>23511150</v>
      </c>
      <c r="C1140" s="5" t="s">
        <v>23</v>
      </c>
      <c r="D1140" s="6" t="s">
        <v>806</v>
      </c>
      <c r="E1140" s="6" t="s">
        <v>25</v>
      </c>
      <c r="F1140" s="11">
        <v>46165</v>
      </c>
      <c r="G1140" s="6" t="s">
        <v>1079</v>
      </c>
      <c r="H1140" s="7" t="s">
        <v>26</v>
      </c>
      <c r="I1140" s="7" t="s">
        <v>427</v>
      </c>
      <c r="J1140" s="7" t="s">
        <v>807</v>
      </c>
      <c r="K1140" s="7" t="s">
        <v>29</v>
      </c>
      <c r="L1140" s="3" t="str">
        <f>E1140&amp;D1140</f>
        <v>E.SP.IPAEE_INS_SEG_C_I_MAQ CHAVE MOLA_0030</v>
      </c>
      <c r="M1140" s="3" t="str">
        <f>IFERROR(MID(D1140,SEARCH("S_I_",D1140,1),3),"")</f>
        <v/>
      </c>
      <c r="N1140" s="3" t="str">
        <f>IFERROR(MID(D1140,SEARCH("C_I_",D1140,1),3),"")</f>
        <v>C_I</v>
      </c>
      <c r="O1140" s="3" t="str">
        <f>IF(AND(M1140="",N1140=""),"Extra","")</f>
        <v/>
      </c>
      <c r="P1140" s="3" t="str">
        <f>IF(Q1140=0,"TERCEIRO","MRS")</f>
        <v>MRS</v>
      </c>
      <c r="Q1140" s="8" t="str">
        <f>IFERROR(VLOOKUP(L1140,#REF!,4,0),"0,00")</f>
        <v>0,00</v>
      </c>
      <c r="R1140" s="9" t="s">
        <v>30</v>
      </c>
      <c r="S1140" s="9">
        <f>COUNTIF(D1140,"*_SEG_*")</f>
        <v>1</v>
      </c>
      <c r="T1140" s="9">
        <f>COUNTIF(D1140,"*_MAN_*")</f>
        <v>0</v>
      </c>
      <c r="U1140" s="9">
        <f>(RIGHT(D1140,4))*1</f>
        <v>30</v>
      </c>
      <c r="V1140" s="9" t="str">
        <f>IFERROR(VLOOKUP(I1140,#REF!,2,0),"Sinalização")</f>
        <v>Sinalização</v>
      </c>
    </row>
    <row r="1141" spans="1:22" x14ac:dyDescent="0.25">
      <c r="A1141" s="3" t="s">
        <v>22</v>
      </c>
      <c r="B1141" s="4">
        <v>23511151</v>
      </c>
      <c r="C1141" s="5" t="s">
        <v>23</v>
      </c>
      <c r="D1141" s="6" t="s">
        <v>812</v>
      </c>
      <c r="E1141" s="6" t="s">
        <v>25</v>
      </c>
      <c r="F1141" s="11">
        <v>46165</v>
      </c>
      <c r="G1141" s="6" t="s">
        <v>1079</v>
      </c>
      <c r="H1141" s="7" t="s">
        <v>26</v>
      </c>
      <c r="I1141" s="7" t="s">
        <v>427</v>
      </c>
      <c r="J1141" s="7" t="s">
        <v>813</v>
      </c>
      <c r="K1141" s="7" t="s">
        <v>29</v>
      </c>
      <c r="L1141" s="3" t="str">
        <f>E1141&amp;D1141</f>
        <v>E.SP.IPAEE_INS_SEG_S_I_MAQ CHAVE MOLA_0030</v>
      </c>
      <c r="M1141" s="3" t="str">
        <f>IFERROR(MID(D1141,SEARCH("S_I_",D1141,1),3),"")</f>
        <v>S_I</v>
      </c>
      <c r="N1141" s="3" t="str">
        <f>IFERROR(MID(D1141,SEARCH("C_I_",D1141,1),3),"")</f>
        <v/>
      </c>
      <c r="O1141" s="3" t="str">
        <f>IF(AND(M1141="",N1141=""),"Extra","")</f>
        <v/>
      </c>
      <c r="P1141" s="3" t="str">
        <f>IF(Q1141=0,"TERCEIRO","MRS")</f>
        <v>MRS</v>
      </c>
      <c r="Q1141" s="8" t="str">
        <f>IFERROR(VLOOKUP(L1141,#REF!,4,0),"0,00")</f>
        <v>0,00</v>
      </c>
      <c r="R1141" s="9" t="s">
        <v>30</v>
      </c>
      <c r="S1141" s="9">
        <f>COUNTIF(D1141,"*_SEG_*")</f>
        <v>1</v>
      </c>
      <c r="T1141" s="9">
        <f>COUNTIF(D1141,"*_MAN_*")</f>
        <v>0</v>
      </c>
      <c r="U1141" s="9">
        <f>(RIGHT(D1141,4))*1</f>
        <v>30</v>
      </c>
      <c r="V1141" s="9" t="str">
        <f>IFERROR(VLOOKUP(I1141,#REF!,2,0),"Sinalização")</f>
        <v>Sinalização</v>
      </c>
    </row>
    <row r="1142" spans="1:22" x14ac:dyDescent="0.25">
      <c r="A1142" s="3" t="s">
        <v>22</v>
      </c>
      <c r="B1142" s="4">
        <v>23511152</v>
      </c>
      <c r="C1142" s="5" t="s">
        <v>23</v>
      </c>
      <c r="D1142" s="6" t="s">
        <v>843</v>
      </c>
      <c r="E1142" s="6" t="s">
        <v>25</v>
      </c>
      <c r="F1142" s="11">
        <v>46165</v>
      </c>
      <c r="G1142" s="6" t="s">
        <v>1079</v>
      </c>
      <c r="H1142" s="7" t="s">
        <v>26</v>
      </c>
      <c r="I1142" s="7" t="s">
        <v>427</v>
      </c>
      <c r="J1142" s="7" t="s">
        <v>844</v>
      </c>
      <c r="K1142" s="7" t="s">
        <v>29</v>
      </c>
      <c r="L1142" s="3" t="str">
        <f>E1142&amp;D1142</f>
        <v>E.SP.IPAEE_MAN_CONF_C_I_MAQ CHAVE MOLA_0030</v>
      </c>
      <c r="M1142" s="3" t="str">
        <f>IFERROR(MID(D1142,SEARCH("S_I_",D1142,1),3),"")</f>
        <v/>
      </c>
      <c r="N1142" s="3" t="str">
        <f>IFERROR(MID(D1142,SEARCH("C_I_",D1142,1),3),"")</f>
        <v>C_I</v>
      </c>
      <c r="O1142" s="3" t="str">
        <f>IF(AND(M1142="",N1142=""),"Extra","")</f>
        <v/>
      </c>
      <c r="P1142" s="3" t="str">
        <f>IF(Q1142=0,"TERCEIRO","MRS")</f>
        <v>MRS</v>
      </c>
      <c r="Q1142" s="8" t="str">
        <f>IFERROR(VLOOKUP(L1142,#REF!,4,0),"0,00")</f>
        <v>0,00</v>
      </c>
      <c r="R1142" s="9" t="s">
        <v>42</v>
      </c>
      <c r="S1142" s="9">
        <f>COUNTIF(D1142,"*_SEG_*")</f>
        <v>0</v>
      </c>
      <c r="T1142" s="9">
        <f>COUNTIF(D1142,"*_MAN_*")</f>
        <v>1</v>
      </c>
      <c r="U1142" s="9">
        <f>(RIGHT(D1142,4))*1</f>
        <v>30</v>
      </c>
      <c r="V1142" s="9" t="str">
        <f>IFERROR(VLOOKUP(I1142,#REF!,2,0),"Sinalização")</f>
        <v>Sinalização</v>
      </c>
    </row>
    <row r="1143" spans="1:22" x14ac:dyDescent="0.25">
      <c r="A1143" s="3" t="s">
        <v>22</v>
      </c>
      <c r="B1143" s="4">
        <v>23511204</v>
      </c>
      <c r="C1143" s="5" t="s">
        <v>23</v>
      </c>
      <c r="D1143" s="6" t="s">
        <v>1044</v>
      </c>
      <c r="E1143" s="6" t="s">
        <v>25</v>
      </c>
      <c r="F1143" s="11">
        <v>46165</v>
      </c>
      <c r="G1143" s="6" t="s">
        <v>1079</v>
      </c>
      <c r="H1143" s="7" t="s">
        <v>26</v>
      </c>
      <c r="I1143" s="7" t="s">
        <v>123</v>
      </c>
      <c r="J1143" s="7" t="s">
        <v>958</v>
      </c>
      <c r="K1143" s="7" t="s">
        <v>29</v>
      </c>
      <c r="L1143" s="3" t="str">
        <f>E1143&amp;D1143</f>
        <v>E.SP.IPAEE_INS_SEG_C_I_MCH 110VCC GRS 5C_0030</v>
      </c>
      <c r="M1143" s="3" t="str">
        <f>IFERROR(MID(D1143,SEARCH("S_I_",D1143,1),3),"")</f>
        <v/>
      </c>
      <c r="N1143" s="3" t="str">
        <f>IFERROR(MID(D1143,SEARCH("C_I_",D1143,1),3),"")</f>
        <v>C_I</v>
      </c>
      <c r="O1143" s="3" t="str">
        <f>IF(AND(M1143="",N1143=""),"Extra","")</f>
        <v/>
      </c>
      <c r="P1143" s="3" t="str">
        <f>IF(Q1143=0,"TERCEIRO","MRS")</f>
        <v>MRS</v>
      </c>
      <c r="Q1143" s="8" t="str">
        <f>IFERROR(VLOOKUP(L1143,#REF!,4,0),"0,00")</f>
        <v>0,00</v>
      </c>
      <c r="R1143" s="9" t="s">
        <v>30</v>
      </c>
      <c r="S1143" s="9">
        <f>COUNTIF(D1143,"*_SEG_*")</f>
        <v>1</v>
      </c>
      <c r="T1143" s="9">
        <f>COUNTIF(D1143,"*_MAN_*")</f>
        <v>0</v>
      </c>
      <c r="U1143" s="9">
        <f>(RIGHT(D1143,4))*1</f>
        <v>30</v>
      </c>
      <c r="V1143" s="9" t="str">
        <f>IFERROR(VLOOKUP(I1143,#REF!,2,0),"Sinalização")</f>
        <v>Sinalização</v>
      </c>
    </row>
    <row r="1144" spans="1:22" x14ac:dyDescent="0.25">
      <c r="A1144" s="3" t="s">
        <v>22</v>
      </c>
      <c r="B1144" s="4">
        <v>23511205</v>
      </c>
      <c r="C1144" s="5" t="s">
        <v>23</v>
      </c>
      <c r="D1144" s="6" t="s">
        <v>1045</v>
      </c>
      <c r="E1144" s="6" t="s">
        <v>25</v>
      </c>
      <c r="F1144" s="11">
        <v>46165</v>
      </c>
      <c r="G1144" s="6" t="s">
        <v>1079</v>
      </c>
      <c r="H1144" s="7" t="s">
        <v>26</v>
      </c>
      <c r="I1144" s="7" t="s">
        <v>123</v>
      </c>
      <c r="J1144" s="7" t="s">
        <v>927</v>
      </c>
      <c r="K1144" s="7" t="s">
        <v>29</v>
      </c>
      <c r="L1144" s="3" t="str">
        <f>E1144&amp;D1144</f>
        <v>E.SP.IPAEE_INS_CONF_C_I_MCH 110VCC GRS 5C_0030</v>
      </c>
      <c r="M1144" s="3" t="str">
        <f>IFERROR(MID(D1144,SEARCH("S_I_",D1144,1),3),"")</f>
        <v/>
      </c>
      <c r="N1144" s="3" t="str">
        <f>IFERROR(MID(D1144,SEARCH("C_I_",D1144,1),3),"")</f>
        <v>C_I</v>
      </c>
      <c r="O1144" s="3" t="str">
        <f>IF(AND(M1144="",N1144=""),"Extra","")</f>
        <v/>
      </c>
      <c r="P1144" s="3" t="str">
        <f>IF(Q1144=0,"TERCEIRO","MRS")</f>
        <v>MRS</v>
      </c>
      <c r="Q1144" s="8" t="str">
        <f>IFERROR(VLOOKUP(L1144,#REF!,4,0),"0,00")</f>
        <v>0,00</v>
      </c>
      <c r="R1144" s="9" t="s">
        <v>42</v>
      </c>
      <c r="S1144" s="9">
        <f>COUNTIF(D1144,"*_SEG_*")</f>
        <v>0</v>
      </c>
      <c r="T1144" s="9">
        <f>COUNTIF(D1144,"*_MAN_*")</f>
        <v>0</v>
      </c>
      <c r="U1144" s="9">
        <f>(RIGHT(D1144,4))*1</f>
        <v>30</v>
      </c>
      <c r="V1144" s="9" t="str">
        <f>IFERROR(VLOOKUP(I1144,#REF!,2,0),"Sinalização")</f>
        <v>Sinalização</v>
      </c>
    </row>
    <row r="1145" spans="1:22" x14ac:dyDescent="0.25">
      <c r="A1145" s="3" t="s">
        <v>22</v>
      </c>
      <c r="B1145" s="4">
        <v>23511206</v>
      </c>
      <c r="C1145" s="5" t="s">
        <v>23</v>
      </c>
      <c r="D1145" s="6" t="s">
        <v>846</v>
      </c>
      <c r="E1145" s="6" t="s">
        <v>25</v>
      </c>
      <c r="F1145" s="11">
        <v>46165</v>
      </c>
      <c r="G1145" s="6" t="s">
        <v>1079</v>
      </c>
      <c r="H1145" s="7" t="s">
        <v>26</v>
      </c>
      <c r="I1145" s="7" t="s">
        <v>123</v>
      </c>
      <c r="J1145" s="7" t="s">
        <v>834</v>
      </c>
      <c r="K1145" s="7" t="s">
        <v>29</v>
      </c>
      <c r="L1145" s="3" t="str">
        <f>E1145&amp;D1145</f>
        <v>E.SP.IPAEE_INS_CONF_S_I_MCH 110VCC GRS 5C_0030</v>
      </c>
      <c r="M1145" s="3" t="str">
        <f>IFERROR(MID(D1145,SEARCH("S_I_",D1145,1),3),"")</f>
        <v>S_I</v>
      </c>
      <c r="N1145" s="3" t="str">
        <f>IFERROR(MID(D1145,SEARCH("C_I_",D1145,1),3),"")</f>
        <v/>
      </c>
      <c r="O1145" s="3" t="str">
        <f>IF(AND(M1145="",N1145=""),"Extra","")</f>
        <v/>
      </c>
      <c r="P1145" s="3" t="str">
        <f>IF(Q1145=0,"TERCEIRO","MRS")</f>
        <v>MRS</v>
      </c>
      <c r="Q1145" s="8" t="str">
        <f>IFERROR(VLOOKUP(L1145,#REF!,4,0),"0,00")</f>
        <v>0,00</v>
      </c>
      <c r="R1145" s="9" t="s">
        <v>57</v>
      </c>
      <c r="S1145" s="9">
        <f>COUNTIF(D1145,"*_SEG_*")</f>
        <v>0</v>
      </c>
      <c r="T1145" s="9">
        <f>COUNTIF(D1145,"*_MAN_*")</f>
        <v>0</v>
      </c>
      <c r="U1145" s="9">
        <f>(RIGHT(D1145,4))*1</f>
        <v>30</v>
      </c>
      <c r="V1145" s="9" t="str">
        <f>IFERROR(VLOOKUP(I1145,#REF!,2,0),"Sinalização")</f>
        <v>Sinalização</v>
      </c>
    </row>
    <row r="1146" spans="1:22" x14ac:dyDescent="0.25">
      <c r="A1146" s="3" t="s">
        <v>22</v>
      </c>
      <c r="B1146" s="4">
        <v>23511214</v>
      </c>
      <c r="C1146" s="5" t="s">
        <v>23</v>
      </c>
      <c r="D1146" s="6" t="s">
        <v>984</v>
      </c>
      <c r="E1146" s="6" t="s">
        <v>25</v>
      </c>
      <c r="F1146" s="11">
        <v>46165</v>
      </c>
      <c r="G1146" s="6" t="s">
        <v>1079</v>
      </c>
      <c r="H1146" s="7" t="s">
        <v>26</v>
      </c>
      <c r="I1146" s="7" t="s">
        <v>80</v>
      </c>
      <c r="J1146" s="7" t="s">
        <v>958</v>
      </c>
      <c r="K1146" s="7" t="s">
        <v>29</v>
      </c>
      <c r="L1146" s="3" t="str">
        <f>E1146&amp;D1146</f>
        <v>E.SP.IPAEE_INS_SEG_C_I_MCH 110VCC GRS 55BR_0030</v>
      </c>
      <c r="M1146" s="3" t="str">
        <f>IFERROR(MID(D1146,SEARCH("S_I_",D1146,1),3),"")</f>
        <v/>
      </c>
      <c r="N1146" s="3" t="str">
        <f>IFERROR(MID(D1146,SEARCH("C_I_",D1146,1),3),"")</f>
        <v>C_I</v>
      </c>
      <c r="O1146" s="3" t="str">
        <f>IF(AND(M1146="",N1146=""),"Extra","")</f>
        <v/>
      </c>
      <c r="P1146" s="3" t="str">
        <f>IF(Q1146=0,"TERCEIRO","MRS")</f>
        <v>MRS</v>
      </c>
      <c r="Q1146" s="8" t="str">
        <f>IFERROR(VLOOKUP(L1146,#REF!,4,0),"0,00")</f>
        <v>0,00</v>
      </c>
      <c r="R1146" s="9" t="s">
        <v>30</v>
      </c>
      <c r="S1146" s="9">
        <f>COUNTIF(D1146,"*_SEG_*")</f>
        <v>1</v>
      </c>
      <c r="T1146" s="9">
        <f>COUNTIF(D1146,"*_MAN_*")</f>
        <v>0</v>
      </c>
      <c r="U1146" s="9">
        <f>(RIGHT(D1146,4))*1</f>
        <v>30</v>
      </c>
      <c r="V1146" s="9" t="str">
        <f>IFERROR(VLOOKUP(I1146,#REF!,2,0),"Sinalização")</f>
        <v>Sinalização</v>
      </c>
    </row>
    <row r="1147" spans="1:22" x14ac:dyDescent="0.25">
      <c r="A1147" s="3" t="s">
        <v>22</v>
      </c>
      <c r="B1147" s="4">
        <v>23511215</v>
      </c>
      <c r="C1147" s="5" t="s">
        <v>23</v>
      </c>
      <c r="D1147" s="6" t="s">
        <v>984</v>
      </c>
      <c r="E1147" s="6" t="s">
        <v>25</v>
      </c>
      <c r="F1147" s="11">
        <v>46165</v>
      </c>
      <c r="G1147" s="6" t="s">
        <v>1079</v>
      </c>
      <c r="H1147" s="7" t="s">
        <v>26</v>
      </c>
      <c r="I1147" s="7" t="s">
        <v>633</v>
      </c>
      <c r="J1147" s="7" t="s">
        <v>958</v>
      </c>
      <c r="K1147" s="7" t="s">
        <v>29</v>
      </c>
      <c r="L1147" s="3" t="str">
        <f>E1147&amp;D1147</f>
        <v>E.SP.IPAEE_INS_SEG_C_I_MCH 110VCC GRS 55BR_0030</v>
      </c>
      <c r="M1147" s="3" t="str">
        <f>IFERROR(MID(D1147,SEARCH("S_I_",D1147,1),3),"")</f>
        <v/>
      </c>
      <c r="N1147" s="3" t="str">
        <f>IFERROR(MID(D1147,SEARCH("C_I_",D1147,1),3),"")</f>
        <v>C_I</v>
      </c>
      <c r="O1147" s="3" t="str">
        <f>IF(AND(M1147="",N1147=""),"Extra","")</f>
        <v/>
      </c>
      <c r="P1147" s="3" t="str">
        <f>IF(Q1147=0,"TERCEIRO","MRS")</f>
        <v>MRS</v>
      </c>
      <c r="Q1147" s="8" t="str">
        <f>IFERROR(VLOOKUP(L1147,#REF!,4,0),"0,00")</f>
        <v>0,00</v>
      </c>
      <c r="R1147" s="9" t="s">
        <v>30</v>
      </c>
      <c r="S1147" s="9">
        <f>COUNTIF(D1147,"*_SEG_*")</f>
        <v>1</v>
      </c>
      <c r="T1147" s="9">
        <f>COUNTIF(D1147,"*_MAN_*")</f>
        <v>0</v>
      </c>
      <c r="U1147" s="9">
        <f>(RIGHT(D1147,4))*1</f>
        <v>30</v>
      </c>
      <c r="V1147" s="9" t="str">
        <f>IFERROR(VLOOKUP(I1147,#REF!,2,0),"Sinalização")</f>
        <v>Sinalização</v>
      </c>
    </row>
    <row r="1148" spans="1:22" x14ac:dyDescent="0.25">
      <c r="A1148" s="3" t="s">
        <v>22</v>
      </c>
      <c r="B1148" s="4">
        <v>23511218</v>
      </c>
      <c r="C1148" s="5" t="s">
        <v>23</v>
      </c>
      <c r="D1148" s="6" t="s">
        <v>935</v>
      </c>
      <c r="E1148" s="6" t="s">
        <v>25</v>
      </c>
      <c r="F1148" s="11">
        <v>46165</v>
      </c>
      <c r="G1148" s="6" t="s">
        <v>1079</v>
      </c>
      <c r="H1148" s="7" t="s">
        <v>26</v>
      </c>
      <c r="I1148" s="7" t="s">
        <v>80</v>
      </c>
      <c r="J1148" s="7" t="s">
        <v>834</v>
      </c>
      <c r="K1148" s="7" t="s">
        <v>29</v>
      </c>
      <c r="L1148" s="3" t="str">
        <f>E1148&amp;D1148</f>
        <v>E.SP.IPAEE_INS_CONF_S_I_MCH 110VCC GRS 55BR_0030</v>
      </c>
      <c r="M1148" s="3" t="str">
        <f>IFERROR(MID(D1148,SEARCH("S_I_",D1148,1),3),"")</f>
        <v>S_I</v>
      </c>
      <c r="N1148" s="3" t="str">
        <f>IFERROR(MID(D1148,SEARCH("C_I_",D1148,1),3),"")</f>
        <v/>
      </c>
      <c r="O1148" s="3" t="str">
        <f>IF(AND(M1148="",N1148=""),"Extra","")</f>
        <v/>
      </c>
      <c r="P1148" s="3" t="str">
        <f>IF(Q1148=0,"TERCEIRO","MRS")</f>
        <v>MRS</v>
      </c>
      <c r="Q1148" s="8" t="str">
        <f>IFERROR(VLOOKUP(L1148,#REF!,4,0),"0,00")</f>
        <v>0,00</v>
      </c>
      <c r="R1148" s="9" t="s">
        <v>57</v>
      </c>
      <c r="S1148" s="9">
        <f>COUNTIF(D1148,"*_SEG_*")</f>
        <v>0</v>
      </c>
      <c r="T1148" s="9">
        <f>COUNTIF(D1148,"*_MAN_*")</f>
        <v>0</v>
      </c>
      <c r="U1148" s="9">
        <f>(RIGHT(D1148,4))*1</f>
        <v>30</v>
      </c>
      <c r="V1148" s="9" t="str">
        <f>IFERROR(VLOOKUP(I1148,#REF!,2,0),"Sinalização")</f>
        <v>Sinalização</v>
      </c>
    </row>
    <row r="1149" spans="1:22" x14ac:dyDescent="0.25">
      <c r="A1149" s="3" t="s">
        <v>22</v>
      </c>
      <c r="B1149" s="4">
        <v>23511219</v>
      </c>
      <c r="C1149" s="5" t="s">
        <v>23</v>
      </c>
      <c r="D1149" s="6" t="s">
        <v>935</v>
      </c>
      <c r="E1149" s="6" t="s">
        <v>25</v>
      </c>
      <c r="F1149" s="11">
        <v>46165</v>
      </c>
      <c r="G1149" s="6" t="s">
        <v>1079</v>
      </c>
      <c r="H1149" s="7" t="s">
        <v>26</v>
      </c>
      <c r="I1149" s="7" t="s">
        <v>633</v>
      </c>
      <c r="J1149" s="7" t="s">
        <v>834</v>
      </c>
      <c r="K1149" s="7" t="s">
        <v>29</v>
      </c>
      <c r="L1149" s="3" t="str">
        <f>E1149&amp;D1149</f>
        <v>E.SP.IPAEE_INS_CONF_S_I_MCH 110VCC GRS 55BR_0030</v>
      </c>
      <c r="M1149" s="3" t="str">
        <f>IFERROR(MID(D1149,SEARCH("S_I_",D1149,1),3),"")</f>
        <v>S_I</v>
      </c>
      <c r="N1149" s="3" t="str">
        <f>IFERROR(MID(D1149,SEARCH("C_I_",D1149,1),3),"")</f>
        <v/>
      </c>
      <c r="O1149" s="3" t="str">
        <f>IF(AND(M1149="",N1149=""),"Extra","")</f>
        <v/>
      </c>
      <c r="P1149" s="3" t="str">
        <f>IF(Q1149=0,"TERCEIRO","MRS")</f>
        <v>MRS</v>
      </c>
      <c r="Q1149" s="8" t="str">
        <f>IFERROR(VLOOKUP(L1149,#REF!,4,0),"0,00")</f>
        <v>0,00</v>
      </c>
      <c r="R1149" s="9" t="s">
        <v>57</v>
      </c>
      <c r="S1149" s="9">
        <f>COUNTIF(D1149,"*_SEG_*")</f>
        <v>0</v>
      </c>
      <c r="T1149" s="9">
        <f>COUNTIF(D1149,"*_MAN_*")</f>
        <v>0</v>
      </c>
      <c r="U1149" s="9">
        <f>(RIGHT(D1149,4))*1</f>
        <v>30</v>
      </c>
      <c r="V1149" s="9" t="str">
        <f>IFERROR(VLOOKUP(I1149,#REF!,2,0),"Sinalização")</f>
        <v>Sinalização</v>
      </c>
    </row>
    <row r="1150" spans="1:22" x14ac:dyDescent="0.25">
      <c r="A1150" s="3" t="s">
        <v>22</v>
      </c>
      <c r="B1150" s="4">
        <v>23511221</v>
      </c>
      <c r="C1150" s="5" t="s">
        <v>23</v>
      </c>
      <c r="D1150" s="6" t="s">
        <v>929</v>
      </c>
      <c r="E1150" s="6" t="s">
        <v>25</v>
      </c>
      <c r="F1150" s="11">
        <v>46165</v>
      </c>
      <c r="G1150" s="6" t="s">
        <v>1079</v>
      </c>
      <c r="H1150" s="7" t="s">
        <v>26</v>
      </c>
      <c r="I1150" s="7" t="s">
        <v>633</v>
      </c>
      <c r="J1150" s="7" t="s">
        <v>810</v>
      </c>
      <c r="K1150" s="7" t="s">
        <v>29</v>
      </c>
      <c r="L1150" s="3" t="str">
        <f>E1150&amp;D1150</f>
        <v>E.SP.IPAEE_MAN_CONF_C_I_MCH 110VCC GRS 55BR_0030</v>
      </c>
      <c r="M1150" s="3" t="str">
        <f>IFERROR(MID(D1150,SEARCH("S_I_",D1150,1),3),"")</f>
        <v/>
      </c>
      <c r="N1150" s="3" t="str">
        <f>IFERROR(MID(D1150,SEARCH("C_I_",D1150,1),3),"")</f>
        <v>C_I</v>
      </c>
      <c r="O1150" s="3" t="str">
        <f>IF(AND(M1150="",N1150=""),"Extra","")</f>
        <v/>
      </c>
      <c r="P1150" s="3" t="str">
        <f>IF(Q1150=0,"TERCEIRO","MRS")</f>
        <v>MRS</v>
      </c>
      <c r="Q1150" s="8" t="str">
        <f>IFERROR(VLOOKUP(L1150,#REF!,4,0),"0,00")</f>
        <v>0,00</v>
      </c>
      <c r="R1150" s="9" t="s">
        <v>42</v>
      </c>
      <c r="S1150" s="9">
        <f>COUNTIF(D1150,"*_SEG_*")</f>
        <v>0</v>
      </c>
      <c r="T1150" s="9">
        <f>COUNTIF(D1150,"*_MAN_*")</f>
        <v>1</v>
      </c>
      <c r="U1150" s="9">
        <f>(RIGHT(D1150,4))*1</f>
        <v>30</v>
      </c>
      <c r="V1150" s="9" t="str">
        <f>IFERROR(VLOOKUP(I1150,#REF!,2,0),"Sinalização")</f>
        <v>Sinalização</v>
      </c>
    </row>
    <row r="1151" spans="1:22" x14ac:dyDescent="0.25">
      <c r="A1151" s="3" t="s">
        <v>22</v>
      </c>
      <c r="B1151" s="4">
        <v>23511232</v>
      </c>
      <c r="C1151" s="5" t="s">
        <v>23</v>
      </c>
      <c r="D1151" s="6" t="s">
        <v>1045</v>
      </c>
      <c r="E1151" s="6" t="s">
        <v>25</v>
      </c>
      <c r="F1151" s="11">
        <v>46165</v>
      </c>
      <c r="G1151" s="6" t="s">
        <v>1079</v>
      </c>
      <c r="H1151" s="7" t="s">
        <v>26</v>
      </c>
      <c r="I1151" s="7" t="s">
        <v>258</v>
      </c>
      <c r="J1151" s="7" t="s">
        <v>927</v>
      </c>
      <c r="K1151" s="7" t="s">
        <v>29</v>
      </c>
      <c r="L1151" s="3" t="str">
        <f>E1151&amp;D1151</f>
        <v>E.SP.IPAEE_INS_CONF_C_I_MCH 110VCC GRS 5C_0030</v>
      </c>
      <c r="M1151" s="3" t="str">
        <f>IFERROR(MID(D1151,SEARCH("S_I_",D1151,1),3),"")</f>
        <v/>
      </c>
      <c r="N1151" s="3" t="str">
        <f>IFERROR(MID(D1151,SEARCH("C_I_",D1151,1),3),"")</f>
        <v>C_I</v>
      </c>
      <c r="O1151" s="3" t="str">
        <f>IF(AND(M1151="",N1151=""),"Extra","")</f>
        <v/>
      </c>
      <c r="P1151" s="3" t="str">
        <f>IF(Q1151=0,"TERCEIRO","MRS")</f>
        <v>MRS</v>
      </c>
      <c r="Q1151" s="8" t="str">
        <f>IFERROR(VLOOKUP(L1151,#REF!,4,0),"0,00")</f>
        <v>0,00</v>
      </c>
      <c r="R1151" s="9" t="s">
        <v>42</v>
      </c>
      <c r="S1151" s="9">
        <f>COUNTIF(D1151,"*_SEG_*")</f>
        <v>0</v>
      </c>
      <c r="T1151" s="9">
        <f>COUNTIF(D1151,"*_MAN_*")</f>
        <v>0</v>
      </c>
      <c r="U1151" s="9">
        <f>(RIGHT(D1151,4))*1</f>
        <v>30</v>
      </c>
      <c r="V1151" s="9" t="str">
        <f>IFERROR(VLOOKUP(I1151,#REF!,2,0),"Sinalização")</f>
        <v>Sinalização</v>
      </c>
    </row>
    <row r="1152" spans="1:22" x14ac:dyDescent="0.25">
      <c r="A1152" s="3" t="s">
        <v>22</v>
      </c>
      <c r="B1152" s="4">
        <v>23511235</v>
      </c>
      <c r="C1152" s="5" t="s">
        <v>23</v>
      </c>
      <c r="D1152" s="6" t="s">
        <v>1044</v>
      </c>
      <c r="E1152" s="6" t="s">
        <v>25</v>
      </c>
      <c r="F1152" s="11">
        <v>46165</v>
      </c>
      <c r="G1152" s="6" t="s">
        <v>1079</v>
      </c>
      <c r="H1152" s="7" t="s">
        <v>26</v>
      </c>
      <c r="I1152" s="7" t="s">
        <v>258</v>
      </c>
      <c r="J1152" s="7" t="s">
        <v>958</v>
      </c>
      <c r="K1152" s="7" t="s">
        <v>29</v>
      </c>
      <c r="L1152" s="3" t="str">
        <f>E1152&amp;D1152</f>
        <v>E.SP.IPAEE_INS_SEG_C_I_MCH 110VCC GRS 5C_0030</v>
      </c>
      <c r="M1152" s="3" t="str">
        <f>IFERROR(MID(D1152,SEARCH("S_I_",D1152,1),3),"")</f>
        <v/>
      </c>
      <c r="N1152" s="3" t="str">
        <f>IFERROR(MID(D1152,SEARCH("C_I_",D1152,1),3),"")</f>
        <v>C_I</v>
      </c>
      <c r="O1152" s="3" t="str">
        <f>IF(AND(M1152="",N1152=""),"Extra","")</f>
        <v/>
      </c>
      <c r="P1152" s="3" t="str">
        <f>IF(Q1152=0,"TERCEIRO","MRS")</f>
        <v>MRS</v>
      </c>
      <c r="Q1152" s="8" t="str">
        <f>IFERROR(VLOOKUP(L1152,#REF!,4,0),"0,00")</f>
        <v>0,00</v>
      </c>
      <c r="R1152" s="9" t="s">
        <v>30</v>
      </c>
      <c r="S1152" s="9">
        <f>COUNTIF(D1152,"*_SEG_*")</f>
        <v>1</v>
      </c>
      <c r="T1152" s="9">
        <f>COUNTIF(D1152,"*_MAN_*")</f>
        <v>0</v>
      </c>
      <c r="U1152" s="9">
        <f>(RIGHT(D1152,4))*1</f>
        <v>30</v>
      </c>
      <c r="V1152" s="9" t="str">
        <f>IFERROR(VLOOKUP(I1152,#REF!,2,0),"Sinalização")</f>
        <v>Sinalização</v>
      </c>
    </row>
    <row r="1153" spans="1:22" x14ac:dyDescent="0.25">
      <c r="A1153" s="3" t="s">
        <v>22</v>
      </c>
      <c r="B1153" s="4">
        <v>23511237</v>
      </c>
      <c r="C1153" s="5" t="s">
        <v>23</v>
      </c>
      <c r="D1153" s="6" t="s">
        <v>1045</v>
      </c>
      <c r="E1153" s="6" t="s">
        <v>25</v>
      </c>
      <c r="F1153" s="11">
        <v>46165</v>
      </c>
      <c r="G1153" s="6" t="s">
        <v>1079</v>
      </c>
      <c r="H1153" s="7" t="s">
        <v>26</v>
      </c>
      <c r="I1153" s="7" t="s">
        <v>741</v>
      </c>
      <c r="J1153" s="7" t="s">
        <v>927</v>
      </c>
      <c r="K1153" s="7" t="s">
        <v>29</v>
      </c>
      <c r="L1153" s="3" t="str">
        <f>E1153&amp;D1153</f>
        <v>E.SP.IPAEE_INS_CONF_C_I_MCH 110VCC GRS 5C_0030</v>
      </c>
      <c r="M1153" s="3" t="str">
        <f>IFERROR(MID(D1153,SEARCH("S_I_",D1153,1),3),"")</f>
        <v/>
      </c>
      <c r="N1153" s="3" t="str">
        <f>IFERROR(MID(D1153,SEARCH("C_I_",D1153,1),3),"")</f>
        <v>C_I</v>
      </c>
      <c r="O1153" s="3" t="str">
        <f>IF(AND(M1153="",N1153=""),"Extra","")</f>
        <v/>
      </c>
      <c r="P1153" s="3" t="str">
        <f>IF(Q1153=0,"TERCEIRO","MRS")</f>
        <v>MRS</v>
      </c>
      <c r="Q1153" s="8" t="str">
        <f>IFERROR(VLOOKUP(L1153,#REF!,4,0),"0,00")</f>
        <v>0,00</v>
      </c>
      <c r="R1153" s="9" t="s">
        <v>42</v>
      </c>
      <c r="S1153" s="9">
        <f>COUNTIF(D1153,"*_SEG_*")</f>
        <v>0</v>
      </c>
      <c r="T1153" s="9">
        <f>COUNTIF(D1153,"*_MAN_*")</f>
        <v>0</v>
      </c>
      <c r="U1153" s="9">
        <f>(RIGHT(D1153,4))*1</f>
        <v>30</v>
      </c>
      <c r="V1153" s="9" t="str">
        <f>IFERROR(VLOOKUP(I1153,#REF!,2,0),"Sinalização")</f>
        <v>Sinalização</v>
      </c>
    </row>
    <row r="1154" spans="1:22" x14ac:dyDescent="0.25">
      <c r="A1154" s="3" t="s">
        <v>22</v>
      </c>
      <c r="B1154" s="4">
        <v>23511240</v>
      </c>
      <c r="C1154" s="5" t="s">
        <v>23</v>
      </c>
      <c r="D1154" s="6" t="s">
        <v>1044</v>
      </c>
      <c r="E1154" s="6" t="s">
        <v>25</v>
      </c>
      <c r="F1154" s="11">
        <v>46165</v>
      </c>
      <c r="G1154" s="6" t="s">
        <v>1079</v>
      </c>
      <c r="H1154" s="7" t="s">
        <v>26</v>
      </c>
      <c r="I1154" s="7" t="s">
        <v>741</v>
      </c>
      <c r="J1154" s="7" t="s">
        <v>958</v>
      </c>
      <c r="K1154" s="7" t="s">
        <v>29</v>
      </c>
      <c r="L1154" s="3" t="str">
        <f>E1154&amp;D1154</f>
        <v>E.SP.IPAEE_INS_SEG_C_I_MCH 110VCC GRS 5C_0030</v>
      </c>
      <c r="M1154" s="3" t="str">
        <f>IFERROR(MID(D1154,SEARCH("S_I_",D1154,1),3),"")</f>
        <v/>
      </c>
      <c r="N1154" s="3" t="str">
        <f>IFERROR(MID(D1154,SEARCH("C_I_",D1154,1),3),"")</f>
        <v>C_I</v>
      </c>
      <c r="O1154" s="3" t="str">
        <f>IF(AND(M1154="",N1154=""),"Extra","")</f>
        <v/>
      </c>
      <c r="P1154" s="3" t="str">
        <f>IF(Q1154=0,"TERCEIRO","MRS")</f>
        <v>MRS</v>
      </c>
      <c r="Q1154" s="8" t="str">
        <f>IFERROR(VLOOKUP(L1154,#REF!,4,0),"0,00")</f>
        <v>0,00</v>
      </c>
      <c r="R1154" s="9" t="s">
        <v>30</v>
      </c>
      <c r="S1154" s="9">
        <f>COUNTIF(D1154,"*_SEG_*")</f>
        <v>1</v>
      </c>
      <c r="T1154" s="9">
        <f>COUNTIF(D1154,"*_MAN_*")</f>
        <v>0</v>
      </c>
      <c r="U1154" s="9">
        <f>(RIGHT(D1154,4))*1</f>
        <v>30</v>
      </c>
      <c r="V1154" s="9" t="str">
        <f>IFERROR(VLOOKUP(I1154,#REF!,2,0),"Sinalização")</f>
        <v>Sinalização</v>
      </c>
    </row>
    <row r="1155" spans="1:22" x14ac:dyDescent="0.25">
      <c r="A1155" s="3" t="s">
        <v>22</v>
      </c>
      <c r="B1155" s="4">
        <v>23511241</v>
      </c>
      <c r="C1155" s="5" t="s">
        <v>23</v>
      </c>
      <c r="D1155" s="6" t="s">
        <v>847</v>
      </c>
      <c r="E1155" s="6" t="s">
        <v>25</v>
      </c>
      <c r="F1155" s="11">
        <v>46165</v>
      </c>
      <c r="G1155" s="6" t="s">
        <v>1079</v>
      </c>
      <c r="H1155" s="7" t="s">
        <v>26</v>
      </c>
      <c r="I1155" s="7" t="s">
        <v>741</v>
      </c>
      <c r="J1155" s="7" t="s">
        <v>810</v>
      </c>
      <c r="K1155" s="7" t="s">
        <v>29</v>
      </c>
      <c r="L1155" s="3" t="str">
        <f>E1155&amp;D1155</f>
        <v>E.SP.IPAEE_MAN_CONF_C_I_MCH 110VCC GRS 5C_0030</v>
      </c>
      <c r="M1155" s="3" t="str">
        <f>IFERROR(MID(D1155,SEARCH("S_I_",D1155,1),3),"")</f>
        <v/>
      </c>
      <c r="N1155" s="3" t="str">
        <f>IFERROR(MID(D1155,SEARCH("C_I_",D1155,1),3),"")</f>
        <v>C_I</v>
      </c>
      <c r="O1155" s="3" t="str">
        <f>IF(AND(M1155="",N1155=""),"Extra","")</f>
        <v/>
      </c>
      <c r="P1155" s="3" t="str">
        <f>IF(Q1155=0,"TERCEIRO","MRS")</f>
        <v>MRS</v>
      </c>
      <c r="Q1155" s="8" t="str">
        <f>IFERROR(VLOOKUP(L1155,#REF!,4,0),"0,00")</f>
        <v>0,00</v>
      </c>
      <c r="R1155" s="9" t="s">
        <v>42</v>
      </c>
      <c r="S1155" s="9">
        <f>COUNTIF(D1155,"*_SEG_*")</f>
        <v>0</v>
      </c>
      <c r="T1155" s="9">
        <f>COUNTIF(D1155,"*_MAN_*")</f>
        <v>1</v>
      </c>
      <c r="U1155" s="9">
        <f>(RIGHT(D1155,4))*1</f>
        <v>30</v>
      </c>
      <c r="V1155" s="9" t="str">
        <f>IFERROR(VLOOKUP(I1155,#REF!,2,0),"Sinalização")</f>
        <v>Sinalização</v>
      </c>
    </row>
    <row r="1156" spans="1:22" x14ac:dyDescent="0.25">
      <c r="A1156" s="3" t="s">
        <v>22</v>
      </c>
      <c r="B1156" s="4">
        <v>23511243</v>
      </c>
      <c r="C1156" s="5" t="s">
        <v>23</v>
      </c>
      <c r="D1156" s="6" t="s">
        <v>1045</v>
      </c>
      <c r="E1156" s="6" t="s">
        <v>25</v>
      </c>
      <c r="F1156" s="11">
        <v>46165</v>
      </c>
      <c r="G1156" s="6" t="s">
        <v>1079</v>
      </c>
      <c r="H1156" s="7" t="s">
        <v>26</v>
      </c>
      <c r="I1156" s="7" t="s">
        <v>256</v>
      </c>
      <c r="J1156" s="7" t="s">
        <v>927</v>
      </c>
      <c r="K1156" s="7" t="s">
        <v>29</v>
      </c>
      <c r="L1156" s="3" t="str">
        <f>E1156&amp;D1156</f>
        <v>E.SP.IPAEE_INS_CONF_C_I_MCH 110VCC GRS 5C_0030</v>
      </c>
      <c r="M1156" s="3" t="str">
        <f>IFERROR(MID(D1156,SEARCH("S_I_",D1156,1),3),"")</f>
        <v/>
      </c>
      <c r="N1156" s="3" t="str">
        <f>IFERROR(MID(D1156,SEARCH("C_I_",D1156,1),3),"")</f>
        <v>C_I</v>
      </c>
      <c r="O1156" s="3" t="str">
        <f>IF(AND(M1156="",N1156=""),"Extra","")</f>
        <v/>
      </c>
      <c r="P1156" s="3" t="str">
        <f>IF(Q1156=0,"TERCEIRO","MRS")</f>
        <v>MRS</v>
      </c>
      <c r="Q1156" s="8" t="str">
        <f>IFERROR(VLOOKUP(L1156,#REF!,4,0),"0,00")</f>
        <v>0,00</v>
      </c>
      <c r="R1156" s="9" t="s">
        <v>42</v>
      </c>
      <c r="S1156" s="9">
        <f>COUNTIF(D1156,"*_SEG_*")</f>
        <v>0</v>
      </c>
      <c r="T1156" s="9">
        <f>COUNTIF(D1156,"*_MAN_*")</f>
        <v>0</v>
      </c>
      <c r="U1156" s="9">
        <f>(RIGHT(D1156,4))*1</f>
        <v>30</v>
      </c>
      <c r="V1156" s="9" t="str">
        <f>IFERROR(VLOOKUP(I1156,#REF!,2,0),"Sinalização")</f>
        <v>Sinalização</v>
      </c>
    </row>
    <row r="1157" spans="1:22" x14ac:dyDescent="0.25">
      <c r="A1157" s="3" t="s">
        <v>22</v>
      </c>
      <c r="B1157" s="4">
        <v>23511246</v>
      </c>
      <c r="C1157" s="5" t="s">
        <v>23</v>
      </c>
      <c r="D1157" s="6" t="s">
        <v>1044</v>
      </c>
      <c r="E1157" s="6" t="s">
        <v>25</v>
      </c>
      <c r="F1157" s="11">
        <v>46165</v>
      </c>
      <c r="G1157" s="6" t="s">
        <v>1079</v>
      </c>
      <c r="H1157" s="7" t="s">
        <v>26</v>
      </c>
      <c r="I1157" s="7" t="s">
        <v>256</v>
      </c>
      <c r="J1157" s="7" t="s">
        <v>958</v>
      </c>
      <c r="K1157" s="7" t="s">
        <v>29</v>
      </c>
      <c r="L1157" s="3" t="str">
        <f>E1157&amp;D1157</f>
        <v>E.SP.IPAEE_INS_SEG_C_I_MCH 110VCC GRS 5C_0030</v>
      </c>
      <c r="M1157" s="3" t="str">
        <f>IFERROR(MID(D1157,SEARCH("S_I_",D1157,1),3),"")</f>
        <v/>
      </c>
      <c r="N1157" s="3" t="str">
        <f>IFERROR(MID(D1157,SEARCH("C_I_",D1157,1),3),"")</f>
        <v>C_I</v>
      </c>
      <c r="O1157" s="3" t="str">
        <f>IF(AND(M1157="",N1157=""),"Extra","")</f>
        <v/>
      </c>
      <c r="P1157" s="3" t="str">
        <f>IF(Q1157=0,"TERCEIRO","MRS")</f>
        <v>MRS</v>
      </c>
      <c r="Q1157" s="8" t="str">
        <f>IFERROR(VLOOKUP(L1157,#REF!,4,0),"0,00")</f>
        <v>0,00</v>
      </c>
      <c r="R1157" s="9" t="s">
        <v>30</v>
      </c>
      <c r="S1157" s="9">
        <f>COUNTIF(D1157,"*_SEG_*")</f>
        <v>1</v>
      </c>
      <c r="T1157" s="9">
        <f>COUNTIF(D1157,"*_MAN_*")</f>
        <v>0</v>
      </c>
      <c r="U1157" s="9">
        <f>(RIGHT(D1157,4))*1</f>
        <v>30</v>
      </c>
      <c r="V1157" s="9" t="str">
        <f>IFERROR(VLOOKUP(I1157,#REF!,2,0),"Sinalização")</f>
        <v>Sinalização</v>
      </c>
    </row>
    <row r="1158" spans="1:22" x14ac:dyDescent="0.25">
      <c r="A1158" s="3" t="s">
        <v>22</v>
      </c>
      <c r="B1158" s="4">
        <v>23511248</v>
      </c>
      <c r="C1158" s="5" t="s">
        <v>23</v>
      </c>
      <c r="D1158" s="6" t="s">
        <v>1045</v>
      </c>
      <c r="E1158" s="6" t="s">
        <v>25</v>
      </c>
      <c r="F1158" s="11">
        <v>46165</v>
      </c>
      <c r="G1158" s="6" t="s">
        <v>1079</v>
      </c>
      <c r="H1158" s="7" t="s">
        <v>26</v>
      </c>
      <c r="I1158" s="7" t="s">
        <v>450</v>
      </c>
      <c r="J1158" s="7" t="s">
        <v>927</v>
      </c>
      <c r="K1158" s="7" t="s">
        <v>29</v>
      </c>
      <c r="L1158" s="3" t="str">
        <f>E1158&amp;D1158</f>
        <v>E.SP.IPAEE_INS_CONF_C_I_MCH 110VCC GRS 5C_0030</v>
      </c>
      <c r="M1158" s="3" t="str">
        <f>IFERROR(MID(D1158,SEARCH("S_I_",D1158,1),3),"")</f>
        <v/>
      </c>
      <c r="N1158" s="3" t="str">
        <f>IFERROR(MID(D1158,SEARCH("C_I_",D1158,1),3),"")</f>
        <v>C_I</v>
      </c>
      <c r="O1158" s="3" t="str">
        <f>IF(AND(M1158="",N1158=""),"Extra","")</f>
        <v/>
      </c>
      <c r="P1158" s="3" t="str">
        <f>IF(Q1158=0,"TERCEIRO","MRS")</f>
        <v>MRS</v>
      </c>
      <c r="Q1158" s="8" t="str">
        <f>IFERROR(VLOOKUP(L1158,#REF!,4,0),"0,00")</f>
        <v>0,00</v>
      </c>
      <c r="R1158" s="9" t="s">
        <v>42</v>
      </c>
      <c r="S1158" s="9">
        <f>COUNTIF(D1158,"*_SEG_*")</f>
        <v>0</v>
      </c>
      <c r="T1158" s="9">
        <f>COUNTIF(D1158,"*_MAN_*")</f>
        <v>0</v>
      </c>
      <c r="U1158" s="9">
        <f>(RIGHT(D1158,4))*1</f>
        <v>30</v>
      </c>
      <c r="V1158" s="9" t="str">
        <f>IFERROR(VLOOKUP(I1158,#REF!,2,0),"Sinalização")</f>
        <v>Sinalização</v>
      </c>
    </row>
    <row r="1159" spans="1:22" x14ac:dyDescent="0.25">
      <c r="A1159" s="3" t="s">
        <v>22</v>
      </c>
      <c r="B1159" s="4">
        <v>23511249</v>
      </c>
      <c r="C1159" s="5" t="s">
        <v>23</v>
      </c>
      <c r="D1159" s="6" t="s">
        <v>846</v>
      </c>
      <c r="E1159" s="6" t="s">
        <v>25</v>
      </c>
      <c r="F1159" s="11">
        <v>46165</v>
      </c>
      <c r="G1159" s="6" t="s">
        <v>1079</v>
      </c>
      <c r="H1159" s="7" t="s">
        <v>26</v>
      </c>
      <c r="I1159" s="7" t="s">
        <v>450</v>
      </c>
      <c r="J1159" s="7" t="s">
        <v>834</v>
      </c>
      <c r="K1159" s="7" t="s">
        <v>29</v>
      </c>
      <c r="L1159" s="3" t="str">
        <f>E1159&amp;D1159</f>
        <v>E.SP.IPAEE_INS_CONF_S_I_MCH 110VCC GRS 5C_0030</v>
      </c>
      <c r="M1159" s="3" t="str">
        <f>IFERROR(MID(D1159,SEARCH("S_I_",D1159,1),3),"")</f>
        <v>S_I</v>
      </c>
      <c r="N1159" s="3" t="str">
        <f>IFERROR(MID(D1159,SEARCH("C_I_",D1159,1),3),"")</f>
        <v/>
      </c>
      <c r="O1159" s="3" t="str">
        <f>IF(AND(M1159="",N1159=""),"Extra","")</f>
        <v/>
      </c>
      <c r="P1159" s="3" t="str">
        <f>IF(Q1159=0,"TERCEIRO","MRS")</f>
        <v>MRS</v>
      </c>
      <c r="Q1159" s="8" t="str">
        <f>IFERROR(VLOOKUP(L1159,#REF!,4,0),"0,00")</f>
        <v>0,00</v>
      </c>
      <c r="R1159" s="9" t="s">
        <v>57</v>
      </c>
      <c r="S1159" s="9">
        <f>COUNTIF(D1159,"*_SEG_*")</f>
        <v>0</v>
      </c>
      <c r="T1159" s="9">
        <f>COUNTIF(D1159,"*_MAN_*")</f>
        <v>0</v>
      </c>
      <c r="U1159" s="9">
        <f>(RIGHT(D1159,4))*1</f>
        <v>30</v>
      </c>
      <c r="V1159" s="9" t="str">
        <f>IFERROR(VLOOKUP(I1159,#REF!,2,0),"Sinalização")</f>
        <v>Sinalização</v>
      </c>
    </row>
    <row r="1160" spans="1:22" x14ac:dyDescent="0.25">
      <c r="A1160" s="3" t="s">
        <v>22</v>
      </c>
      <c r="B1160" s="4">
        <v>23511250</v>
      </c>
      <c r="C1160" s="5" t="s">
        <v>23</v>
      </c>
      <c r="D1160" s="6" t="s">
        <v>1044</v>
      </c>
      <c r="E1160" s="6" t="s">
        <v>25</v>
      </c>
      <c r="F1160" s="11">
        <v>46165</v>
      </c>
      <c r="G1160" s="6" t="s">
        <v>1079</v>
      </c>
      <c r="H1160" s="7" t="s">
        <v>26</v>
      </c>
      <c r="I1160" s="7" t="s">
        <v>450</v>
      </c>
      <c r="J1160" s="7" t="s">
        <v>958</v>
      </c>
      <c r="K1160" s="7" t="s">
        <v>29</v>
      </c>
      <c r="L1160" s="3" t="str">
        <f>E1160&amp;D1160</f>
        <v>E.SP.IPAEE_INS_SEG_C_I_MCH 110VCC GRS 5C_0030</v>
      </c>
      <c r="M1160" s="3" t="str">
        <f>IFERROR(MID(D1160,SEARCH("S_I_",D1160,1),3),"")</f>
        <v/>
      </c>
      <c r="N1160" s="3" t="str">
        <f>IFERROR(MID(D1160,SEARCH("C_I_",D1160,1),3),"")</f>
        <v>C_I</v>
      </c>
      <c r="O1160" s="3" t="str">
        <f>IF(AND(M1160="",N1160=""),"Extra","")</f>
        <v/>
      </c>
      <c r="P1160" s="3" t="str">
        <f>IF(Q1160=0,"TERCEIRO","MRS")</f>
        <v>MRS</v>
      </c>
      <c r="Q1160" s="8" t="str">
        <f>IFERROR(VLOOKUP(L1160,#REF!,4,0),"0,00")</f>
        <v>0,00</v>
      </c>
      <c r="R1160" s="9" t="s">
        <v>30</v>
      </c>
      <c r="S1160" s="9">
        <f>COUNTIF(D1160,"*_SEG_*")</f>
        <v>1</v>
      </c>
      <c r="T1160" s="9">
        <f>COUNTIF(D1160,"*_MAN_*")</f>
        <v>0</v>
      </c>
      <c r="U1160" s="9">
        <f>(RIGHT(D1160,4))*1</f>
        <v>30</v>
      </c>
      <c r="V1160" s="9" t="str">
        <f>IFERROR(VLOOKUP(I1160,#REF!,2,0),"Sinalização")</f>
        <v>Sinalização</v>
      </c>
    </row>
    <row r="1161" spans="1:22" x14ac:dyDescent="0.25">
      <c r="A1161" s="3" t="s">
        <v>22</v>
      </c>
      <c r="B1161" s="4">
        <v>23511251</v>
      </c>
      <c r="C1161" s="5" t="s">
        <v>23</v>
      </c>
      <c r="D1161" s="6" t="s">
        <v>1045</v>
      </c>
      <c r="E1161" s="6" t="s">
        <v>25</v>
      </c>
      <c r="F1161" s="11">
        <v>46165</v>
      </c>
      <c r="G1161" s="6" t="s">
        <v>1079</v>
      </c>
      <c r="H1161" s="7" t="s">
        <v>26</v>
      </c>
      <c r="I1161" s="7" t="s">
        <v>449</v>
      </c>
      <c r="J1161" s="7" t="s">
        <v>927</v>
      </c>
      <c r="K1161" s="7" t="s">
        <v>29</v>
      </c>
      <c r="L1161" s="3" t="str">
        <f>E1161&amp;D1161</f>
        <v>E.SP.IPAEE_INS_CONF_C_I_MCH 110VCC GRS 5C_0030</v>
      </c>
      <c r="M1161" s="3" t="str">
        <f>IFERROR(MID(D1161,SEARCH("S_I_",D1161,1),3),"")</f>
        <v/>
      </c>
      <c r="N1161" s="3" t="str">
        <f>IFERROR(MID(D1161,SEARCH("C_I_",D1161,1),3),"")</f>
        <v>C_I</v>
      </c>
      <c r="O1161" s="3" t="str">
        <f>IF(AND(M1161="",N1161=""),"Extra","")</f>
        <v/>
      </c>
      <c r="P1161" s="3" t="str">
        <f>IF(Q1161=0,"TERCEIRO","MRS")</f>
        <v>MRS</v>
      </c>
      <c r="Q1161" s="8" t="str">
        <f>IFERROR(VLOOKUP(L1161,#REF!,4,0),"0,00")</f>
        <v>0,00</v>
      </c>
      <c r="R1161" s="9" t="s">
        <v>42</v>
      </c>
      <c r="S1161" s="9">
        <f>COUNTIF(D1161,"*_SEG_*")</f>
        <v>0</v>
      </c>
      <c r="T1161" s="9">
        <f>COUNTIF(D1161,"*_MAN_*")</f>
        <v>0</v>
      </c>
      <c r="U1161" s="9">
        <f>(RIGHT(D1161,4))*1</f>
        <v>30</v>
      </c>
      <c r="V1161" s="9" t="str">
        <f>IFERROR(VLOOKUP(I1161,#REF!,2,0),"Sinalização")</f>
        <v>Sinalização</v>
      </c>
    </row>
    <row r="1162" spans="1:22" x14ac:dyDescent="0.25">
      <c r="A1162" s="3" t="s">
        <v>22</v>
      </c>
      <c r="B1162" s="4">
        <v>23511252</v>
      </c>
      <c r="C1162" s="5" t="s">
        <v>23</v>
      </c>
      <c r="D1162" s="6" t="s">
        <v>846</v>
      </c>
      <c r="E1162" s="6" t="s">
        <v>25</v>
      </c>
      <c r="F1162" s="11">
        <v>46165</v>
      </c>
      <c r="G1162" s="6" t="s">
        <v>1079</v>
      </c>
      <c r="H1162" s="7" t="s">
        <v>26</v>
      </c>
      <c r="I1162" s="7" t="s">
        <v>449</v>
      </c>
      <c r="J1162" s="7" t="s">
        <v>834</v>
      </c>
      <c r="K1162" s="7" t="s">
        <v>29</v>
      </c>
      <c r="L1162" s="3" t="str">
        <f>E1162&amp;D1162</f>
        <v>E.SP.IPAEE_INS_CONF_S_I_MCH 110VCC GRS 5C_0030</v>
      </c>
      <c r="M1162" s="3" t="str">
        <f>IFERROR(MID(D1162,SEARCH("S_I_",D1162,1),3),"")</f>
        <v>S_I</v>
      </c>
      <c r="N1162" s="3" t="str">
        <f>IFERROR(MID(D1162,SEARCH("C_I_",D1162,1),3),"")</f>
        <v/>
      </c>
      <c r="O1162" s="3" t="str">
        <f>IF(AND(M1162="",N1162=""),"Extra","")</f>
        <v/>
      </c>
      <c r="P1162" s="3" t="str">
        <f>IF(Q1162=0,"TERCEIRO","MRS")</f>
        <v>MRS</v>
      </c>
      <c r="Q1162" s="8" t="str">
        <f>IFERROR(VLOOKUP(L1162,#REF!,4,0),"0,00")</f>
        <v>0,00</v>
      </c>
      <c r="R1162" s="9" t="s">
        <v>57</v>
      </c>
      <c r="S1162" s="9">
        <f>COUNTIF(D1162,"*_SEG_*")</f>
        <v>0</v>
      </c>
      <c r="T1162" s="9">
        <f>COUNTIF(D1162,"*_MAN_*")</f>
        <v>0</v>
      </c>
      <c r="U1162" s="9">
        <f>(RIGHT(D1162,4))*1</f>
        <v>30</v>
      </c>
      <c r="V1162" s="9" t="str">
        <f>IFERROR(VLOOKUP(I1162,#REF!,2,0),"Sinalização")</f>
        <v>Sinalização</v>
      </c>
    </row>
    <row r="1163" spans="1:22" x14ac:dyDescent="0.25">
      <c r="A1163" s="3" t="s">
        <v>22</v>
      </c>
      <c r="B1163" s="4">
        <v>23511253</v>
      </c>
      <c r="C1163" s="5" t="s">
        <v>23</v>
      </c>
      <c r="D1163" s="6" t="s">
        <v>1044</v>
      </c>
      <c r="E1163" s="6" t="s">
        <v>25</v>
      </c>
      <c r="F1163" s="11">
        <v>46165</v>
      </c>
      <c r="G1163" s="6" t="s">
        <v>1079</v>
      </c>
      <c r="H1163" s="7" t="s">
        <v>26</v>
      </c>
      <c r="I1163" s="7" t="s">
        <v>449</v>
      </c>
      <c r="J1163" s="7" t="s">
        <v>958</v>
      </c>
      <c r="K1163" s="7" t="s">
        <v>29</v>
      </c>
      <c r="L1163" s="3" t="str">
        <f>E1163&amp;D1163</f>
        <v>E.SP.IPAEE_INS_SEG_C_I_MCH 110VCC GRS 5C_0030</v>
      </c>
      <c r="M1163" s="3" t="str">
        <f>IFERROR(MID(D1163,SEARCH("S_I_",D1163,1),3),"")</f>
        <v/>
      </c>
      <c r="N1163" s="3" t="str">
        <f>IFERROR(MID(D1163,SEARCH("C_I_",D1163,1),3),"")</f>
        <v>C_I</v>
      </c>
      <c r="O1163" s="3" t="str">
        <f>IF(AND(M1163="",N1163=""),"Extra","")</f>
        <v/>
      </c>
      <c r="P1163" s="3" t="str">
        <f>IF(Q1163=0,"TERCEIRO","MRS")</f>
        <v>MRS</v>
      </c>
      <c r="Q1163" s="8" t="str">
        <f>IFERROR(VLOOKUP(L1163,#REF!,4,0),"0,00")</f>
        <v>0,00</v>
      </c>
      <c r="R1163" s="9" t="s">
        <v>30</v>
      </c>
      <c r="S1163" s="9">
        <f>COUNTIF(D1163,"*_SEG_*")</f>
        <v>1</v>
      </c>
      <c r="T1163" s="9">
        <f>COUNTIF(D1163,"*_MAN_*")</f>
        <v>0</v>
      </c>
      <c r="U1163" s="9">
        <f>(RIGHT(D1163,4))*1</f>
        <v>30</v>
      </c>
      <c r="V1163" s="9" t="str">
        <f>IFERROR(VLOOKUP(I1163,#REF!,2,0),"Sinalização")</f>
        <v>Sinalização</v>
      </c>
    </row>
    <row r="1164" spans="1:22" x14ac:dyDescent="0.25">
      <c r="A1164" s="3" t="s">
        <v>22</v>
      </c>
      <c r="B1164" s="4">
        <v>23511254</v>
      </c>
      <c r="C1164" s="5" t="s">
        <v>23</v>
      </c>
      <c r="D1164" s="6" t="s">
        <v>1045</v>
      </c>
      <c r="E1164" s="6" t="s">
        <v>25</v>
      </c>
      <c r="F1164" s="11">
        <v>46165</v>
      </c>
      <c r="G1164" s="6" t="s">
        <v>1079</v>
      </c>
      <c r="H1164" s="7" t="s">
        <v>26</v>
      </c>
      <c r="I1164" s="7" t="s">
        <v>607</v>
      </c>
      <c r="J1164" s="7" t="s">
        <v>927</v>
      </c>
      <c r="K1164" s="7" t="s">
        <v>29</v>
      </c>
      <c r="L1164" s="3" t="str">
        <f>E1164&amp;D1164</f>
        <v>E.SP.IPAEE_INS_CONF_C_I_MCH 110VCC GRS 5C_0030</v>
      </c>
      <c r="M1164" s="3" t="str">
        <f>IFERROR(MID(D1164,SEARCH("S_I_",D1164,1),3),"")</f>
        <v/>
      </c>
      <c r="N1164" s="3" t="str">
        <f>IFERROR(MID(D1164,SEARCH("C_I_",D1164,1),3),"")</f>
        <v>C_I</v>
      </c>
      <c r="O1164" s="3" t="str">
        <f>IF(AND(M1164="",N1164=""),"Extra","")</f>
        <v/>
      </c>
      <c r="P1164" s="3" t="str">
        <f>IF(Q1164=0,"TERCEIRO","MRS")</f>
        <v>MRS</v>
      </c>
      <c r="Q1164" s="8" t="str">
        <f>IFERROR(VLOOKUP(L1164,#REF!,4,0),"0,00")</f>
        <v>0,00</v>
      </c>
      <c r="R1164" s="9" t="s">
        <v>42</v>
      </c>
      <c r="S1164" s="9">
        <f>COUNTIF(D1164,"*_SEG_*")</f>
        <v>0</v>
      </c>
      <c r="T1164" s="9">
        <f>COUNTIF(D1164,"*_MAN_*")</f>
        <v>0</v>
      </c>
      <c r="U1164" s="9">
        <f>(RIGHT(D1164,4))*1</f>
        <v>30</v>
      </c>
      <c r="V1164" s="9" t="str">
        <f>IFERROR(VLOOKUP(I1164,#REF!,2,0),"Sinalização")</f>
        <v>Sinalização</v>
      </c>
    </row>
    <row r="1165" spans="1:22" x14ac:dyDescent="0.25">
      <c r="A1165" s="3" t="s">
        <v>22</v>
      </c>
      <c r="B1165" s="4">
        <v>23511255</v>
      </c>
      <c r="C1165" s="5" t="s">
        <v>23</v>
      </c>
      <c r="D1165" s="6" t="s">
        <v>846</v>
      </c>
      <c r="E1165" s="6" t="s">
        <v>25</v>
      </c>
      <c r="F1165" s="11">
        <v>46165</v>
      </c>
      <c r="G1165" s="6" t="s">
        <v>1079</v>
      </c>
      <c r="H1165" s="7" t="s">
        <v>26</v>
      </c>
      <c r="I1165" s="7" t="s">
        <v>607</v>
      </c>
      <c r="J1165" s="7" t="s">
        <v>834</v>
      </c>
      <c r="K1165" s="7" t="s">
        <v>29</v>
      </c>
      <c r="L1165" s="3" t="str">
        <f>E1165&amp;D1165</f>
        <v>E.SP.IPAEE_INS_CONF_S_I_MCH 110VCC GRS 5C_0030</v>
      </c>
      <c r="M1165" s="3" t="str">
        <f>IFERROR(MID(D1165,SEARCH("S_I_",D1165,1),3),"")</f>
        <v>S_I</v>
      </c>
      <c r="N1165" s="3" t="str">
        <f>IFERROR(MID(D1165,SEARCH("C_I_",D1165,1),3),"")</f>
        <v/>
      </c>
      <c r="O1165" s="3" t="str">
        <f>IF(AND(M1165="",N1165=""),"Extra","")</f>
        <v/>
      </c>
      <c r="P1165" s="3" t="str">
        <f>IF(Q1165=0,"TERCEIRO","MRS")</f>
        <v>MRS</v>
      </c>
      <c r="Q1165" s="8" t="str">
        <f>IFERROR(VLOOKUP(L1165,#REF!,4,0),"0,00")</f>
        <v>0,00</v>
      </c>
      <c r="R1165" s="9" t="s">
        <v>57</v>
      </c>
      <c r="S1165" s="9">
        <f>COUNTIF(D1165,"*_SEG_*")</f>
        <v>0</v>
      </c>
      <c r="T1165" s="9">
        <f>COUNTIF(D1165,"*_MAN_*")</f>
        <v>0</v>
      </c>
      <c r="U1165" s="9">
        <f>(RIGHT(D1165,4))*1</f>
        <v>30</v>
      </c>
      <c r="V1165" s="9" t="str">
        <f>IFERROR(VLOOKUP(I1165,#REF!,2,0),"Sinalização")</f>
        <v>Sinalização</v>
      </c>
    </row>
    <row r="1166" spans="1:22" x14ac:dyDescent="0.25">
      <c r="A1166" s="3" t="s">
        <v>22</v>
      </c>
      <c r="B1166" s="4">
        <v>23511256</v>
      </c>
      <c r="C1166" s="5" t="s">
        <v>23</v>
      </c>
      <c r="D1166" s="6" t="s">
        <v>1044</v>
      </c>
      <c r="E1166" s="6" t="s">
        <v>25</v>
      </c>
      <c r="F1166" s="11">
        <v>46165</v>
      </c>
      <c r="G1166" s="6" t="s">
        <v>1079</v>
      </c>
      <c r="H1166" s="7" t="s">
        <v>26</v>
      </c>
      <c r="I1166" s="7" t="s">
        <v>607</v>
      </c>
      <c r="J1166" s="7" t="s">
        <v>958</v>
      </c>
      <c r="K1166" s="7" t="s">
        <v>29</v>
      </c>
      <c r="L1166" s="3" t="str">
        <f>E1166&amp;D1166</f>
        <v>E.SP.IPAEE_INS_SEG_C_I_MCH 110VCC GRS 5C_0030</v>
      </c>
      <c r="M1166" s="3" t="str">
        <f>IFERROR(MID(D1166,SEARCH("S_I_",D1166,1),3),"")</f>
        <v/>
      </c>
      <c r="N1166" s="3" t="str">
        <f>IFERROR(MID(D1166,SEARCH("C_I_",D1166,1),3),"")</f>
        <v>C_I</v>
      </c>
      <c r="O1166" s="3" t="str">
        <f>IF(AND(M1166="",N1166=""),"Extra","")</f>
        <v/>
      </c>
      <c r="P1166" s="3" t="str">
        <f>IF(Q1166=0,"TERCEIRO","MRS")</f>
        <v>MRS</v>
      </c>
      <c r="Q1166" s="8" t="str">
        <f>IFERROR(VLOOKUP(L1166,#REF!,4,0),"0,00")</f>
        <v>0,00</v>
      </c>
      <c r="R1166" s="9" t="s">
        <v>30</v>
      </c>
      <c r="S1166" s="9">
        <f>COUNTIF(D1166,"*_SEG_*")</f>
        <v>1</v>
      </c>
      <c r="T1166" s="9">
        <f>COUNTIF(D1166,"*_MAN_*")</f>
        <v>0</v>
      </c>
      <c r="U1166" s="9">
        <f>(RIGHT(D1166,4))*1</f>
        <v>30</v>
      </c>
      <c r="V1166" s="9" t="str">
        <f>IFERROR(VLOOKUP(I1166,#REF!,2,0),"Sinalização")</f>
        <v>Sinalização</v>
      </c>
    </row>
    <row r="1167" spans="1:22" x14ac:dyDescent="0.25">
      <c r="A1167" s="3" t="s">
        <v>22</v>
      </c>
      <c r="B1167" s="4">
        <v>23511257</v>
      </c>
      <c r="C1167" s="5" t="s">
        <v>23</v>
      </c>
      <c r="D1167" s="6" t="s">
        <v>846</v>
      </c>
      <c r="E1167" s="6" t="s">
        <v>25</v>
      </c>
      <c r="F1167" s="11">
        <v>46165</v>
      </c>
      <c r="G1167" s="6" t="s">
        <v>1079</v>
      </c>
      <c r="H1167" s="7" t="s">
        <v>26</v>
      </c>
      <c r="I1167" s="7" t="s">
        <v>40</v>
      </c>
      <c r="J1167" s="7" t="s">
        <v>834</v>
      </c>
      <c r="K1167" s="7" t="s">
        <v>29</v>
      </c>
      <c r="L1167" s="3" t="str">
        <f>E1167&amp;D1167</f>
        <v>E.SP.IPAEE_INS_CONF_S_I_MCH 110VCC GRS 5C_0030</v>
      </c>
      <c r="M1167" s="3" t="str">
        <f>IFERROR(MID(D1167,SEARCH("S_I_",D1167,1),3),"")</f>
        <v>S_I</v>
      </c>
      <c r="N1167" s="3" t="str">
        <f>IFERROR(MID(D1167,SEARCH("C_I_",D1167,1),3),"")</f>
        <v/>
      </c>
      <c r="O1167" s="3" t="str">
        <f>IF(AND(M1167="",N1167=""),"Extra","")</f>
        <v/>
      </c>
      <c r="P1167" s="3" t="str">
        <f>IF(Q1167=0,"TERCEIRO","MRS")</f>
        <v>MRS</v>
      </c>
      <c r="Q1167" s="8" t="str">
        <f>IFERROR(VLOOKUP(L1167,#REF!,4,0),"0,00")</f>
        <v>0,00</v>
      </c>
      <c r="R1167" s="9" t="s">
        <v>57</v>
      </c>
      <c r="S1167" s="9">
        <f>COUNTIF(D1167,"*_SEG_*")</f>
        <v>0</v>
      </c>
      <c r="T1167" s="9">
        <f>COUNTIF(D1167,"*_MAN_*")</f>
        <v>0</v>
      </c>
      <c r="U1167" s="9">
        <f>(RIGHT(D1167,4))*1</f>
        <v>30</v>
      </c>
      <c r="V1167" s="9" t="str">
        <f>IFERROR(VLOOKUP(I1167,#REF!,2,0),"Sinalização")</f>
        <v>Sinalização</v>
      </c>
    </row>
    <row r="1168" spans="1:22" x14ac:dyDescent="0.25">
      <c r="A1168" s="3" t="s">
        <v>22</v>
      </c>
      <c r="B1168" s="4">
        <v>23511500</v>
      </c>
      <c r="C1168" s="5" t="s">
        <v>23</v>
      </c>
      <c r="D1168" s="6" t="s">
        <v>1046</v>
      </c>
      <c r="E1168" s="6" t="s">
        <v>25</v>
      </c>
      <c r="F1168" s="11">
        <v>46165</v>
      </c>
      <c r="G1168" s="6" t="s">
        <v>1079</v>
      </c>
      <c r="H1168" s="7" t="s">
        <v>26</v>
      </c>
      <c r="I1168" s="7" t="s">
        <v>979</v>
      </c>
      <c r="J1168" s="7" t="s">
        <v>834</v>
      </c>
      <c r="K1168" s="7" t="s">
        <v>29</v>
      </c>
      <c r="L1168" s="3" t="str">
        <f>E1168&amp;D1168</f>
        <v>E.SP.IPAEE_INS_CONF_S_I_CAMPAINHA DE P.N._0030</v>
      </c>
      <c r="M1168" s="3" t="str">
        <f>IFERROR(MID(D1168,SEARCH("S_I_",D1168,1),3),"")</f>
        <v>S_I</v>
      </c>
      <c r="N1168" s="3" t="str">
        <f>IFERROR(MID(D1168,SEARCH("C_I_",D1168,1),3),"")</f>
        <v/>
      </c>
      <c r="O1168" s="3" t="str">
        <f>IF(AND(M1168="",N1168=""),"Extra","")</f>
        <v/>
      </c>
      <c r="P1168" s="3" t="str">
        <f>IF(Q1168=0,"TERCEIRO","MRS")</f>
        <v>MRS</v>
      </c>
      <c r="Q1168" s="8" t="str">
        <f>IFERROR(VLOOKUP(L1168,#REF!,4,0),"0,00")</f>
        <v>0,00</v>
      </c>
      <c r="R1168" s="9" t="s">
        <v>57</v>
      </c>
      <c r="S1168" s="9">
        <f>COUNTIF(D1168,"*_SEG_*")</f>
        <v>0</v>
      </c>
      <c r="T1168" s="9">
        <f>COUNTIF(D1168,"*_MAN_*")</f>
        <v>0</v>
      </c>
      <c r="U1168" s="9">
        <f>(RIGHT(D1168,4))*1</f>
        <v>30</v>
      </c>
      <c r="V1168" s="9" t="str">
        <f>IFERROR(VLOOKUP(I1168,#REF!,2,0),"Sinalização")</f>
        <v>Sinalização</v>
      </c>
    </row>
    <row r="1169" spans="1:22" x14ac:dyDescent="0.25">
      <c r="A1169" s="3" t="s">
        <v>22</v>
      </c>
      <c r="B1169" s="4">
        <v>23511501</v>
      </c>
      <c r="C1169" s="5" t="s">
        <v>23</v>
      </c>
      <c r="D1169" s="6" t="s">
        <v>1046</v>
      </c>
      <c r="E1169" s="6" t="s">
        <v>25</v>
      </c>
      <c r="F1169" s="11">
        <v>46165</v>
      </c>
      <c r="G1169" s="6" t="s">
        <v>1079</v>
      </c>
      <c r="H1169" s="7" t="s">
        <v>26</v>
      </c>
      <c r="I1169" s="7" t="s">
        <v>978</v>
      </c>
      <c r="J1169" s="7" t="s">
        <v>834</v>
      </c>
      <c r="K1169" s="7" t="s">
        <v>29</v>
      </c>
      <c r="L1169" s="3" t="str">
        <f>E1169&amp;D1169</f>
        <v>E.SP.IPAEE_INS_CONF_S_I_CAMPAINHA DE P.N._0030</v>
      </c>
      <c r="M1169" s="3" t="str">
        <f>IFERROR(MID(D1169,SEARCH("S_I_",D1169,1),3),"")</f>
        <v>S_I</v>
      </c>
      <c r="N1169" s="3" t="str">
        <f>IFERROR(MID(D1169,SEARCH("C_I_",D1169,1),3),"")</f>
        <v/>
      </c>
      <c r="O1169" s="3" t="str">
        <f>IF(AND(M1169="",N1169=""),"Extra","")</f>
        <v/>
      </c>
      <c r="P1169" s="3" t="str">
        <f>IF(Q1169=0,"TERCEIRO","MRS")</f>
        <v>MRS</v>
      </c>
      <c r="Q1169" s="8" t="str">
        <f>IFERROR(VLOOKUP(L1169,#REF!,4,0),"0,00")</f>
        <v>0,00</v>
      </c>
      <c r="R1169" s="9" t="s">
        <v>57</v>
      </c>
      <c r="S1169" s="9">
        <f>COUNTIF(D1169,"*_SEG_*")</f>
        <v>0</v>
      </c>
      <c r="T1169" s="9">
        <f>COUNTIF(D1169,"*_MAN_*")</f>
        <v>0</v>
      </c>
      <c r="U1169" s="9">
        <f>(RIGHT(D1169,4))*1</f>
        <v>30</v>
      </c>
      <c r="V1169" s="9" t="str">
        <f>IFERROR(VLOOKUP(I1169,#REF!,2,0),"Sinalização")</f>
        <v>Sinalização</v>
      </c>
    </row>
    <row r="1170" spans="1:22" x14ac:dyDescent="0.25">
      <c r="A1170" s="3" t="s">
        <v>22</v>
      </c>
      <c r="B1170" s="4">
        <v>23511502</v>
      </c>
      <c r="C1170" s="5" t="s">
        <v>23</v>
      </c>
      <c r="D1170" s="6" t="s">
        <v>1046</v>
      </c>
      <c r="E1170" s="6" t="s">
        <v>25</v>
      </c>
      <c r="F1170" s="11">
        <v>46165</v>
      </c>
      <c r="G1170" s="6" t="s">
        <v>1079</v>
      </c>
      <c r="H1170" s="7" t="s">
        <v>26</v>
      </c>
      <c r="I1170" s="7" t="s">
        <v>982</v>
      </c>
      <c r="J1170" s="7" t="s">
        <v>834</v>
      </c>
      <c r="K1170" s="7" t="s">
        <v>29</v>
      </c>
      <c r="L1170" s="3" t="str">
        <f>E1170&amp;D1170</f>
        <v>E.SP.IPAEE_INS_CONF_S_I_CAMPAINHA DE P.N._0030</v>
      </c>
      <c r="M1170" s="3" t="str">
        <f>IFERROR(MID(D1170,SEARCH("S_I_",D1170,1),3),"")</f>
        <v>S_I</v>
      </c>
      <c r="N1170" s="3" t="str">
        <f>IFERROR(MID(D1170,SEARCH("C_I_",D1170,1),3),"")</f>
        <v/>
      </c>
      <c r="O1170" s="3" t="str">
        <f>IF(AND(M1170="",N1170=""),"Extra","")</f>
        <v/>
      </c>
      <c r="P1170" s="3" t="str">
        <f>IF(Q1170=0,"TERCEIRO","MRS")</f>
        <v>MRS</v>
      </c>
      <c r="Q1170" s="8" t="str">
        <f>IFERROR(VLOOKUP(L1170,#REF!,4,0),"0,00")</f>
        <v>0,00</v>
      </c>
      <c r="R1170" s="9" t="s">
        <v>57</v>
      </c>
      <c r="S1170" s="9">
        <f>COUNTIF(D1170,"*_SEG_*")</f>
        <v>0</v>
      </c>
      <c r="T1170" s="9">
        <f>COUNTIF(D1170,"*_MAN_*")</f>
        <v>0</v>
      </c>
      <c r="U1170" s="9">
        <f>(RIGHT(D1170,4))*1</f>
        <v>30</v>
      </c>
      <c r="V1170" s="9" t="str">
        <f>IFERROR(VLOOKUP(I1170,#REF!,2,0),"Sinalização")</f>
        <v>Sinalização</v>
      </c>
    </row>
    <row r="1171" spans="1:22" x14ac:dyDescent="0.25">
      <c r="A1171" s="3" t="s">
        <v>22</v>
      </c>
      <c r="B1171" s="4">
        <v>23511503</v>
      </c>
      <c r="C1171" s="5" t="s">
        <v>23</v>
      </c>
      <c r="D1171" s="6" t="s">
        <v>1046</v>
      </c>
      <c r="E1171" s="6" t="s">
        <v>25</v>
      </c>
      <c r="F1171" s="11">
        <v>46165</v>
      </c>
      <c r="G1171" s="6" t="s">
        <v>1079</v>
      </c>
      <c r="H1171" s="7" t="s">
        <v>26</v>
      </c>
      <c r="I1171" s="7" t="s">
        <v>983</v>
      </c>
      <c r="J1171" s="7" t="s">
        <v>834</v>
      </c>
      <c r="K1171" s="7" t="s">
        <v>29</v>
      </c>
      <c r="L1171" s="3" t="str">
        <f>E1171&amp;D1171</f>
        <v>E.SP.IPAEE_INS_CONF_S_I_CAMPAINHA DE P.N._0030</v>
      </c>
      <c r="M1171" s="3" t="str">
        <f>IFERROR(MID(D1171,SEARCH("S_I_",D1171,1),3),"")</f>
        <v>S_I</v>
      </c>
      <c r="N1171" s="3" t="str">
        <f>IFERROR(MID(D1171,SEARCH("C_I_",D1171,1),3),"")</f>
        <v/>
      </c>
      <c r="O1171" s="3" t="str">
        <f>IF(AND(M1171="",N1171=""),"Extra","")</f>
        <v/>
      </c>
      <c r="P1171" s="3" t="str">
        <f>IF(Q1171=0,"TERCEIRO","MRS")</f>
        <v>MRS</v>
      </c>
      <c r="Q1171" s="8" t="str">
        <f>IFERROR(VLOOKUP(L1171,#REF!,4,0),"0,00")</f>
        <v>0,00</v>
      </c>
      <c r="R1171" s="9" t="s">
        <v>57</v>
      </c>
      <c r="S1171" s="9">
        <f>COUNTIF(D1171,"*_SEG_*")</f>
        <v>0</v>
      </c>
      <c r="T1171" s="9">
        <f>COUNTIF(D1171,"*_MAN_*")</f>
        <v>0</v>
      </c>
      <c r="U1171" s="9">
        <f>(RIGHT(D1171,4))*1</f>
        <v>30</v>
      </c>
      <c r="V1171" s="9" t="str">
        <f>IFERROR(VLOOKUP(I1171,#REF!,2,0),"Sinalização")</f>
        <v>Sinalização</v>
      </c>
    </row>
    <row r="1172" spans="1:22" x14ac:dyDescent="0.25">
      <c r="A1172" s="3" t="s">
        <v>22</v>
      </c>
      <c r="B1172" s="4">
        <v>23511504</v>
      </c>
      <c r="C1172" s="5" t="s">
        <v>23</v>
      </c>
      <c r="D1172" s="6" t="s">
        <v>1046</v>
      </c>
      <c r="E1172" s="6" t="s">
        <v>25</v>
      </c>
      <c r="F1172" s="11">
        <v>46165</v>
      </c>
      <c r="G1172" s="6" t="s">
        <v>1079</v>
      </c>
      <c r="H1172" s="7" t="s">
        <v>26</v>
      </c>
      <c r="I1172" s="7" t="s">
        <v>976</v>
      </c>
      <c r="J1172" s="7" t="s">
        <v>834</v>
      </c>
      <c r="K1172" s="7" t="s">
        <v>29</v>
      </c>
      <c r="L1172" s="3" t="str">
        <f>E1172&amp;D1172</f>
        <v>E.SP.IPAEE_INS_CONF_S_I_CAMPAINHA DE P.N._0030</v>
      </c>
      <c r="M1172" s="3" t="str">
        <f>IFERROR(MID(D1172,SEARCH("S_I_",D1172,1),3),"")</f>
        <v>S_I</v>
      </c>
      <c r="N1172" s="3" t="str">
        <f>IFERROR(MID(D1172,SEARCH("C_I_",D1172,1),3),"")</f>
        <v/>
      </c>
      <c r="O1172" s="3" t="str">
        <f>IF(AND(M1172="",N1172=""),"Extra","")</f>
        <v/>
      </c>
      <c r="P1172" s="3" t="str">
        <f>IF(Q1172=0,"TERCEIRO","MRS")</f>
        <v>MRS</v>
      </c>
      <c r="Q1172" s="8" t="str">
        <f>IFERROR(VLOOKUP(L1172,#REF!,4,0),"0,00")</f>
        <v>0,00</v>
      </c>
      <c r="R1172" s="9" t="s">
        <v>57</v>
      </c>
      <c r="S1172" s="9">
        <f>COUNTIF(D1172,"*_SEG_*")</f>
        <v>0</v>
      </c>
      <c r="T1172" s="9">
        <f>COUNTIF(D1172,"*_MAN_*")</f>
        <v>0</v>
      </c>
      <c r="U1172" s="9">
        <f>(RIGHT(D1172,4))*1</f>
        <v>30</v>
      </c>
      <c r="V1172" s="9" t="str">
        <f>IFERROR(VLOOKUP(I1172,#REF!,2,0),"Sinalização")</f>
        <v>Sinalização</v>
      </c>
    </row>
    <row r="1173" spans="1:22" x14ac:dyDescent="0.25">
      <c r="A1173" s="3" t="s">
        <v>22</v>
      </c>
      <c r="B1173" s="4">
        <v>23511505</v>
      </c>
      <c r="C1173" s="5" t="s">
        <v>23</v>
      </c>
      <c r="D1173" s="6" t="s">
        <v>1046</v>
      </c>
      <c r="E1173" s="6" t="s">
        <v>25</v>
      </c>
      <c r="F1173" s="11">
        <v>46165</v>
      </c>
      <c r="G1173" s="6" t="s">
        <v>1079</v>
      </c>
      <c r="H1173" s="7" t="s">
        <v>26</v>
      </c>
      <c r="I1173" s="7" t="s">
        <v>977</v>
      </c>
      <c r="J1173" s="7" t="s">
        <v>834</v>
      </c>
      <c r="K1173" s="7" t="s">
        <v>29</v>
      </c>
      <c r="L1173" s="3" t="str">
        <f>E1173&amp;D1173</f>
        <v>E.SP.IPAEE_INS_CONF_S_I_CAMPAINHA DE P.N._0030</v>
      </c>
      <c r="M1173" s="3" t="str">
        <f>IFERROR(MID(D1173,SEARCH("S_I_",D1173,1),3),"")</f>
        <v>S_I</v>
      </c>
      <c r="N1173" s="3" t="str">
        <f>IFERROR(MID(D1173,SEARCH("C_I_",D1173,1),3),"")</f>
        <v/>
      </c>
      <c r="O1173" s="3" t="str">
        <f>IF(AND(M1173="",N1173=""),"Extra","")</f>
        <v/>
      </c>
      <c r="P1173" s="3" t="str">
        <f>IF(Q1173=0,"TERCEIRO","MRS")</f>
        <v>MRS</v>
      </c>
      <c r="Q1173" s="8" t="str">
        <f>IFERROR(VLOOKUP(L1173,#REF!,4,0),"0,00")</f>
        <v>0,00</v>
      </c>
      <c r="R1173" s="9" t="s">
        <v>57</v>
      </c>
      <c r="S1173" s="9">
        <f>COUNTIF(D1173,"*_SEG_*")</f>
        <v>0</v>
      </c>
      <c r="T1173" s="9">
        <f>COUNTIF(D1173,"*_MAN_*")</f>
        <v>0</v>
      </c>
      <c r="U1173" s="9">
        <f>(RIGHT(D1173,4))*1</f>
        <v>30</v>
      </c>
      <c r="V1173" s="9" t="str">
        <f>IFERROR(VLOOKUP(I1173,#REF!,2,0),"Sinalização")</f>
        <v>Sinalização</v>
      </c>
    </row>
    <row r="1174" spans="1:22" x14ac:dyDescent="0.25">
      <c r="A1174" s="3" t="s">
        <v>22</v>
      </c>
      <c r="B1174" s="4">
        <v>23511506</v>
      </c>
      <c r="C1174" s="5" t="s">
        <v>23</v>
      </c>
      <c r="D1174" s="6" t="s">
        <v>1046</v>
      </c>
      <c r="E1174" s="6" t="s">
        <v>25</v>
      </c>
      <c r="F1174" s="11">
        <v>46165</v>
      </c>
      <c r="G1174" s="6" t="s">
        <v>1079</v>
      </c>
      <c r="H1174" s="7" t="s">
        <v>26</v>
      </c>
      <c r="I1174" s="7" t="s">
        <v>973</v>
      </c>
      <c r="J1174" s="7" t="s">
        <v>834</v>
      </c>
      <c r="K1174" s="7" t="s">
        <v>29</v>
      </c>
      <c r="L1174" s="3" t="str">
        <f>E1174&amp;D1174</f>
        <v>E.SP.IPAEE_INS_CONF_S_I_CAMPAINHA DE P.N._0030</v>
      </c>
      <c r="M1174" s="3" t="str">
        <f>IFERROR(MID(D1174,SEARCH("S_I_",D1174,1),3),"")</f>
        <v>S_I</v>
      </c>
      <c r="N1174" s="3" t="str">
        <f>IFERROR(MID(D1174,SEARCH("C_I_",D1174,1),3),"")</f>
        <v/>
      </c>
      <c r="O1174" s="3" t="str">
        <f>IF(AND(M1174="",N1174=""),"Extra","")</f>
        <v/>
      </c>
      <c r="P1174" s="3" t="str">
        <f>IF(Q1174=0,"TERCEIRO","MRS")</f>
        <v>MRS</v>
      </c>
      <c r="Q1174" s="8" t="str">
        <f>IFERROR(VLOOKUP(L1174,#REF!,4,0),"0,00")</f>
        <v>0,00</v>
      </c>
      <c r="R1174" s="9" t="s">
        <v>57</v>
      </c>
      <c r="S1174" s="9">
        <f>COUNTIF(D1174,"*_SEG_*")</f>
        <v>0</v>
      </c>
      <c r="T1174" s="9">
        <f>COUNTIF(D1174,"*_MAN_*")</f>
        <v>0</v>
      </c>
      <c r="U1174" s="9">
        <f>(RIGHT(D1174,4))*1</f>
        <v>30</v>
      </c>
      <c r="V1174" s="9" t="str">
        <f>IFERROR(VLOOKUP(I1174,#REF!,2,0),"Sinalização")</f>
        <v>Sinalização</v>
      </c>
    </row>
    <row r="1175" spans="1:22" x14ac:dyDescent="0.25">
      <c r="A1175" s="3" t="s">
        <v>22</v>
      </c>
      <c r="B1175" s="4">
        <v>23511507</v>
      </c>
      <c r="C1175" s="5" t="s">
        <v>23</v>
      </c>
      <c r="D1175" s="6" t="s">
        <v>1046</v>
      </c>
      <c r="E1175" s="6" t="s">
        <v>25</v>
      </c>
      <c r="F1175" s="11">
        <v>46165</v>
      </c>
      <c r="G1175" s="6" t="s">
        <v>1079</v>
      </c>
      <c r="H1175" s="7" t="s">
        <v>26</v>
      </c>
      <c r="I1175" s="7" t="s">
        <v>975</v>
      </c>
      <c r="J1175" s="7" t="s">
        <v>834</v>
      </c>
      <c r="K1175" s="7" t="s">
        <v>29</v>
      </c>
      <c r="L1175" s="3" t="str">
        <f>E1175&amp;D1175</f>
        <v>E.SP.IPAEE_INS_CONF_S_I_CAMPAINHA DE P.N._0030</v>
      </c>
      <c r="M1175" s="3" t="str">
        <f>IFERROR(MID(D1175,SEARCH("S_I_",D1175,1),3),"")</f>
        <v>S_I</v>
      </c>
      <c r="N1175" s="3" t="str">
        <f>IFERROR(MID(D1175,SEARCH("C_I_",D1175,1),3),"")</f>
        <v/>
      </c>
      <c r="O1175" s="3" t="str">
        <f>IF(AND(M1175="",N1175=""),"Extra","")</f>
        <v/>
      </c>
      <c r="P1175" s="3" t="str">
        <f>IF(Q1175=0,"TERCEIRO","MRS")</f>
        <v>MRS</v>
      </c>
      <c r="Q1175" s="8" t="str">
        <f>IFERROR(VLOOKUP(L1175,#REF!,4,0),"0,00")</f>
        <v>0,00</v>
      </c>
      <c r="R1175" s="9" t="s">
        <v>57</v>
      </c>
      <c r="S1175" s="9">
        <f>COUNTIF(D1175,"*_SEG_*")</f>
        <v>0</v>
      </c>
      <c r="T1175" s="9">
        <f>COUNTIF(D1175,"*_MAN_*")</f>
        <v>0</v>
      </c>
      <c r="U1175" s="9">
        <f>(RIGHT(D1175,4))*1</f>
        <v>30</v>
      </c>
      <c r="V1175" s="9" t="str">
        <f>IFERROR(VLOOKUP(I1175,#REF!,2,0),"Sinalização")</f>
        <v>Sinalização</v>
      </c>
    </row>
    <row r="1176" spans="1:22" x14ac:dyDescent="0.25">
      <c r="A1176" s="3" t="s">
        <v>22</v>
      </c>
      <c r="B1176" s="4">
        <v>23511508</v>
      </c>
      <c r="C1176" s="5" t="s">
        <v>23</v>
      </c>
      <c r="D1176" s="6" t="s">
        <v>1046</v>
      </c>
      <c r="E1176" s="6" t="s">
        <v>25</v>
      </c>
      <c r="F1176" s="11">
        <v>46165</v>
      </c>
      <c r="G1176" s="6" t="s">
        <v>1079</v>
      </c>
      <c r="H1176" s="7" t="s">
        <v>26</v>
      </c>
      <c r="I1176" s="7" t="s">
        <v>980</v>
      </c>
      <c r="J1176" s="7" t="s">
        <v>834</v>
      </c>
      <c r="K1176" s="7" t="s">
        <v>29</v>
      </c>
      <c r="L1176" s="3" t="str">
        <f>E1176&amp;D1176</f>
        <v>E.SP.IPAEE_INS_CONF_S_I_CAMPAINHA DE P.N._0030</v>
      </c>
      <c r="M1176" s="3" t="str">
        <f>IFERROR(MID(D1176,SEARCH("S_I_",D1176,1),3),"")</f>
        <v>S_I</v>
      </c>
      <c r="N1176" s="3" t="str">
        <f>IFERROR(MID(D1176,SEARCH("C_I_",D1176,1),3),"")</f>
        <v/>
      </c>
      <c r="O1176" s="3" t="str">
        <f>IF(AND(M1176="",N1176=""),"Extra","")</f>
        <v/>
      </c>
      <c r="P1176" s="3" t="str">
        <f>IF(Q1176=0,"TERCEIRO","MRS")</f>
        <v>MRS</v>
      </c>
      <c r="Q1176" s="8" t="str">
        <f>IFERROR(VLOOKUP(L1176,#REF!,4,0),"0,00")</f>
        <v>0,00</v>
      </c>
      <c r="R1176" s="9" t="s">
        <v>57</v>
      </c>
      <c r="S1176" s="9">
        <f>COUNTIF(D1176,"*_SEG_*")</f>
        <v>0</v>
      </c>
      <c r="T1176" s="9">
        <f>COUNTIF(D1176,"*_MAN_*")</f>
        <v>0</v>
      </c>
      <c r="U1176" s="9">
        <f>(RIGHT(D1176,4))*1</f>
        <v>30</v>
      </c>
      <c r="V1176" s="9" t="str">
        <f>IFERROR(VLOOKUP(I1176,#REF!,2,0),"Sinalização")</f>
        <v>Sinalização</v>
      </c>
    </row>
    <row r="1177" spans="1:22" x14ac:dyDescent="0.25">
      <c r="A1177" s="3" t="s">
        <v>22</v>
      </c>
      <c r="B1177" s="4">
        <v>23511509</v>
      </c>
      <c r="C1177" s="5" t="s">
        <v>23</v>
      </c>
      <c r="D1177" s="6" t="s">
        <v>1046</v>
      </c>
      <c r="E1177" s="6" t="s">
        <v>25</v>
      </c>
      <c r="F1177" s="11">
        <v>46165</v>
      </c>
      <c r="G1177" s="6" t="s">
        <v>1079</v>
      </c>
      <c r="H1177" s="7" t="s">
        <v>26</v>
      </c>
      <c r="I1177" s="7" t="s">
        <v>981</v>
      </c>
      <c r="J1177" s="7" t="s">
        <v>834</v>
      </c>
      <c r="K1177" s="7" t="s">
        <v>29</v>
      </c>
      <c r="L1177" s="3" t="str">
        <f>E1177&amp;D1177</f>
        <v>E.SP.IPAEE_INS_CONF_S_I_CAMPAINHA DE P.N._0030</v>
      </c>
      <c r="M1177" s="3" t="str">
        <f>IFERROR(MID(D1177,SEARCH("S_I_",D1177,1),3),"")</f>
        <v>S_I</v>
      </c>
      <c r="N1177" s="3" t="str">
        <f>IFERROR(MID(D1177,SEARCH("C_I_",D1177,1),3),"")</f>
        <v/>
      </c>
      <c r="O1177" s="3" t="str">
        <f>IF(AND(M1177="",N1177=""),"Extra","")</f>
        <v/>
      </c>
      <c r="P1177" s="3" t="str">
        <f>IF(Q1177=0,"TERCEIRO","MRS")</f>
        <v>MRS</v>
      </c>
      <c r="Q1177" s="8" t="str">
        <f>IFERROR(VLOOKUP(L1177,#REF!,4,0),"0,00")</f>
        <v>0,00</v>
      </c>
      <c r="R1177" s="9" t="s">
        <v>57</v>
      </c>
      <c r="S1177" s="9">
        <f>COUNTIF(D1177,"*_SEG_*")</f>
        <v>0</v>
      </c>
      <c r="T1177" s="9">
        <f>COUNTIF(D1177,"*_MAN_*")</f>
        <v>0</v>
      </c>
      <c r="U1177" s="9">
        <f>(RIGHT(D1177,4))*1</f>
        <v>30</v>
      </c>
      <c r="V1177" s="9" t="str">
        <f>IFERROR(VLOOKUP(I1177,#REF!,2,0),"Sinalização")</f>
        <v>Sinalização</v>
      </c>
    </row>
    <row r="1178" spans="1:22" x14ac:dyDescent="0.25">
      <c r="A1178" s="3" t="s">
        <v>22</v>
      </c>
      <c r="B1178" s="4">
        <v>23425521</v>
      </c>
      <c r="C1178" s="5" t="s">
        <v>23</v>
      </c>
      <c r="D1178" s="6" t="s">
        <v>774</v>
      </c>
      <c r="E1178" s="6" t="s">
        <v>25</v>
      </c>
      <c r="F1178" s="11">
        <v>46164</v>
      </c>
      <c r="G1178" s="6" t="s">
        <v>1079</v>
      </c>
      <c r="H1178" s="7" t="s">
        <v>26</v>
      </c>
      <c r="I1178" s="7" t="s">
        <v>746</v>
      </c>
      <c r="J1178" s="7" t="s">
        <v>775</v>
      </c>
      <c r="K1178" s="7" t="s">
        <v>776</v>
      </c>
      <c r="L1178" s="3" t="str">
        <f>E1178&amp;D1178</f>
        <v>E.SP.IPAEE_MAN_CONF_C_I_SINAL L UNIFO CONT_0060</v>
      </c>
      <c r="M1178" s="3" t="str">
        <f>IFERROR(MID(D1178,SEARCH("S_I_",D1178,1),3),"")</f>
        <v/>
      </c>
      <c r="N1178" s="3" t="str">
        <f>IFERROR(MID(D1178,SEARCH("C_I_",D1178,1),3),"")</f>
        <v>C_I</v>
      </c>
      <c r="O1178" s="3" t="str">
        <f>IF(AND(M1178="",N1178=""),"Extra","")</f>
        <v/>
      </c>
      <c r="P1178" s="3" t="str">
        <f>IF(Q1178=0,"TERCEIRO","MRS")</f>
        <v>MRS</v>
      </c>
      <c r="Q1178" s="8" t="str">
        <f>IFERROR(VLOOKUP(L1178,#REF!,4,0),"0,00")</f>
        <v>0,00</v>
      </c>
      <c r="R1178" s="9" t="s">
        <v>42</v>
      </c>
      <c r="S1178" s="9">
        <f>COUNTIF(D1178,"*_SEG_*")</f>
        <v>0</v>
      </c>
      <c r="T1178" s="9">
        <f>COUNTIF(D1178,"*_MAN_*")</f>
        <v>1</v>
      </c>
      <c r="U1178" s="9">
        <f>(RIGHT(D1178,4))*1</f>
        <v>60</v>
      </c>
      <c r="V1178" s="9" t="str">
        <f>IFERROR(VLOOKUP(I1178,#REF!,2,0),"Sinalização")</f>
        <v>Sinalização</v>
      </c>
    </row>
    <row r="1179" spans="1:22" x14ac:dyDescent="0.25">
      <c r="A1179" s="3" t="s">
        <v>22</v>
      </c>
      <c r="B1179" s="4">
        <v>23425522</v>
      </c>
      <c r="C1179" s="5" t="s">
        <v>23</v>
      </c>
      <c r="D1179" s="6" t="s">
        <v>774</v>
      </c>
      <c r="E1179" s="6" t="s">
        <v>25</v>
      </c>
      <c r="F1179" s="11">
        <v>46164</v>
      </c>
      <c r="G1179" s="6" t="s">
        <v>1079</v>
      </c>
      <c r="H1179" s="7" t="s">
        <v>26</v>
      </c>
      <c r="I1179" s="7" t="s">
        <v>745</v>
      </c>
      <c r="J1179" s="7" t="s">
        <v>775</v>
      </c>
      <c r="K1179" s="7" t="s">
        <v>776</v>
      </c>
      <c r="L1179" s="3" t="str">
        <f>E1179&amp;D1179</f>
        <v>E.SP.IPAEE_MAN_CONF_C_I_SINAL L UNIFO CONT_0060</v>
      </c>
      <c r="M1179" s="3" t="str">
        <f>IFERROR(MID(D1179,SEARCH("S_I_",D1179,1),3),"")</f>
        <v/>
      </c>
      <c r="N1179" s="3" t="str">
        <f>IFERROR(MID(D1179,SEARCH("C_I_",D1179,1),3),"")</f>
        <v>C_I</v>
      </c>
      <c r="O1179" s="3" t="str">
        <f>IF(AND(M1179="",N1179=""),"Extra","")</f>
        <v/>
      </c>
      <c r="P1179" s="3" t="str">
        <f>IF(Q1179=0,"TERCEIRO","MRS")</f>
        <v>MRS</v>
      </c>
      <c r="Q1179" s="8" t="str">
        <f>IFERROR(VLOOKUP(L1179,#REF!,4,0),"0,00")</f>
        <v>0,00</v>
      </c>
      <c r="R1179" s="9" t="s">
        <v>42</v>
      </c>
      <c r="S1179" s="9">
        <f>COUNTIF(D1179,"*_SEG_*")</f>
        <v>0</v>
      </c>
      <c r="T1179" s="9">
        <f>COUNTIF(D1179,"*_MAN_*")</f>
        <v>1</v>
      </c>
      <c r="U1179" s="9">
        <f>(RIGHT(D1179,4))*1</f>
        <v>60</v>
      </c>
      <c r="V1179" s="9" t="str">
        <f>IFERROR(VLOOKUP(I1179,#REF!,2,0),"Sinalização")</f>
        <v>Sinalização</v>
      </c>
    </row>
    <row r="1180" spans="1:22" x14ac:dyDescent="0.25">
      <c r="A1180" s="3" t="s">
        <v>22</v>
      </c>
      <c r="B1180" s="4">
        <v>22631134</v>
      </c>
      <c r="C1180" s="5" t="s">
        <v>23</v>
      </c>
      <c r="D1180" s="6" t="s">
        <v>85</v>
      </c>
      <c r="E1180" s="6" t="s">
        <v>25</v>
      </c>
      <c r="F1180" s="11">
        <v>46162</v>
      </c>
      <c r="G1180" s="6" t="s">
        <v>1079</v>
      </c>
      <c r="H1180" s="7" t="s">
        <v>26</v>
      </c>
      <c r="I1180" s="7" t="s">
        <v>130</v>
      </c>
      <c r="J1180" s="7" t="s">
        <v>87</v>
      </c>
      <c r="K1180" s="7" t="s">
        <v>29</v>
      </c>
      <c r="L1180" s="3" t="str">
        <f>E1180&amp;D1180</f>
        <v>E.SP.IPAEE_INS_CONF_S_I_BATERIAS_0360</v>
      </c>
      <c r="M1180" s="3" t="str">
        <f>IFERROR(MID(D1180,SEARCH("S_I_",D1180,1),3),"")</f>
        <v>S_I</v>
      </c>
      <c r="N1180" s="3" t="str">
        <f>IFERROR(MID(D1180,SEARCH("C_I_",D1180,1),3),"")</f>
        <v/>
      </c>
      <c r="O1180" s="3" t="str">
        <f>IF(AND(M1180="",N1180=""),"Extra","")</f>
        <v/>
      </c>
      <c r="P1180" s="3" t="str">
        <f>IF(Q1180=0,"TERCEIRO","MRS")</f>
        <v>MRS</v>
      </c>
      <c r="Q1180" s="8" t="str">
        <f>IFERROR(VLOOKUP(L1180,#REF!,4,0),"0,00")</f>
        <v>0,00</v>
      </c>
      <c r="R1180" s="9" t="s">
        <v>42</v>
      </c>
      <c r="S1180" s="9">
        <f>COUNTIF(D1180,"*_SEG_*")</f>
        <v>0</v>
      </c>
      <c r="T1180" s="9">
        <f>COUNTIF(D1180,"*_MAN_*")</f>
        <v>0</v>
      </c>
      <c r="U1180" s="9">
        <f>(RIGHT(D1180,4))*1</f>
        <v>360</v>
      </c>
      <c r="V1180" s="9" t="str">
        <f>IFERROR(VLOOKUP(I1180,#REF!,2,0),"Sinalização")</f>
        <v>Sinalização</v>
      </c>
    </row>
    <row r="1181" spans="1:22" x14ac:dyDescent="0.25">
      <c r="A1181" s="3" t="s">
        <v>22</v>
      </c>
      <c r="B1181" s="4">
        <v>23338193</v>
      </c>
      <c r="C1181" s="5" t="s">
        <v>23</v>
      </c>
      <c r="D1181" s="6" t="s">
        <v>556</v>
      </c>
      <c r="E1181" s="6" t="s">
        <v>25</v>
      </c>
      <c r="F1181" s="11">
        <v>46162</v>
      </c>
      <c r="G1181" s="6" t="s">
        <v>1079</v>
      </c>
      <c r="H1181" s="7" t="s">
        <v>26</v>
      </c>
      <c r="I1181" s="7" t="s">
        <v>730</v>
      </c>
      <c r="J1181" s="7" t="s">
        <v>558</v>
      </c>
      <c r="K1181" s="7" t="s">
        <v>29</v>
      </c>
      <c r="L1181" s="3" t="str">
        <f>E1181&amp;D1181</f>
        <v>E.SP.IPAEE_INS_CONF_S_I_CDV DETETORA CA_0090</v>
      </c>
      <c r="M1181" s="3" t="str">
        <f>IFERROR(MID(D1181,SEARCH("S_I_",D1181,1),3),"")</f>
        <v>S_I</v>
      </c>
      <c r="N1181" s="3" t="str">
        <f>IFERROR(MID(D1181,SEARCH("C_I_",D1181,1),3),"")</f>
        <v/>
      </c>
      <c r="O1181" s="3" t="str">
        <f>IF(AND(M1181="",N1181=""),"Extra","")</f>
        <v/>
      </c>
      <c r="P1181" s="3" t="str">
        <f>IF(Q1181=0,"TERCEIRO","MRS")</f>
        <v>MRS</v>
      </c>
      <c r="Q1181" s="8" t="str">
        <f>IFERROR(VLOOKUP(L1181,#REF!,4,0),"0,00")</f>
        <v>0,00</v>
      </c>
      <c r="R1181" s="9" t="s">
        <v>57</v>
      </c>
      <c r="S1181" s="9">
        <f>COUNTIF(D1181,"*_SEG_*")</f>
        <v>0</v>
      </c>
      <c r="T1181" s="9">
        <f>COUNTIF(D1181,"*_MAN_*")</f>
        <v>0</v>
      </c>
      <c r="U1181" s="9">
        <f>(RIGHT(D1181,4))*1</f>
        <v>90</v>
      </c>
      <c r="V1181" s="9" t="str">
        <f>IFERROR(VLOOKUP(I1181,#REF!,2,0),"Sinalização")</f>
        <v>Sinalização</v>
      </c>
    </row>
    <row r="1182" spans="1:22" x14ac:dyDescent="0.25">
      <c r="A1182" s="3" t="s">
        <v>22</v>
      </c>
      <c r="B1182" s="4">
        <v>23338201</v>
      </c>
      <c r="C1182" s="5" t="s">
        <v>23</v>
      </c>
      <c r="D1182" s="6" t="s">
        <v>556</v>
      </c>
      <c r="E1182" s="6" t="s">
        <v>25</v>
      </c>
      <c r="F1182" s="11">
        <v>46162</v>
      </c>
      <c r="G1182" s="6" t="s">
        <v>1079</v>
      </c>
      <c r="H1182" s="7" t="s">
        <v>26</v>
      </c>
      <c r="I1182" s="7" t="s">
        <v>731</v>
      </c>
      <c r="J1182" s="7" t="s">
        <v>558</v>
      </c>
      <c r="K1182" s="7" t="s">
        <v>29</v>
      </c>
      <c r="L1182" s="3" t="str">
        <f>E1182&amp;D1182</f>
        <v>E.SP.IPAEE_INS_CONF_S_I_CDV DETETORA CA_0090</v>
      </c>
      <c r="M1182" s="3" t="str">
        <f>IFERROR(MID(D1182,SEARCH("S_I_",D1182,1),3),"")</f>
        <v>S_I</v>
      </c>
      <c r="N1182" s="3" t="str">
        <f>IFERROR(MID(D1182,SEARCH("C_I_",D1182,1),3),"")</f>
        <v/>
      </c>
      <c r="O1182" s="3" t="str">
        <f>IF(AND(M1182="",N1182=""),"Extra","")</f>
        <v/>
      </c>
      <c r="P1182" s="3" t="str">
        <f>IF(Q1182=0,"TERCEIRO","MRS")</f>
        <v>MRS</v>
      </c>
      <c r="Q1182" s="8" t="str">
        <f>IFERROR(VLOOKUP(L1182,#REF!,4,0),"0,00")</f>
        <v>0,00</v>
      </c>
      <c r="R1182" s="9" t="s">
        <v>57</v>
      </c>
      <c r="S1182" s="9">
        <f>COUNTIF(D1182,"*_SEG_*")</f>
        <v>0</v>
      </c>
      <c r="T1182" s="9">
        <f>COUNTIF(D1182,"*_MAN_*")</f>
        <v>0</v>
      </c>
      <c r="U1182" s="9">
        <f>(RIGHT(D1182,4))*1</f>
        <v>90</v>
      </c>
      <c r="V1182" s="9" t="str">
        <f>IFERROR(VLOOKUP(I1182,#REF!,2,0),"Sinalização")</f>
        <v>Sinalização</v>
      </c>
    </row>
    <row r="1183" spans="1:22" x14ac:dyDescent="0.25">
      <c r="A1183" s="3" t="s">
        <v>22</v>
      </c>
      <c r="B1183" s="4">
        <v>23338329</v>
      </c>
      <c r="C1183" s="5" t="s">
        <v>23</v>
      </c>
      <c r="D1183" s="6" t="s">
        <v>559</v>
      </c>
      <c r="E1183" s="6" t="s">
        <v>25</v>
      </c>
      <c r="F1183" s="11">
        <v>46162</v>
      </c>
      <c r="G1183" s="6" t="s">
        <v>1079</v>
      </c>
      <c r="H1183" s="7" t="s">
        <v>26</v>
      </c>
      <c r="I1183" s="7" t="s">
        <v>731</v>
      </c>
      <c r="J1183" s="7" t="s">
        <v>560</v>
      </c>
      <c r="K1183" s="7" t="s">
        <v>29</v>
      </c>
      <c r="L1183" s="3" t="str">
        <f>E1183&amp;D1183</f>
        <v>E.SP.IPAEE_INS_SEG_S_I_CDV DETETORA CA_0090</v>
      </c>
      <c r="M1183" s="3" t="str">
        <f>IFERROR(MID(D1183,SEARCH("S_I_",D1183,1),3),"")</f>
        <v>S_I</v>
      </c>
      <c r="N1183" s="3" t="str">
        <f>IFERROR(MID(D1183,SEARCH("C_I_",D1183,1),3),"")</f>
        <v/>
      </c>
      <c r="O1183" s="3" t="str">
        <f>IF(AND(M1183="",N1183=""),"Extra","")</f>
        <v/>
      </c>
      <c r="P1183" s="3" t="str">
        <f>IF(Q1183=0,"TERCEIRO","MRS")</f>
        <v>MRS</v>
      </c>
      <c r="Q1183" s="8" t="str">
        <f>IFERROR(VLOOKUP(L1183,#REF!,4,0),"0,00")</f>
        <v>0,00</v>
      </c>
      <c r="R1183" s="9" t="s">
        <v>30</v>
      </c>
      <c r="S1183" s="9">
        <f>COUNTIF(D1183,"*_SEG_*")</f>
        <v>1</v>
      </c>
      <c r="T1183" s="9">
        <f>COUNTIF(D1183,"*_MAN_*")</f>
        <v>0</v>
      </c>
      <c r="U1183" s="9">
        <f>(RIGHT(D1183,4))*1</f>
        <v>90</v>
      </c>
      <c r="V1183" s="9" t="str">
        <f>IFERROR(VLOOKUP(I1183,#REF!,2,0),"Sinalização")</f>
        <v>Sinalização</v>
      </c>
    </row>
    <row r="1184" spans="1:22" x14ac:dyDescent="0.25">
      <c r="A1184" s="3" t="s">
        <v>22</v>
      </c>
      <c r="B1184" s="4">
        <v>23338516</v>
      </c>
      <c r="C1184" s="5" t="s">
        <v>23</v>
      </c>
      <c r="D1184" s="6" t="s">
        <v>732</v>
      </c>
      <c r="E1184" s="6" t="s">
        <v>25</v>
      </c>
      <c r="F1184" s="11">
        <v>46162</v>
      </c>
      <c r="G1184" s="6" t="s">
        <v>1079</v>
      </c>
      <c r="H1184" s="7" t="s">
        <v>26</v>
      </c>
      <c r="I1184" s="7" t="s">
        <v>404</v>
      </c>
      <c r="J1184" s="7" t="s">
        <v>525</v>
      </c>
      <c r="K1184" s="7" t="s">
        <v>29</v>
      </c>
      <c r="L1184" s="3" t="str">
        <f>E1184&amp;D1184</f>
        <v>E.SP.IPAEE_MAN_CONF_S_I_SINAL L UNIFO AUT_0090</v>
      </c>
      <c r="M1184" s="3" t="str">
        <f>IFERROR(MID(D1184,SEARCH("S_I_",D1184,1),3),"")</f>
        <v>S_I</v>
      </c>
      <c r="N1184" s="3" t="str">
        <f>IFERROR(MID(D1184,SEARCH("C_I_",D1184,1),3),"")</f>
        <v/>
      </c>
      <c r="O1184" s="3" t="str">
        <f>IF(AND(M1184="",N1184=""),"Extra","")</f>
        <v/>
      </c>
      <c r="P1184" s="3" t="str">
        <f>IF(Q1184=0,"TERCEIRO","MRS")</f>
        <v>MRS</v>
      </c>
      <c r="Q1184" s="8" t="str">
        <f>IFERROR(VLOOKUP(L1184,#REF!,4,0),"0,00")</f>
        <v>0,00</v>
      </c>
      <c r="R1184" s="9" t="s">
        <v>57</v>
      </c>
      <c r="S1184" s="9">
        <f>COUNTIF(D1184,"*_SEG_*")</f>
        <v>0</v>
      </c>
      <c r="T1184" s="9">
        <f>COUNTIF(D1184,"*_MAN_*")</f>
        <v>1</v>
      </c>
      <c r="U1184" s="9">
        <f>(RIGHT(D1184,4))*1</f>
        <v>90</v>
      </c>
      <c r="V1184" s="9" t="str">
        <f>IFERROR(VLOOKUP(I1184,#REF!,2,0),"Sinalização")</f>
        <v>Sinalização</v>
      </c>
    </row>
    <row r="1185" spans="1:22" x14ac:dyDescent="0.25">
      <c r="A1185" s="3" t="s">
        <v>22</v>
      </c>
      <c r="B1185" s="4">
        <v>23338594</v>
      </c>
      <c r="C1185" s="5" t="s">
        <v>23</v>
      </c>
      <c r="D1185" s="6" t="s">
        <v>568</v>
      </c>
      <c r="E1185" s="6" t="s">
        <v>25</v>
      </c>
      <c r="F1185" s="11">
        <v>46162</v>
      </c>
      <c r="G1185" s="6" t="s">
        <v>1079</v>
      </c>
      <c r="H1185" s="7" t="s">
        <v>26</v>
      </c>
      <c r="I1185" s="7" t="s">
        <v>733</v>
      </c>
      <c r="J1185" s="7" t="s">
        <v>558</v>
      </c>
      <c r="K1185" s="7" t="s">
        <v>29</v>
      </c>
      <c r="L1185" s="3" t="str">
        <f>E1185&amp;D1185</f>
        <v>E.SP.IPAEE_INS_CONF_S_I_CIRCUITO VIA CA_0090</v>
      </c>
      <c r="M1185" s="3" t="str">
        <f>IFERROR(MID(D1185,SEARCH("S_I_",D1185,1),3),"")</f>
        <v>S_I</v>
      </c>
      <c r="N1185" s="3" t="str">
        <f>IFERROR(MID(D1185,SEARCH("C_I_",D1185,1),3),"")</f>
        <v/>
      </c>
      <c r="O1185" s="3" t="str">
        <f>IF(AND(M1185="",N1185=""),"Extra","")</f>
        <v/>
      </c>
      <c r="P1185" s="3" t="str">
        <f>IF(Q1185=0,"TERCEIRO","MRS")</f>
        <v>MRS</v>
      </c>
      <c r="Q1185" s="8" t="str">
        <f>IFERROR(VLOOKUP(L1185,#REF!,4,0),"0,00")</f>
        <v>0,00</v>
      </c>
      <c r="R1185" s="9" t="s">
        <v>57</v>
      </c>
      <c r="S1185" s="9">
        <f>COUNTIF(D1185,"*_SEG_*")</f>
        <v>0</v>
      </c>
      <c r="T1185" s="9">
        <f>COUNTIF(D1185,"*_MAN_*")</f>
        <v>0</v>
      </c>
      <c r="U1185" s="9">
        <f>(RIGHT(D1185,4))*1</f>
        <v>90</v>
      </c>
      <c r="V1185" s="9" t="str">
        <f>IFERROR(VLOOKUP(I1185,#REF!,2,0),"Sinalização")</f>
        <v>Sinalização</v>
      </c>
    </row>
    <row r="1186" spans="1:22" x14ac:dyDescent="0.25">
      <c r="A1186" s="3" t="s">
        <v>22</v>
      </c>
      <c r="B1186" s="4">
        <v>23338595</v>
      </c>
      <c r="C1186" s="5" t="s">
        <v>23</v>
      </c>
      <c r="D1186" s="6" t="s">
        <v>568</v>
      </c>
      <c r="E1186" s="6" t="s">
        <v>25</v>
      </c>
      <c r="F1186" s="11">
        <v>46162</v>
      </c>
      <c r="G1186" s="6" t="s">
        <v>1079</v>
      </c>
      <c r="H1186" s="7" t="s">
        <v>26</v>
      </c>
      <c r="I1186" s="7" t="s">
        <v>734</v>
      </c>
      <c r="J1186" s="7" t="s">
        <v>558</v>
      </c>
      <c r="K1186" s="7" t="s">
        <v>29</v>
      </c>
      <c r="L1186" s="3" t="str">
        <f>E1186&amp;D1186</f>
        <v>E.SP.IPAEE_INS_CONF_S_I_CIRCUITO VIA CA_0090</v>
      </c>
      <c r="M1186" s="3" t="str">
        <f>IFERROR(MID(D1186,SEARCH("S_I_",D1186,1),3),"")</f>
        <v>S_I</v>
      </c>
      <c r="N1186" s="3" t="str">
        <f>IFERROR(MID(D1186,SEARCH("C_I_",D1186,1),3),"")</f>
        <v/>
      </c>
      <c r="O1186" s="3" t="str">
        <f>IF(AND(M1186="",N1186=""),"Extra","")</f>
        <v/>
      </c>
      <c r="P1186" s="3" t="str">
        <f>IF(Q1186=0,"TERCEIRO","MRS")</f>
        <v>MRS</v>
      </c>
      <c r="Q1186" s="8" t="str">
        <f>IFERROR(VLOOKUP(L1186,#REF!,4,0),"0,00")</f>
        <v>0,00</v>
      </c>
      <c r="R1186" s="9" t="s">
        <v>57</v>
      </c>
      <c r="S1186" s="9">
        <f>COUNTIF(D1186,"*_SEG_*")</f>
        <v>0</v>
      </c>
      <c r="T1186" s="9">
        <f>COUNTIF(D1186,"*_MAN_*")</f>
        <v>0</v>
      </c>
      <c r="U1186" s="9">
        <f>(RIGHT(D1186,4))*1</f>
        <v>90</v>
      </c>
      <c r="V1186" s="9" t="str">
        <f>IFERROR(VLOOKUP(I1186,#REF!,2,0),"Sinalização")</f>
        <v>Sinalização</v>
      </c>
    </row>
    <row r="1187" spans="1:22" x14ac:dyDescent="0.25">
      <c r="A1187" s="3" t="s">
        <v>22</v>
      </c>
      <c r="B1187" s="4">
        <v>23338924</v>
      </c>
      <c r="C1187" s="5" t="s">
        <v>23</v>
      </c>
      <c r="D1187" s="6" t="s">
        <v>602</v>
      </c>
      <c r="E1187" s="6" t="s">
        <v>25</v>
      </c>
      <c r="F1187" s="11">
        <v>46162</v>
      </c>
      <c r="G1187" s="6" t="s">
        <v>1079</v>
      </c>
      <c r="H1187" s="7" t="s">
        <v>26</v>
      </c>
      <c r="I1187" s="7" t="s">
        <v>735</v>
      </c>
      <c r="J1187" s="7" t="s">
        <v>604</v>
      </c>
      <c r="K1187" s="7" t="s">
        <v>29</v>
      </c>
      <c r="L1187" s="3" t="str">
        <f>E1187&amp;D1187</f>
        <v>E.SP.IPAEE_MAN_CONF_S_I_COM ENER CHAN OVER_0090</v>
      </c>
      <c r="M1187" s="3" t="str">
        <f>IFERROR(MID(D1187,SEARCH("S_I_",D1187,1),3),"")</f>
        <v>S_I</v>
      </c>
      <c r="N1187" s="3" t="str">
        <f>IFERROR(MID(D1187,SEARCH("C_I_",D1187,1),3),"")</f>
        <v/>
      </c>
      <c r="O1187" s="3" t="str">
        <f>IF(AND(M1187="",N1187=""),"Extra","")</f>
        <v/>
      </c>
      <c r="P1187" s="3" t="str">
        <f>IF(Q1187=0,"TERCEIRO","MRS")</f>
        <v>MRS</v>
      </c>
      <c r="Q1187" s="8" t="str">
        <f>IFERROR(VLOOKUP(L1187,#REF!,4,0),"0,00")</f>
        <v>0,00</v>
      </c>
      <c r="R1187" s="9" t="s">
        <v>98</v>
      </c>
      <c r="S1187" s="9">
        <f>COUNTIF(D1187,"*_SEG_*")</f>
        <v>0</v>
      </c>
      <c r="T1187" s="9">
        <f>COUNTIF(D1187,"*_MAN_*")</f>
        <v>1</v>
      </c>
      <c r="U1187" s="9">
        <f>(RIGHT(D1187,4))*1</f>
        <v>90</v>
      </c>
      <c r="V1187" s="9" t="str">
        <f>IFERROR(VLOOKUP(I1187,#REF!,2,0),"Sinalização")</f>
        <v>Sinalização</v>
      </c>
    </row>
    <row r="1188" spans="1:22" x14ac:dyDescent="0.25">
      <c r="A1188" s="3" t="s">
        <v>22</v>
      </c>
      <c r="B1188" s="4">
        <v>23338925</v>
      </c>
      <c r="C1188" s="5" t="s">
        <v>23</v>
      </c>
      <c r="D1188" s="6" t="s">
        <v>602</v>
      </c>
      <c r="E1188" s="6" t="s">
        <v>25</v>
      </c>
      <c r="F1188" s="11">
        <v>46162</v>
      </c>
      <c r="G1188" s="6" t="s">
        <v>1079</v>
      </c>
      <c r="H1188" s="7" t="s">
        <v>26</v>
      </c>
      <c r="I1188" s="7" t="s">
        <v>736</v>
      </c>
      <c r="J1188" s="7" t="s">
        <v>604</v>
      </c>
      <c r="K1188" s="7" t="s">
        <v>29</v>
      </c>
      <c r="L1188" s="3" t="str">
        <f>E1188&amp;D1188</f>
        <v>E.SP.IPAEE_MAN_CONF_S_I_COM ENER CHAN OVER_0090</v>
      </c>
      <c r="M1188" s="3" t="str">
        <f>IFERROR(MID(D1188,SEARCH("S_I_",D1188,1),3),"")</f>
        <v>S_I</v>
      </c>
      <c r="N1188" s="3" t="str">
        <f>IFERROR(MID(D1188,SEARCH("C_I_",D1188,1),3),"")</f>
        <v/>
      </c>
      <c r="O1188" s="3" t="str">
        <f>IF(AND(M1188="",N1188=""),"Extra","")</f>
        <v/>
      </c>
      <c r="P1188" s="3" t="str">
        <f>IF(Q1188=0,"TERCEIRO","MRS")</f>
        <v>MRS</v>
      </c>
      <c r="Q1188" s="8" t="str">
        <f>IFERROR(VLOOKUP(L1188,#REF!,4,0),"0,00")</f>
        <v>0,00</v>
      </c>
      <c r="R1188" s="9" t="s">
        <v>98</v>
      </c>
      <c r="S1188" s="9">
        <f>COUNTIF(D1188,"*_SEG_*")</f>
        <v>0</v>
      </c>
      <c r="T1188" s="9">
        <f>COUNTIF(D1188,"*_MAN_*")</f>
        <v>1</v>
      </c>
      <c r="U1188" s="9">
        <f>(RIGHT(D1188,4))*1</f>
        <v>90</v>
      </c>
      <c r="V1188" s="9" t="str">
        <f>IFERROR(VLOOKUP(I1188,#REF!,2,0),"Sinalização")</f>
        <v>Sinalização</v>
      </c>
    </row>
    <row r="1189" spans="1:22" x14ac:dyDescent="0.25">
      <c r="A1189" s="3" t="s">
        <v>22</v>
      </c>
      <c r="B1189" s="4">
        <v>23338926</v>
      </c>
      <c r="C1189" s="5" t="s">
        <v>23</v>
      </c>
      <c r="D1189" s="6" t="s">
        <v>602</v>
      </c>
      <c r="E1189" s="6" t="s">
        <v>25</v>
      </c>
      <c r="F1189" s="11">
        <v>46162</v>
      </c>
      <c r="G1189" s="6" t="s">
        <v>1079</v>
      </c>
      <c r="H1189" s="7" t="s">
        <v>26</v>
      </c>
      <c r="I1189" s="7" t="s">
        <v>737</v>
      </c>
      <c r="J1189" s="7" t="s">
        <v>604</v>
      </c>
      <c r="K1189" s="7" t="s">
        <v>29</v>
      </c>
      <c r="L1189" s="3" t="str">
        <f>E1189&amp;D1189</f>
        <v>E.SP.IPAEE_MAN_CONF_S_I_COM ENER CHAN OVER_0090</v>
      </c>
      <c r="M1189" s="3" t="str">
        <f>IFERROR(MID(D1189,SEARCH("S_I_",D1189,1),3),"")</f>
        <v>S_I</v>
      </c>
      <c r="N1189" s="3" t="str">
        <f>IFERROR(MID(D1189,SEARCH("C_I_",D1189,1),3),"")</f>
        <v/>
      </c>
      <c r="O1189" s="3" t="str">
        <f>IF(AND(M1189="",N1189=""),"Extra","")</f>
        <v/>
      </c>
      <c r="P1189" s="3" t="str">
        <f>IF(Q1189=0,"TERCEIRO","MRS")</f>
        <v>MRS</v>
      </c>
      <c r="Q1189" s="8" t="str">
        <f>IFERROR(VLOOKUP(L1189,#REF!,4,0),"0,00")</f>
        <v>0,00</v>
      </c>
      <c r="R1189" s="9" t="s">
        <v>98</v>
      </c>
      <c r="S1189" s="9">
        <f>COUNTIF(D1189,"*_SEG_*")</f>
        <v>0</v>
      </c>
      <c r="T1189" s="9">
        <f>COUNTIF(D1189,"*_MAN_*")</f>
        <v>1</v>
      </c>
      <c r="U1189" s="9">
        <f>(RIGHT(D1189,4))*1</f>
        <v>90</v>
      </c>
      <c r="V1189" s="9" t="str">
        <f>IFERROR(VLOOKUP(I1189,#REF!,2,0),"Sinalização")</f>
        <v>Sinalização</v>
      </c>
    </row>
    <row r="1190" spans="1:22" x14ac:dyDescent="0.25">
      <c r="A1190" s="3" t="s">
        <v>22</v>
      </c>
      <c r="B1190" s="4">
        <v>23338927</v>
      </c>
      <c r="C1190" s="5" t="s">
        <v>23</v>
      </c>
      <c r="D1190" s="6" t="s">
        <v>602</v>
      </c>
      <c r="E1190" s="6" t="s">
        <v>25</v>
      </c>
      <c r="F1190" s="11">
        <v>46162</v>
      </c>
      <c r="G1190" s="6" t="s">
        <v>1079</v>
      </c>
      <c r="H1190" s="7" t="s">
        <v>26</v>
      </c>
      <c r="I1190" s="7" t="s">
        <v>738</v>
      </c>
      <c r="J1190" s="7" t="s">
        <v>604</v>
      </c>
      <c r="K1190" s="7" t="s">
        <v>29</v>
      </c>
      <c r="L1190" s="3" t="str">
        <f>E1190&amp;D1190</f>
        <v>E.SP.IPAEE_MAN_CONF_S_I_COM ENER CHAN OVER_0090</v>
      </c>
      <c r="M1190" s="3" t="str">
        <f>IFERROR(MID(D1190,SEARCH("S_I_",D1190,1),3),"")</f>
        <v>S_I</v>
      </c>
      <c r="N1190" s="3" t="str">
        <f>IFERROR(MID(D1190,SEARCH("C_I_",D1190,1),3),"")</f>
        <v/>
      </c>
      <c r="O1190" s="3" t="str">
        <f>IF(AND(M1190="",N1190=""),"Extra","")</f>
        <v/>
      </c>
      <c r="P1190" s="3" t="str">
        <f>IF(Q1190=0,"TERCEIRO","MRS")</f>
        <v>MRS</v>
      </c>
      <c r="Q1190" s="8" t="str">
        <f>IFERROR(VLOOKUP(L1190,#REF!,4,0),"0,00")</f>
        <v>0,00</v>
      </c>
      <c r="R1190" s="9" t="s">
        <v>98</v>
      </c>
      <c r="S1190" s="9">
        <f>COUNTIF(D1190,"*_SEG_*")</f>
        <v>0</v>
      </c>
      <c r="T1190" s="9">
        <f>COUNTIF(D1190,"*_MAN_*")</f>
        <v>1</v>
      </c>
      <c r="U1190" s="9">
        <f>(RIGHT(D1190,4))*1</f>
        <v>90</v>
      </c>
      <c r="V1190" s="9" t="str">
        <f>IFERROR(VLOOKUP(I1190,#REF!,2,0),"Sinalização")</f>
        <v>Sinalização</v>
      </c>
    </row>
    <row r="1191" spans="1:22" x14ac:dyDescent="0.25">
      <c r="A1191" s="3" t="s">
        <v>22</v>
      </c>
      <c r="B1191" s="4">
        <v>23338999</v>
      </c>
      <c r="C1191" s="5" t="s">
        <v>23</v>
      </c>
      <c r="D1191" s="6" t="s">
        <v>739</v>
      </c>
      <c r="E1191" s="6" t="s">
        <v>25</v>
      </c>
      <c r="F1191" s="11">
        <v>46162</v>
      </c>
      <c r="G1191" s="6" t="s">
        <v>1079</v>
      </c>
      <c r="H1191" s="7" t="s">
        <v>26</v>
      </c>
      <c r="I1191" s="7" t="s">
        <v>401</v>
      </c>
      <c r="J1191" s="7" t="s">
        <v>662</v>
      </c>
      <c r="K1191" s="7" t="s">
        <v>29</v>
      </c>
      <c r="L1191" s="3" t="str">
        <f>E1191&amp;D1191</f>
        <v>E.SP.IPAEE_INS_CONF_S_I_SINAL L UNIFO AUT_0090</v>
      </c>
      <c r="M1191" s="3" t="str">
        <f>IFERROR(MID(D1191,SEARCH("S_I_",D1191,1),3),"")</f>
        <v>S_I</v>
      </c>
      <c r="N1191" s="3" t="str">
        <f>IFERROR(MID(D1191,SEARCH("C_I_",D1191,1),3),"")</f>
        <v/>
      </c>
      <c r="O1191" s="3" t="str">
        <f>IF(AND(M1191="",N1191=""),"Extra","")</f>
        <v/>
      </c>
      <c r="P1191" s="3" t="str">
        <f>IF(Q1191=0,"TERCEIRO","MRS")</f>
        <v>MRS</v>
      </c>
      <c r="Q1191" s="8" t="str">
        <f>IFERROR(VLOOKUP(L1191,#REF!,4,0),"0,00")</f>
        <v>0,00</v>
      </c>
      <c r="R1191" s="9" t="s">
        <v>42</v>
      </c>
      <c r="S1191" s="9">
        <f>COUNTIF(D1191,"*_SEG_*")</f>
        <v>0</v>
      </c>
      <c r="T1191" s="9">
        <f>COUNTIF(D1191,"*_MAN_*")</f>
        <v>0</v>
      </c>
      <c r="U1191" s="9">
        <f>(RIGHT(D1191,4))*1</f>
        <v>90</v>
      </c>
      <c r="V1191" s="9" t="str">
        <f>IFERROR(VLOOKUP(I1191,#REF!,2,0),"Sinalização")</f>
        <v>Sinalização</v>
      </c>
    </row>
    <row r="1192" spans="1:22" x14ac:dyDescent="0.25">
      <c r="A1192" s="3" t="s">
        <v>22</v>
      </c>
      <c r="B1192" s="4">
        <v>23339049</v>
      </c>
      <c r="C1192" s="5" t="s">
        <v>23</v>
      </c>
      <c r="D1192" s="6" t="s">
        <v>605</v>
      </c>
      <c r="E1192" s="6" t="s">
        <v>25</v>
      </c>
      <c r="F1192" s="11">
        <v>46162</v>
      </c>
      <c r="G1192" s="6" t="s">
        <v>1079</v>
      </c>
      <c r="H1192" s="7" t="s">
        <v>26</v>
      </c>
      <c r="I1192" s="7" t="s">
        <v>347</v>
      </c>
      <c r="J1192" s="7" t="s">
        <v>560</v>
      </c>
      <c r="K1192" s="7" t="s">
        <v>29</v>
      </c>
      <c r="L1192" s="3" t="str">
        <f>E1192&amp;D1192</f>
        <v>E.SP.IPAEE_INS_SEG_S_I_CIRCUITO VIA CA_0090</v>
      </c>
      <c r="M1192" s="3" t="str">
        <f>IFERROR(MID(D1192,SEARCH("S_I_",D1192,1),3),"")</f>
        <v>S_I</v>
      </c>
      <c r="N1192" s="3" t="str">
        <f>IFERROR(MID(D1192,SEARCH("C_I_",D1192,1),3),"")</f>
        <v/>
      </c>
      <c r="O1192" s="3" t="str">
        <f>IF(AND(M1192="",N1192=""),"Extra","")</f>
        <v/>
      </c>
      <c r="P1192" s="3" t="str">
        <f>IF(Q1192=0,"TERCEIRO","MRS")</f>
        <v>MRS</v>
      </c>
      <c r="Q1192" s="8" t="str">
        <f>IFERROR(VLOOKUP(L1192,#REF!,4,0),"0,00")</f>
        <v>0,00</v>
      </c>
      <c r="R1192" s="9" t="s">
        <v>30</v>
      </c>
      <c r="S1192" s="9">
        <f>COUNTIF(D1192,"*_SEG_*")</f>
        <v>1</v>
      </c>
      <c r="T1192" s="9">
        <f>COUNTIF(D1192,"*_MAN_*")</f>
        <v>0</v>
      </c>
      <c r="U1192" s="9">
        <f>(RIGHT(D1192,4))*1</f>
        <v>90</v>
      </c>
      <c r="V1192" s="9" t="str">
        <f>IFERROR(VLOOKUP(I1192,#REF!,2,0),"Sinalização")</f>
        <v>Sinalização</v>
      </c>
    </row>
    <row r="1193" spans="1:22" x14ac:dyDescent="0.25">
      <c r="A1193" s="3" t="s">
        <v>22</v>
      </c>
      <c r="B1193" s="4">
        <v>23339050</v>
      </c>
      <c r="C1193" s="5" t="s">
        <v>23</v>
      </c>
      <c r="D1193" s="6" t="s">
        <v>605</v>
      </c>
      <c r="E1193" s="6" t="s">
        <v>25</v>
      </c>
      <c r="F1193" s="11">
        <v>46162</v>
      </c>
      <c r="G1193" s="6" t="s">
        <v>1079</v>
      </c>
      <c r="H1193" s="7" t="s">
        <v>26</v>
      </c>
      <c r="I1193" s="7" t="s">
        <v>348</v>
      </c>
      <c r="J1193" s="7" t="s">
        <v>560</v>
      </c>
      <c r="K1193" s="7" t="s">
        <v>29</v>
      </c>
      <c r="L1193" s="3" t="str">
        <f>E1193&amp;D1193</f>
        <v>E.SP.IPAEE_INS_SEG_S_I_CIRCUITO VIA CA_0090</v>
      </c>
      <c r="M1193" s="3" t="str">
        <f>IFERROR(MID(D1193,SEARCH("S_I_",D1193,1),3),"")</f>
        <v>S_I</v>
      </c>
      <c r="N1193" s="3" t="str">
        <f>IFERROR(MID(D1193,SEARCH("C_I_",D1193,1),3),"")</f>
        <v/>
      </c>
      <c r="O1193" s="3" t="str">
        <f>IF(AND(M1193="",N1193=""),"Extra","")</f>
        <v/>
      </c>
      <c r="P1193" s="3" t="str">
        <f>IF(Q1193=0,"TERCEIRO","MRS")</f>
        <v>MRS</v>
      </c>
      <c r="Q1193" s="8" t="str">
        <f>IFERROR(VLOOKUP(L1193,#REF!,4,0),"0,00")</f>
        <v>0,00</v>
      </c>
      <c r="R1193" s="9" t="s">
        <v>30</v>
      </c>
      <c r="S1193" s="9">
        <f>COUNTIF(D1193,"*_SEG_*")</f>
        <v>1</v>
      </c>
      <c r="T1193" s="9">
        <f>COUNTIF(D1193,"*_MAN_*")</f>
        <v>0</v>
      </c>
      <c r="U1193" s="9">
        <f>(RIGHT(D1193,4))*1</f>
        <v>90</v>
      </c>
      <c r="V1193" s="9" t="str">
        <f>IFERROR(VLOOKUP(I1193,#REF!,2,0),"Sinalização")</f>
        <v>Sinalização</v>
      </c>
    </row>
    <row r="1194" spans="1:22" x14ac:dyDescent="0.25">
      <c r="A1194" s="3" t="s">
        <v>22</v>
      </c>
      <c r="B1194" s="4">
        <v>23339055</v>
      </c>
      <c r="C1194" s="5" t="s">
        <v>23</v>
      </c>
      <c r="D1194" s="6" t="s">
        <v>605</v>
      </c>
      <c r="E1194" s="6" t="s">
        <v>25</v>
      </c>
      <c r="F1194" s="11">
        <v>46162</v>
      </c>
      <c r="G1194" s="6" t="s">
        <v>1079</v>
      </c>
      <c r="H1194" s="7" t="s">
        <v>26</v>
      </c>
      <c r="I1194" s="7" t="s">
        <v>740</v>
      </c>
      <c r="J1194" s="7" t="s">
        <v>560</v>
      </c>
      <c r="K1194" s="7" t="s">
        <v>29</v>
      </c>
      <c r="L1194" s="3" t="str">
        <f>E1194&amp;D1194</f>
        <v>E.SP.IPAEE_INS_SEG_S_I_CIRCUITO VIA CA_0090</v>
      </c>
      <c r="M1194" s="3" t="str">
        <f>IFERROR(MID(D1194,SEARCH("S_I_",D1194,1),3),"")</f>
        <v>S_I</v>
      </c>
      <c r="N1194" s="3" t="str">
        <f>IFERROR(MID(D1194,SEARCH("C_I_",D1194,1),3),"")</f>
        <v/>
      </c>
      <c r="O1194" s="3" t="str">
        <f>IF(AND(M1194="",N1194=""),"Extra","")</f>
        <v/>
      </c>
      <c r="P1194" s="3" t="str">
        <f>IF(Q1194=0,"TERCEIRO","MRS")</f>
        <v>MRS</v>
      </c>
      <c r="Q1194" s="8" t="str">
        <f>IFERROR(VLOOKUP(L1194,#REF!,4,0),"0,00")</f>
        <v>0,00</v>
      </c>
      <c r="R1194" s="9" t="s">
        <v>30</v>
      </c>
      <c r="S1194" s="9">
        <f>COUNTIF(D1194,"*_SEG_*")</f>
        <v>1</v>
      </c>
      <c r="T1194" s="9">
        <f>COUNTIF(D1194,"*_MAN_*")</f>
        <v>0</v>
      </c>
      <c r="U1194" s="9">
        <f>(RIGHT(D1194,4))*1</f>
        <v>90</v>
      </c>
      <c r="V1194" s="9" t="str">
        <f>IFERROR(VLOOKUP(I1194,#REF!,2,0),"Sinalização")</f>
        <v>Sinalização</v>
      </c>
    </row>
    <row r="1195" spans="1:22" x14ac:dyDescent="0.25">
      <c r="A1195" s="3" t="s">
        <v>22</v>
      </c>
      <c r="B1195" s="4">
        <v>23339056</v>
      </c>
      <c r="C1195" s="5" t="s">
        <v>23</v>
      </c>
      <c r="D1195" s="6" t="s">
        <v>605</v>
      </c>
      <c r="E1195" s="6" t="s">
        <v>25</v>
      </c>
      <c r="F1195" s="11">
        <v>46162</v>
      </c>
      <c r="G1195" s="6" t="s">
        <v>1079</v>
      </c>
      <c r="H1195" s="7" t="s">
        <v>26</v>
      </c>
      <c r="I1195" s="7" t="s">
        <v>734</v>
      </c>
      <c r="J1195" s="7" t="s">
        <v>560</v>
      </c>
      <c r="K1195" s="7" t="s">
        <v>29</v>
      </c>
      <c r="L1195" s="3" t="str">
        <f>E1195&amp;D1195</f>
        <v>E.SP.IPAEE_INS_SEG_S_I_CIRCUITO VIA CA_0090</v>
      </c>
      <c r="M1195" s="3" t="str">
        <f>IFERROR(MID(D1195,SEARCH("S_I_",D1195,1),3),"")</f>
        <v>S_I</v>
      </c>
      <c r="N1195" s="3" t="str">
        <f>IFERROR(MID(D1195,SEARCH("C_I_",D1195,1),3),"")</f>
        <v/>
      </c>
      <c r="O1195" s="3" t="str">
        <f>IF(AND(M1195="",N1195=""),"Extra","")</f>
        <v/>
      </c>
      <c r="P1195" s="3" t="str">
        <f>IF(Q1195=0,"TERCEIRO","MRS")</f>
        <v>MRS</v>
      </c>
      <c r="Q1195" s="8" t="str">
        <f>IFERROR(VLOOKUP(L1195,#REF!,4,0),"0,00")</f>
        <v>0,00</v>
      </c>
      <c r="R1195" s="9" t="s">
        <v>30</v>
      </c>
      <c r="S1195" s="9">
        <f>COUNTIF(D1195,"*_SEG_*")</f>
        <v>1</v>
      </c>
      <c r="T1195" s="9">
        <f>COUNTIF(D1195,"*_MAN_*")</f>
        <v>0</v>
      </c>
      <c r="U1195" s="9">
        <f>(RIGHT(D1195,4))*1</f>
        <v>90</v>
      </c>
      <c r="V1195" s="9" t="str">
        <f>IFERROR(VLOOKUP(I1195,#REF!,2,0),"Sinalização")</f>
        <v>Sinalização</v>
      </c>
    </row>
    <row r="1196" spans="1:22" x14ac:dyDescent="0.25">
      <c r="A1196" s="3" t="s">
        <v>22</v>
      </c>
      <c r="B1196" s="4">
        <v>23339057</v>
      </c>
      <c r="C1196" s="5" t="s">
        <v>23</v>
      </c>
      <c r="D1196" s="6" t="s">
        <v>605</v>
      </c>
      <c r="E1196" s="6" t="s">
        <v>25</v>
      </c>
      <c r="F1196" s="11">
        <v>46162</v>
      </c>
      <c r="G1196" s="6" t="s">
        <v>1079</v>
      </c>
      <c r="H1196" s="7" t="s">
        <v>26</v>
      </c>
      <c r="I1196" s="7" t="s">
        <v>733</v>
      </c>
      <c r="J1196" s="7" t="s">
        <v>560</v>
      </c>
      <c r="K1196" s="7" t="s">
        <v>29</v>
      </c>
      <c r="L1196" s="3" t="str">
        <f>E1196&amp;D1196</f>
        <v>E.SP.IPAEE_INS_SEG_S_I_CIRCUITO VIA CA_0090</v>
      </c>
      <c r="M1196" s="3" t="str">
        <f>IFERROR(MID(D1196,SEARCH("S_I_",D1196,1),3),"")</f>
        <v>S_I</v>
      </c>
      <c r="N1196" s="3" t="str">
        <f>IFERROR(MID(D1196,SEARCH("C_I_",D1196,1),3),"")</f>
        <v/>
      </c>
      <c r="O1196" s="3" t="str">
        <f>IF(AND(M1196="",N1196=""),"Extra","")</f>
        <v/>
      </c>
      <c r="P1196" s="3" t="str">
        <f>IF(Q1196=0,"TERCEIRO","MRS")</f>
        <v>MRS</v>
      </c>
      <c r="Q1196" s="8" t="str">
        <f>IFERROR(VLOOKUP(L1196,#REF!,4,0),"0,00")</f>
        <v>0,00</v>
      </c>
      <c r="R1196" s="9" t="s">
        <v>30</v>
      </c>
      <c r="S1196" s="9">
        <f>COUNTIF(D1196,"*_SEG_*")</f>
        <v>1</v>
      </c>
      <c r="T1196" s="9">
        <f>COUNTIF(D1196,"*_MAN_*")</f>
        <v>0</v>
      </c>
      <c r="U1196" s="9">
        <f>(RIGHT(D1196,4))*1</f>
        <v>90</v>
      </c>
      <c r="V1196" s="9" t="str">
        <f>IFERROR(VLOOKUP(I1196,#REF!,2,0),"Sinalização")</f>
        <v>Sinalização</v>
      </c>
    </row>
    <row r="1197" spans="1:22" x14ac:dyDescent="0.25">
      <c r="A1197" s="3" t="s">
        <v>22</v>
      </c>
      <c r="B1197" s="4">
        <v>23339069</v>
      </c>
      <c r="C1197" s="5" t="s">
        <v>23</v>
      </c>
      <c r="D1197" s="6" t="s">
        <v>606</v>
      </c>
      <c r="E1197" s="6" t="s">
        <v>25</v>
      </c>
      <c r="F1197" s="11">
        <v>46162</v>
      </c>
      <c r="G1197" s="6" t="s">
        <v>1079</v>
      </c>
      <c r="H1197" s="7" t="s">
        <v>26</v>
      </c>
      <c r="I1197" s="7" t="s">
        <v>449</v>
      </c>
      <c r="J1197" s="7" t="s">
        <v>567</v>
      </c>
      <c r="K1197" s="7" t="s">
        <v>29</v>
      </c>
      <c r="L1197" s="3" t="str">
        <f>E1197&amp;D1197</f>
        <v>E.SP.IPAEE_INS_CONF_C_I_MCH 110V GRS 55BR R_0090</v>
      </c>
      <c r="M1197" s="3" t="str">
        <f>IFERROR(MID(D1197,SEARCH("S_I_",D1197,1),3),"")</f>
        <v/>
      </c>
      <c r="N1197" s="3" t="str">
        <f>IFERROR(MID(D1197,SEARCH("C_I_",D1197,1),3),"")</f>
        <v>C_I</v>
      </c>
      <c r="O1197" s="3" t="str">
        <f>IF(AND(M1197="",N1197=""),"Extra","")</f>
        <v/>
      </c>
      <c r="P1197" s="3" t="str">
        <f>IF(Q1197=0,"TERCEIRO","MRS")</f>
        <v>MRS</v>
      </c>
      <c r="Q1197" s="8" t="str">
        <f>IFERROR(VLOOKUP(L1197,#REF!,4,0),"0,00")</f>
        <v>0,00</v>
      </c>
      <c r="R1197" s="9" t="s">
        <v>42</v>
      </c>
      <c r="S1197" s="9">
        <f>COUNTIF(D1197,"*_SEG_*")</f>
        <v>0</v>
      </c>
      <c r="T1197" s="9">
        <f>COUNTIF(D1197,"*_MAN_*")</f>
        <v>0</v>
      </c>
      <c r="U1197" s="9">
        <f>(RIGHT(D1197,4))*1</f>
        <v>90</v>
      </c>
      <c r="V1197" s="9" t="str">
        <f>IFERROR(VLOOKUP(I1197,#REF!,2,0),"Sinalização")</f>
        <v>Sinalização</v>
      </c>
    </row>
    <row r="1198" spans="1:22" x14ac:dyDescent="0.25">
      <c r="A1198" s="3" t="s">
        <v>22</v>
      </c>
      <c r="B1198" s="4">
        <v>23339070</v>
      </c>
      <c r="C1198" s="5" t="s">
        <v>23</v>
      </c>
      <c r="D1198" s="6" t="s">
        <v>606</v>
      </c>
      <c r="E1198" s="6" t="s">
        <v>25</v>
      </c>
      <c r="F1198" s="11">
        <v>46162</v>
      </c>
      <c r="G1198" s="6" t="s">
        <v>1079</v>
      </c>
      <c r="H1198" s="7" t="s">
        <v>26</v>
      </c>
      <c r="I1198" s="7" t="s">
        <v>741</v>
      </c>
      <c r="J1198" s="7" t="s">
        <v>567</v>
      </c>
      <c r="K1198" s="7" t="s">
        <v>29</v>
      </c>
      <c r="L1198" s="3" t="str">
        <f>E1198&amp;D1198</f>
        <v>E.SP.IPAEE_INS_CONF_C_I_MCH 110V GRS 55BR R_0090</v>
      </c>
      <c r="M1198" s="3" t="str">
        <f>IFERROR(MID(D1198,SEARCH("S_I_",D1198,1),3),"")</f>
        <v/>
      </c>
      <c r="N1198" s="3" t="str">
        <f>IFERROR(MID(D1198,SEARCH("C_I_",D1198,1),3),"")</f>
        <v>C_I</v>
      </c>
      <c r="O1198" s="3" t="str">
        <f>IF(AND(M1198="",N1198=""),"Extra","")</f>
        <v/>
      </c>
      <c r="P1198" s="3" t="str">
        <f>IF(Q1198=0,"TERCEIRO","MRS")</f>
        <v>MRS</v>
      </c>
      <c r="Q1198" s="8" t="str">
        <f>IFERROR(VLOOKUP(L1198,#REF!,4,0),"0,00")</f>
        <v>0,00</v>
      </c>
      <c r="R1198" s="9" t="s">
        <v>42</v>
      </c>
      <c r="S1198" s="9">
        <f>COUNTIF(D1198,"*_SEG_*")</f>
        <v>0</v>
      </c>
      <c r="T1198" s="9">
        <f>COUNTIF(D1198,"*_MAN_*")</f>
        <v>0</v>
      </c>
      <c r="U1198" s="9">
        <f>(RIGHT(D1198,4))*1</f>
        <v>90</v>
      </c>
      <c r="V1198" s="9" t="str">
        <f>IFERROR(VLOOKUP(I1198,#REF!,2,0),"Sinalização")</f>
        <v>Sinalização</v>
      </c>
    </row>
    <row r="1199" spans="1:22" x14ac:dyDescent="0.25">
      <c r="A1199" s="3" t="s">
        <v>22</v>
      </c>
      <c r="B1199" s="4">
        <v>23339071</v>
      </c>
      <c r="C1199" s="5" t="s">
        <v>23</v>
      </c>
      <c r="D1199" s="6" t="s">
        <v>606</v>
      </c>
      <c r="E1199" s="6" t="s">
        <v>25</v>
      </c>
      <c r="F1199" s="11">
        <v>46162</v>
      </c>
      <c r="G1199" s="6" t="s">
        <v>1079</v>
      </c>
      <c r="H1199" s="7" t="s">
        <v>26</v>
      </c>
      <c r="I1199" s="7" t="s">
        <v>256</v>
      </c>
      <c r="J1199" s="7" t="s">
        <v>567</v>
      </c>
      <c r="K1199" s="7" t="s">
        <v>29</v>
      </c>
      <c r="L1199" s="3" t="str">
        <f>E1199&amp;D1199</f>
        <v>E.SP.IPAEE_INS_CONF_C_I_MCH 110V GRS 55BR R_0090</v>
      </c>
      <c r="M1199" s="3" t="str">
        <f>IFERROR(MID(D1199,SEARCH("S_I_",D1199,1),3),"")</f>
        <v/>
      </c>
      <c r="N1199" s="3" t="str">
        <f>IFERROR(MID(D1199,SEARCH("C_I_",D1199,1),3),"")</f>
        <v>C_I</v>
      </c>
      <c r="O1199" s="3" t="str">
        <f>IF(AND(M1199="",N1199=""),"Extra","")</f>
        <v/>
      </c>
      <c r="P1199" s="3" t="str">
        <f>IF(Q1199=0,"TERCEIRO","MRS")</f>
        <v>MRS</v>
      </c>
      <c r="Q1199" s="8" t="str">
        <f>IFERROR(VLOOKUP(L1199,#REF!,4,0),"0,00")</f>
        <v>0,00</v>
      </c>
      <c r="R1199" s="9" t="s">
        <v>42</v>
      </c>
      <c r="S1199" s="9">
        <f>COUNTIF(D1199,"*_SEG_*")</f>
        <v>0</v>
      </c>
      <c r="T1199" s="9">
        <f>COUNTIF(D1199,"*_MAN_*")</f>
        <v>0</v>
      </c>
      <c r="U1199" s="9">
        <f>(RIGHT(D1199,4))*1</f>
        <v>90</v>
      </c>
      <c r="V1199" s="9" t="str">
        <f>IFERROR(VLOOKUP(I1199,#REF!,2,0),"Sinalização")</f>
        <v>Sinalização</v>
      </c>
    </row>
    <row r="1200" spans="1:22" x14ac:dyDescent="0.25">
      <c r="A1200" s="3" t="s">
        <v>22</v>
      </c>
      <c r="B1200" s="4">
        <v>23339444</v>
      </c>
      <c r="C1200" s="5" t="s">
        <v>23</v>
      </c>
      <c r="D1200" s="6" t="s">
        <v>630</v>
      </c>
      <c r="E1200" s="6" t="s">
        <v>25</v>
      </c>
      <c r="F1200" s="11">
        <v>46162</v>
      </c>
      <c r="G1200" s="6" t="s">
        <v>1079</v>
      </c>
      <c r="H1200" s="7" t="s">
        <v>26</v>
      </c>
      <c r="I1200" s="7" t="s">
        <v>256</v>
      </c>
      <c r="J1200" s="7" t="s">
        <v>631</v>
      </c>
      <c r="K1200" s="7" t="s">
        <v>29</v>
      </c>
      <c r="L1200" s="3" t="str">
        <f>E1200&amp;D1200</f>
        <v>E.SP.IPAEE_MAN_CONF_C_I_MCH 110V GRS 55BR R_0090</v>
      </c>
      <c r="M1200" s="3" t="str">
        <f>IFERROR(MID(D1200,SEARCH("S_I_",D1200,1),3),"")</f>
        <v/>
      </c>
      <c r="N1200" s="3" t="str">
        <f>IFERROR(MID(D1200,SEARCH("C_I_",D1200,1),3),"")</f>
        <v>C_I</v>
      </c>
      <c r="O1200" s="3" t="str">
        <f>IF(AND(M1200="",N1200=""),"Extra","")</f>
        <v/>
      </c>
      <c r="P1200" s="3" t="str">
        <f>IF(Q1200=0,"TERCEIRO","MRS")</f>
        <v>MRS</v>
      </c>
      <c r="Q1200" s="8" t="str">
        <f>IFERROR(VLOOKUP(L1200,#REF!,4,0),"0,00")</f>
        <v>0,00</v>
      </c>
      <c r="R1200" s="9" t="s">
        <v>42</v>
      </c>
      <c r="S1200" s="9">
        <f>COUNTIF(D1200,"*_SEG_*")</f>
        <v>0</v>
      </c>
      <c r="T1200" s="9">
        <f>COUNTIF(D1200,"*_MAN_*")</f>
        <v>1</v>
      </c>
      <c r="U1200" s="9">
        <f>(RIGHT(D1200,4))*1</f>
        <v>90</v>
      </c>
      <c r="V1200" s="9" t="str">
        <f>IFERROR(VLOOKUP(I1200,#REF!,2,0),"Sinalização")</f>
        <v>Sinalização</v>
      </c>
    </row>
    <row r="1201" spans="1:22" x14ac:dyDescent="0.25">
      <c r="A1201" s="3" t="s">
        <v>22</v>
      </c>
      <c r="B1201" s="4">
        <v>23339445</v>
      </c>
      <c r="C1201" s="5" t="s">
        <v>23</v>
      </c>
      <c r="D1201" s="6" t="s">
        <v>630</v>
      </c>
      <c r="E1201" s="6" t="s">
        <v>25</v>
      </c>
      <c r="F1201" s="11">
        <v>46162</v>
      </c>
      <c r="G1201" s="6" t="s">
        <v>1079</v>
      </c>
      <c r="H1201" s="7" t="s">
        <v>26</v>
      </c>
      <c r="I1201" s="7" t="s">
        <v>741</v>
      </c>
      <c r="J1201" s="7" t="s">
        <v>631</v>
      </c>
      <c r="K1201" s="7" t="s">
        <v>29</v>
      </c>
      <c r="L1201" s="3" t="str">
        <f>E1201&amp;D1201</f>
        <v>E.SP.IPAEE_MAN_CONF_C_I_MCH 110V GRS 55BR R_0090</v>
      </c>
      <c r="M1201" s="3" t="str">
        <f>IFERROR(MID(D1201,SEARCH("S_I_",D1201,1),3),"")</f>
        <v/>
      </c>
      <c r="N1201" s="3" t="str">
        <f>IFERROR(MID(D1201,SEARCH("C_I_",D1201,1),3),"")</f>
        <v>C_I</v>
      </c>
      <c r="O1201" s="3" t="str">
        <f>IF(AND(M1201="",N1201=""),"Extra","")</f>
        <v/>
      </c>
      <c r="P1201" s="3" t="str">
        <f>IF(Q1201=0,"TERCEIRO","MRS")</f>
        <v>MRS</v>
      </c>
      <c r="Q1201" s="8" t="str">
        <f>IFERROR(VLOOKUP(L1201,#REF!,4,0),"0,00")</f>
        <v>0,00</v>
      </c>
      <c r="R1201" s="9" t="s">
        <v>42</v>
      </c>
      <c r="S1201" s="9">
        <f>COUNTIF(D1201,"*_SEG_*")</f>
        <v>0</v>
      </c>
      <c r="T1201" s="9">
        <f>COUNTIF(D1201,"*_MAN_*")</f>
        <v>1</v>
      </c>
      <c r="U1201" s="9">
        <f>(RIGHT(D1201,4))*1</f>
        <v>90</v>
      </c>
      <c r="V1201" s="9" t="str">
        <f>IFERROR(VLOOKUP(I1201,#REF!,2,0),"Sinalização")</f>
        <v>Sinalização</v>
      </c>
    </row>
    <row r="1202" spans="1:22" x14ac:dyDescent="0.25">
      <c r="A1202" s="3" t="s">
        <v>22</v>
      </c>
      <c r="B1202" s="4">
        <v>23339446</v>
      </c>
      <c r="C1202" s="5" t="s">
        <v>23</v>
      </c>
      <c r="D1202" s="6" t="s">
        <v>630</v>
      </c>
      <c r="E1202" s="6" t="s">
        <v>25</v>
      </c>
      <c r="F1202" s="11">
        <v>46162</v>
      </c>
      <c r="G1202" s="6" t="s">
        <v>1079</v>
      </c>
      <c r="H1202" s="7" t="s">
        <v>26</v>
      </c>
      <c r="I1202" s="7" t="s">
        <v>449</v>
      </c>
      <c r="J1202" s="7" t="s">
        <v>631</v>
      </c>
      <c r="K1202" s="7" t="s">
        <v>29</v>
      </c>
      <c r="L1202" s="3" t="str">
        <f>E1202&amp;D1202</f>
        <v>E.SP.IPAEE_MAN_CONF_C_I_MCH 110V GRS 55BR R_0090</v>
      </c>
      <c r="M1202" s="3" t="str">
        <f>IFERROR(MID(D1202,SEARCH("S_I_",D1202,1),3),"")</f>
        <v/>
      </c>
      <c r="N1202" s="3" t="str">
        <f>IFERROR(MID(D1202,SEARCH("C_I_",D1202,1),3),"")</f>
        <v>C_I</v>
      </c>
      <c r="O1202" s="3" t="str">
        <f>IF(AND(M1202="",N1202=""),"Extra","")</f>
        <v/>
      </c>
      <c r="P1202" s="3" t="str">
        <f>IF(Q1202=0,"TERCEIRO","MRS")</f>
        <v>MRS</v>
      </c>
      <c r="Q1202" s="8" t="str">
        <f>IFERROR(VLOOKUP(L1202,#REF!,4,0),"0,00")</f>
        <v>0,00</v>
      </c>
      <c r="R1202" s="9" t="s">
        <v>42</v>
      </c>
      <c r="S1202" s="9">
        <f>COUNTIF(D1202,"*_SEG_*")</f>
        <v>0</v>
      </c>
      <c r="T1202" s="9">
        <f>COUNTIF(D1202,"*_MAN_*")</f>
        <v>1</v>
      </c>
      <c r="U1202" s="9">
        <f>(RIGHT(D1202,4))*1</f>
        <v>90</v>
      </c>
      <c r="V1202" s="9" t="str">
        <f>IFERROR(VLOOKUP(I1202,#REF!,2,0),"Sinalização")</f>
        <v>Sinalização</v>
      </c>
    </row>
    <row r="1203" spans="1:22" x14ac:dyDescent="0.25">
      <c r="A1203" s="3" t="s">
        <v>22</v>
      </c>
      <c r="B1203" s="4">
        <v>23339447</v>
      </c>
      <c r="C1203" s="5" t="s">
        <v>23</v>
      </c>
      <c r="D1203" s="6" t="s">
        <v>630</v>
      </c>
      <c r="E1203" s="6" t="s">
        <v>25</v>
      </c>
      <c r="F1203" s="11">
        <v>46162</v>
      </c>
      <c r="G1203" s="6" t="s">
        <v>1079</v>
      </c>
      <c r="H1203" s="7" t="s">
        <v>26</v>
      </c>
      <c r="I1203" s="7" t="s">
        <v>450</v>
      </c>
      <c r="J1203" s="7" t="s">
        <v>631</v>
      </c>
      <c r="K1203" s="7" t="s">
        <v>29</v>
      </c>
      <c r="L1203" s="3" t="str">
        <f>E1203&amp;D1203</f>
        <v>E.SP.IPAEE_MAN_CONF_C_I_MCH 110V GRS 55BR R_0090</v>
      </c>
      <c r="M1203" s="3" t="str">
        <f>IFERROR(MID(D1203,SEARCH("S_I_",D1203,1),3),"")</f>
        <v/>
      </c>
      <c r="N1203" s="3" t="str">
        <f>IFERROR(MID(D1203,SEARCH("C_I_",D1203,1),3),"")</f>
        <v>C_I</v>
      </c>
      <c r="O1203" s="3" t="str">
        <f>IF(AND(M1203="",N1203=""),"Extra","")</f>
        <v/>
      </c>
      <c r="P1203" s="3" t="str">
        <f>IF(Q1203=0,"TERCEIRO","MRS")</f>
        <v>MRS</v>
      </c>
      <c r="Q1203" s="8" t="str">
        <f>IFERROR(VLOOKUP(L1203,#REF!,4,0),"0,00")</f>
        <v>0,00</v>
      </c>
      <c r="R1203" s="9" t="s">
        <v>42</v>
      </c>
      <c r="S1203" s="9">
        <f>COUNTIF(D1203,"*_SEG_*")</f>
        <v>0</v>
      </c>
      <c r="T1203" s="9">
        <f>COUNTIF(D1203,"*_MAN_*")</f>
        <v>1</v>
      </c>
      <c r="U1203" s="9">
        <f>(RIGHT(D1203,4))*1</f>
        <v>90</v>
      </c>
      <c r="V1203" s="9" t="str">
        <f>IFERROR(VLOOKUP(I1203,#REF!,2,0),"Sinalização")</f>
        <v>Sinalização</v>
      </c>
    </row>
    <row r="1204" spans="1:22" x14ac:dyDescent="0.25">
      <c r="A1204" s="3" t="s">
        <v>22</v>
      </c>
      <c r="B1204" s="4">
        <v>23339866</v>
      </c>
      <c r="C1204" s="5" t="s">
        <v>23</v>
      </c>
      <c r="D1204" s="6" t="s">
        <v>709</v>
      </c>
      <c r="E1204" s="6" t="s">
        <v>25</v>
      </c>
      <c r="F1204" s="11">
        <v>46162</v>
      </c>
      <c r="G1204" s="6" t="s">
        <v>1079</v>
      </c>
      <c r="H1204" s="7" t="s">
        <v>26</v>
      </c>
      <c r="I1204" s="7" t="s">
        <v>735</v>
      </c>
      <c r="J1204" s="7" t="s">
        <v>711</v>
      </c>
      <c r="K1204" s="7" t="s">
        <v>29</v>
      </c>
      <c r="L1204" s="3" t="str">
        <f>E1204&amp;D1204</f>
        <v>E.SP.IPAEE_INS_CONF_C_I_COM ENER CHAN OVER_0090</v>
      </c>
      <c r="M1204" s="3" t="str">
        <f>IFERROR(MID(D1204,SEARCH("S_I_",D1204,1),3),"")</f>
        <v/>
      </c>
      <c r="N1204" s="3" t="str">
        <f>IFERROR(MID(D1204,SEARCH("C_I_",D1204,1),3),"")</f>
        <v>C_I</v>
      </c>
      <c r="O1204" s="3" t="str">
        <f>IF(AND(M1204="",N1204=""),"Extra","")</f>
        <v/>
      </c>
      <c r="P1204" s="3" t="str">
        <f>IF(Q1204=0,"TERCEIRO","MRS")</f>
        <v>MRS</v>
      </c>
      <c r="Q1204" s="8" t="str">
        <f>IFERROR(VLOOKUP(L1204,#REF!,4,0),"0,00")</f>
        <v>0,00</v>
      </c>
      <c r="R1204" s="9" t="s">
        <v>98</v>
      </c>
      <c r="S1204" s="9">
        <f>COUNTIF(D1204,"*_SEG_*")</f>
        <v>0</v>
      </c>
      <c r="T1204" s="9">
        <f>COUNTIF(D1204,"*_MAN_*")</f>
        <v>0</v>
      </c>
      <c r="U1204" s="9">
        <f>(RIGHT(D1204,4))*1</f>
        <v>90</v>
      </c>
      <c r="V1204" s="9" t="str">
        <f>IFERROR(VLOOKUP(I1204,#REF!,2,0),"Sinalização")</f>
        <v>Sinalização</v>
      </c>
    </row>
    <row r="1205" spans="1:22" x14ac:dyDescent="0.25">
      <c r="A1205" s="3" t="s">
        <v>22</v>
      </c>
      <c r="B1205" s="4">
        <v>23339869</v>
      </c>
      <c r="C1205" s="5" t="s">
        <v>23</v>
      </c>
      <c r="D1205" s="6" t="s">
        <v>709</v>
      </c>
      <c r="E1205" s="6" t="s">
        <v>25</v>
      </c>
      <c r="F1205" s="11">
        <v>46162</v>
      </c>
      <c r="G1205" s="6" t="s">
        <v>1079</v>
      </c>
      <c r="H1205" s="7" t="s">
        <v>26</v>
      </c>
      <c r="I1205" s="7" t="s">
        <v>736</v>
      </c>
      <c r="J1205" s="7" t="s">
        <v>711</v>
      </c>
      <c r="K1205" s="7" t="s">
        <v>29</v>
      </c>
      <c r="L1205" s="3" t="str">
        <f>E1205&amp;D1205</f>
        <v>E.SP.IPAEE_INS_CONF_C_I_COM ENER CHAN OVER_0090</v>
      </c>
      <c r="M1205" s="3" t="str">
        <f>IFERROR(MID(D1205,SEARCH("S_I_",D1205,1),3),"")</f>
        <v/>
      </c>
      <c r="N1205" s="3" t="str">
        <f>IFERROR(MID(D1205,SEARCH("C_I_",D1205,1),3),"")</f>
        <v>C_I</v>
      </c>
      <c r="O1205" s="3" t="str">
        <f>IF(AND(M1205="",N1205=""),"Extra","")</f>
        <v/>
      </c>
      <c r="P1205" s="3" t="str">
        <f>IF(Q1205=0,"TERCEIRO","MRS")</f>
        <v>MRS</v>
      </c>
      <c r="Q1205" s="8" t="str">
        <f>IFERROR(VLOOKUP(L1205,#REF!,4,0),"0,00")</f>
        <v>0,00</v>
      </c>
      <c r="R1205" s="9" t="s">
        <v>98</v>
      </c>
      <c r="S1205" s="9">
        <f>COUNTIF(D1205,"*_SEG_*")</f>
        <v>0</v>
      </c>
      <c r="T1205" s="9">
        <f>COUNTIF(D1205,"*_MAN_*")</f>
        <v>0</v>
      </c>
      <c r="U1205" s="9">
        <f>(RIGHT(D1205,4))*1</f>
        <v>90</v>
      </c>
      <c r="V1205" s="9" t="str">
        <f>IFERROR(VLOOKUP(I1205,#REF!,2,0),"Sinalização")</f>
        <v>Sinalização</v>
      </c>
    </row>
    <row r="1206" spans="1:22" x14ac:dyDescent="0.25">
      <c r="A1206" s="3" t="s">
        <v>22</v>
      </c>
      <c r="B1206" s="4">
        <v>23339880</v>
      </c>
      <c r="C1206" s="5" t="s">
        <v>23</v>
      </c>
      <c r="D1206" s="6" t="s">
        <v>709</v>
      </c>
      <c r="E1206" s="6" t="s">
        <v>25</v>
      </c>
      <c r="F1206" s="11">
        <v>46162</v>
      </c>
      <c r="G1206" s="6" t="s">
        <v>1079</v>
      </c>
      <c r="H1206" s="7" t="s">
        <v>26</v>
      </c>
      <c r="I1206" s="7" t="s">
        <v>737</v>
      </c>
      <c r="J1206" s="7" t="s">
        <v>711</v>
      </c>
      <c r="K1206" s="7" t="s">
        <v>29</v>
      </c>
      <c r="L1206" s="3" t="str">
        <f>E1206&amp;D1206</f>
        <v>E.SP.IPAEE_INS_CONF_C_I_COM ENER CHAN OVER_0090</v>
      </c>
      <c r="M1206" s="3" t="str">
        <f>IFERROR(MID(D1206,SEARCH("S_I_",D1206,1),3),"")</f>
        <v/>
      </c>
      <c r="N1206" s="3" t="str">
        <f>IFERROR(MID(D1206,SEARCH("C_I_",D1206,1),3),"")</f>
        <v>C_I</v>
      </c>
      <c r="O1206" s="3" t="str">
        <f>IF(AND(M1206="",N1206=""),"Extra","")</f>
        <v/>
      </c>
      <c r="P1206" s="3" t="str">
        <f>IF(Q1206=0,"TERCEIRO","MRS")</f>
        <v>MRS</v>
      </c>
      <c r="Q1206" s="8" t="str">
        <f>IFERROR(VLOOKUP(L1206,#REF!,4,0),"0,00")</f>
        <v>0,00</v>
      </c>
      <c r="R1206" s="9" t="s">
        <v>98</v>
      </c>
      <c r="S1206" s="9">
        <f>COUNTIF(D1206,"*_SEG_*")</f>
        <v>0</v>
      </c>
      <c r="T1206" s="9">
        <f>COUNTIF(D1206,"*_MAN_*")</f>
        <v>0</v>
      </c>
      <c r="U1206" s="9">
        <f>(RIGHT(D1206,4))*1</f>
        <v>90</v>
      </c>
      <c r="V1206" s="9" t="str">
        <f>IFERROR(VLOOKUP(I1206,#REF!,2,0),"Sinalização")</f>
        <v>Sinalização</v>
      </c>
    </row>
    <row r="1207" spans="1:22" x14ac:dyDescent="0.25">
      <c r="A1207" s="3" t="s">
        <v>22</v>
      </c>
      <c r="B1207" s="4">
        <v>23339882</v>
      </c>
      <c r="C1207" s="5" t="s">
        <v>23</v>
      </c>
      <c r="D1207" s="6" t="s">
        <v>709</v>
      </c>
      <c r="E1207" s="6" t="s">
        <v>25</v>
      </c>
      <c r="F1207" s="11">
        <v>46162</v>
      </c>
      <c r="G1207" s="6" t="s">
        <v>1079</v>
      </c>
      <c r="H1207" s="7" t="s">
        <v>26</v>
      </c>
      <c r="I1207" s="7" t="s">
        <v>738</v>
      </c>
      <c r="J1207" s="7" t="s">
        <v>711</v>
      </c>
      <c r="K1207" s="7" t="s">
        <v>29</v>
      </c>
      <c r="L1207" s="3" t="str">
        <f>E1207&amp;D1207</f>
        <v>E.SP.IPAEE_INS_CONF_C_I_COM ENER CHAN OVER_0090</v>
      </c>
      <c r="M1207" s="3" t="str">
        <f>IFERROR(MID(D1207,SEARCH("S_I_",D1207,1),3),"")</f>
        <v/>
      </c>
      <c r="N1207" s="3" t="str">
        <f>IFERROR(MID(D1207,SEARCH("C_I_",D1207,1),3),"")</f>
        <v>C_I</v>
      </c>
      <c r="O1207" s="3" t="str">
        <f>IF(AND(M1207="",N1207=""),"Extra","")</f>
        <v/>
      </c>
      <c r="P1207" s="3" t="str">
        <f>IF(Q1207=0,"TERCEIRO","MRS")</f>
        <v>MRS</v>
      </c>
      <c r="Q1207" s="8" t="str">
        <f>IFERROR(VLOOKUP(L1207,#REF!,4,0),"0,00")</f>
        <v>0,00</v>
      </c>
      <c r="R1207" s="9" t="s">
        <v>98</v>
      </c>
      <c r="S1207" s="9">
        <f>COUNTIF(D1207,"*_SEG_*")</f>
        <v>0</v>
      </c>
      <c r="T1207" s="9">
        <f>COUNTIF(D1207,"*_MAN_*")</f>
        <v>0</v>
      </c>
      <c r="U1207" s="9">
        <f>(RIGHT(D1207,4))*1</f>
        <v>90</v>
      </c>
      <c r="V1207" s="9" t="str">
        <f>IFERROR(VLOOKUP(I1207,#REF!,2,0),"Sinalização")</f>
        <v>Sinalização</v>
      </c>
    </row>
    <row r="1208" spans="1:22" x14ac:dyDescent="0.25">
      <c r="A1208" s="3" t="s">
        <v>22</v>
      </c>
      <c r="B1208" s="4">
        <v>23340776</v>
      </c>
      <c r="C1208" s="5" t="s">
        <v>23</v>
      </c>
      <c r="D1208" s="6" t="s">
        <v>656</v>
      </c>
      <c r="E1208" s="6" t="s">
        <v>25</v>
      </c>
      <c r="F1208" s="11">
        <v>46162</v>
      </c>
      <c r="G1208" s="6" t="s">
        <v>1079</v>
      </c>
      <c r="H1208" s="7" t="s">
        <v>26</v>
      </c>
      <c r="I1208" s="7" t="s">
        <v>742</v>
      </c>
      <c r="J1208" s="7" t="s">
        <v>525</v>
      </c>
      <c r="K1208" s="7" t="s">
        <v>29</v>
      </c>
      <c r="L1208" s="3" t="str">
        <f>E1208&amp;D1208</f>
        <v>E.SP.IPAEE_MAN_CONF_S_I_SINAL L UNIFO CONT_0090</v>
      </c>
      <c r="M1208" s="3" t="str">
        <f>IFERROR(MID(D1208,SEARCH("S_I_",D1208,1),3),"")</f>
        <v>S_I</v>
      </c>
      <c r="N1208" s="3" t="str">
        <f>IFERROR(MID(D1208,SEARCH("C_I_",D1208,1),3),"")</f>
        <v/>
      </c>
      <c r="O1208" s="3" t="str">
        <f>IF(AND(M1208="",N1208=""),"Extra","")</f>
        <v/>
      </c>
      <c r="P1208" s="3" t="str">
        <f>IF(Q1208=0,"TERCEIRO","MRS")</f>
        <v>MRS</v>
      </c>
      <c r="Q1208" s="8" t="str">
        <f>IFERROR(VLOOKUP(L1208,#REF!,4,0),"0,00")</f>
        <v>0,00</v>
      </c>
      <c r="R1208" s="9" t="s">
        <v>57</v>
      </c>
      <c r="S1208" s="9">
        <f>COUNTIF(D1208,"*_SEG_*")</f>
        <v>0</v>
      </c>
      <c r="T1208" s="9">
        <f>COUNTIF(D1208,"*_MAN_*")</f>
        <v>1</v>
      </c>
      <c r="U1208" s="9">
        <f>(RIGHT(D1208,4))*1</f>
        <v>90</v>
      </c>
      <c r="V1208" s="9" t="str">
        <f>IFERROR(VLOOKUP(I1208,#REF!,2,0),"Sinalização")</f>
        <v>Sinalização</v>
      </c>
    </row>
    <row r="1209" spans="1:22" x14ac:dyDescent="0.25">
      <c r="A1209" s="3" t="s">
        <v>22</v>
      </c>
      <c r="B1209" s="4">
        <v>23340777</v>
      </c>
      <c r="C1209" s="5" t="s">
        <v>23</v>
      </c>
      <c r="D1209" s="6" t="s">
        <v>656</v>
      </c>
      <c r="E1209" s="6" t="s">
        <v>25</v>
      </c>
      <c r="F1209" s="11">
        <v>46162</v>
      </c>
      <c r="G1209" s="6" t="s">
        <v>1079</v>
      </c>
      <c r="H1209" s="7" t="s">
        <v>26</v>
      </c>
      <c r="I1209" s="7" t="s">
        <v>743</v>
      </c>
      <c r="J1209" s="7" t="s">
        <v>525</v>
      </c>
      <c r="K1209" s="7" t="s">
        <v>29</v>
      </c>
      <c r="L1209" s="3" t="str">
        <f>E1209&amp;D1209</f>
        <v>E.SP.IPAEE_MAN_CONF_S_I_SINAL L UNIFO CONT_0090</v>
      </c>
      <c r="M1209" s="3" t="str">
        <f>IFERROR(MID(D1209,SEARCH("S_I_",D1209,1),3),"")</f>
        <v>S_I</v>
      </c>
      <c r="N1209" s="3" t="str">
        <f>IFERROR(MID(D1209,SEARCH("C_I_",D1209,1),3),"")</f>
        <v/>
      </c>
      <c r="O1209" s="3" t="str">
        <f>IF(AND(M1209="",N1209=""),"Extra","")</f>
        <v/>
      </c>
      <c r="P1209" s="3" t="str">
        <f>IF(Q1209=0,"TERCEIRO","MRS")</f>
        <v>MRS</v>
      </c>
      <c r="Q1209" s="8" t="str">
        <f>IFERROR(VLOOKUP(L1209,#REF!,4,0),"0,00")</f>
        <v>0,00</v>
      </c>
      <c r="R1209" s="9" t="s">
        <v>57</v>
      </c>
      <c r="S1209" s="9">
        <f>COUNTIF(D1209,"*_SEG_*")</f>
        <v>0</v>
      </c>
      <c r="T1209" s="9">
        <f>COUNTIF(D1209,"*_MAN_*")</f>
        <v>1</v>
      </c>
      <c r="U1209" s="9">
        <f>(RIGHT(D1209,4))*1</f>
        <v>90</v>
      </c>
      <c r="V1209" s="9" t="str">
        <f>IFERROR(VLOOKUP(I1209,#REF!,2,0),"Sinalização")</f>
        <v>Sinalização</v>
      </c>
    </row>
    <row r="1210" spans="1:22" x14ac:dyDescent="0.25">
      <c r="A1210" s="3" t="s">
        <v>22</v>
      </c>
      <c r="B1210" s="4">
        <v>23340778</v>
      </c>
      <c r="C1210" s="5" t="s">
        <v>23</v>
      </c>
      <c r="D1210" s="6" t="s">
        <v>656</v>
      </c>
      <c r="E1210" s="6" t="s">
        <v>25</v>
      </c>
      <c r="F1210" s="11">
        <v>46162</v>
      </c>
      <c r="G1210" s="6" t="s">
        <v>1079</v>
      </c>
      <c r="H1210" s="7" t="s">
        <v>26</v>
      </c>
      <c r="I1210" s="7" t="s">
        <v>744</v>
      </c>
      <c r="J1210" s="7" t="s">
        <v>525</v>
      </c>
      <c r="K1210" s="7" t="s">
        <v>29</v>
      </c>
      <c r="L1210" s="3" t="str">
        <f>E1210&amp;D1210</f>
        <v>E.SP.IPAEE_MAN_CONF_S_I_SINAL L UNIFO CONT_0090</v>
      </c>
      <c r="M1210" s="3" t="str">
        <f>IFERROR(MID(D1210,SEARCH("S_I_",D1210,1),3),"")</f>
        <v>S_I</v>
      </c>
      <c r="N1210" s="3" t="str">
        <f>IFERROR(MID(D1210,SEARCH("C_I_",D1210,1),3),"")</f>
        <v/>
      </c>
      <c r="O1210" s="3" t="str">
        <f>IF(AND(M1210="",N1210=""),"Extra","")</f>
        <v/>
      </c>
      <c r="P1210" s="3" t="str">
        <f>IF(Q1210=0,"TERCEIRO","MRS")</f>
        <v>MRS</v>
      </c>
      <c r="Q1210" s="8" t="str">
        <f>IFERROR(VLOOKUP(L1210,#REF!,4,0),"0,00")</f>
        <v>0,00</v>
      </c>
      <c r="R1210" s="9" t="s">
        <v>57</v>
      </c>
      <c r="S1210" s="9">
        <f>COUNTIF(D1210,"*_SEG_*")</f>
        <v>0</v>
      </c>
      <c r="T1210" s="9">
        <f>COUNTIF(D1210,"*_MAN_*")</f>
        <v>1</v>
      </c>
      <c r="U1210" s="9">
        <f>(RIGHT(D1210,4))*1</f>
        <v>90</v>
      </c>
      <c r="V1210" s="9" t="str">
        <f>IFERROR(VLOOKUP(I1210,#REF!,2,0),"Sinalização")</f>
        <v>Sinalização</v>
      </c>
    </row>
    <row r="1211" spans="1:22" x14ac:dyDescent="0.25">
      <c r="A1211" s="3" t="s">
        <v>22</v>
      </c>
      <c r="B1211" s="4">
        <v>23340779</v>
      </c>
      <c r="C1211" s="5" t="s">
        <v>23</v>
      </c>
      <c r="D1211" s="6" t="s">
        <v>656</v>
      </c>
      <c r="E1211" s="6" t="s">
        <v>25</v>
      </c>
      <c r="F1211" s="11">
        <v>46162</v>
      </c>
      <c r="G1211" s="6" t="s">
        <v>1079</v>
      </c>
      <c r="H1211" s="7" t="s">
        <v>26</v>
      </c>
      <c r="I1211" s="7" t="s">
        <v>745</v>
      </c>
      <c r="J1211" s="7" t="s">
        <v>525</v>
      </c>
      <c r="K1211" s="7" t="s">
        <v>29</v>
      </c>
      <c r="L1211" s="3" t="str">
        <f>E1211&amp;D1211</f>
        <v>E.SP.IPAEE_MAN_CONF_S_I_SINAL L UNIFO CONT_0090</v>
      </c>
      <c r="M1211" s="3" t="str">
        <f>IFERROR(MID(D1211,SEARCH("S_I_",D1211,1),3),"")</f>
        <v>S_I</v>
      </c>
      <c r="N1211" s="3" t="str">
        <f>IFERROR(MID(D1211,SEARCH("C_I_",D1211,1),3),"")</f>
        <v/>
      </c>
      <c r="O1211" s="3" t="str">
        <f>IF(AND(M1211="",N1211=""),"Extra","")</f>
        <v/>
      </c>
      <c r="P1211" s="3" t="str">
        <f>IF(Q1211=0,"TERCEIRO","MRS")</f>
        <v>MRS</v>
      </c>
      <c r="Q1211" s="8" t="str">
        <f>IFERROR(VLOOKUP(L1211,#REF!,4,0),"0,00")</f>
        <v>0,00</v>
      </c>
      <c r="R1211" s="9" t="s">
        <v>57</v>
      </c>
      <c r="S1211" s="9">
        <f>COUNTIF(D1211,"*_SEG_*")</f>
        <v>0</v>
      </c>
      <c r="T1211" s="9">
        <f>COUNTIF(D1211,"*_MAN_*")</f>
        <v>1</v>
      </c>
      <c r="U1211" s="9">
        <f>(RIGHT(D1211,4))*1</f>
        <v>90</v>
      </c>
      <c r="V1211" s="9" t="str">
        <f>IFERROR(VLOOKUP(I1211,#REF!,2,0),"Sinalização")</f>
        <v>Sinalização</v>
      </c>
    </row>
    <row r="1212" spans="1:22" x14ac:dyDescent="0.25">
      <c r="A1212" s="3" t="s">
        <v>22</v>
      </c>
      <c r="B1212" s="4">
        <v>23340780</v>
      </c>
      <c r="C1212" s="5" t="s">
        <v>23</v>
      </c>
      <c r="D1212" s="6" t="s">
        <v>656</v>
      </c>
      <c r="E1212" s="6" t="s">
        <v>25</v>
      </c>
      <c r="F1212" s="11">
        <v>46162</v>
      </c>
      <c r="G1212" s="6" t="s">
        <v>1079</v>
      </c>
      <c r="H1212" s="7" t="s">
        <v>26</v>
      </c>
      <c r="I1212" s="7" t="s">
        <v>746</v>
      </c>
      <c r="J1212" s="7" t="s">
        <v>525</v>
      </c>
      <c r="K1212" s="7" t="s">
        <v>29</v>
      </c>
      <c r="L1212" s="3" t="str">
        <f>E1212&amp;D1212</f>
        <v>E.SP.IPAEE_MAN_CONF_S_I_SINAL L UNIFO CONT_0090</v>
      </c>
      <c r="M1212" s="3" t="str">
        <f>IFERROR(MID(D1212,SEARCH("S_I_",D1212,1),3),"")</f>
        <v>S_I</v>
      </c>
      <c r="N1212" s="3" t="str">
        <f>IFERROR(MID(D1212,SEARCH("C_I_",D1212,1),3),"")</f>
        <v/>
      </c>
      <c r="O1212" s="3" t="str">
        <f>IF(AND(M1212="",N1212=""),"Extra","")</f>
        <v/>
      </c>
      <c r="P1212" s="3" t="str">
        <f>IF(Q1212=0,"TERCEIRO","MRS")</f>
        <v>MRS</v>
      </c>
      <c r="Q1212" s="8" t="str">
        <f>IFERROR(VLOOKUP(L1212,#REF!,4,0),"0,00")</f>
        <v>0,00</v>
      </c>
      <c r="R1212" s="9" t="s">
        <v>57</v>
      </c>
      <c r="S1212" s="9">
        <f>COUNTIF(D1212,"*_SEG_*")</f>
        <v>0</v>
      </c>
      <c r="T1212" s="9">
        <f>COUNTIF(D1212,"*_MAN_*")</f>
        <v>1</v>
      </c>
      <c r="U1212" s="9">
        <f>(RIGHT(D1212,4))*1</f>
        <v>90</v>
      </c>
      <c r="V1212" s="9" t="str">
        <f>IFERROR(VLOOKUP(I1212,#REF!,2,0),"Sinalização")</f>
        <v>Sinalização</v>
      </c>
    </row>
    <row r="1213" spans="1:22" x14ac:dyDescent="0.25">
      <c r="A1213" s="3" t="s">
        <v>22</v>
      </c>
      <c r="B1213" s="4">
        <v>23340799</v>
      </c>
      <c r="C1213" s="5" t="s">
        <v>23</v>
      </c>
      <c r="D1213" s="6" t="s">
        <v>656</v>
      </c>
      <c r="E1213" s="6" t="s">
        <v>25</v>
      </c>
      <c r="F1213" s="11">
        <v>46162</v>
      </c>
      <c r="G1213" s="6" t="s">
        <v>1079</v>
      </c>
      <c r="H1213" s="7" t="s">
        <v>26</v>
      </c>
      <c r="I1213" s="7" t="s">
        <v>364</v>
      </c>
      <c r="J1213" s="7" t="s">
        <v>525</v>
      </c>
      <c r="K1213" s="7" t="s">
        <v>29</v>
      </c>
      <c r="L1213" s="3" t="str">
        <f>E1213&amp;D1213</f>
        <v>E.SP.IPAEE_MAN_CONF_S_I_SINAL L UNIFO CONT_0090</v>
      </c>
      <c r="M1213" s="3" t="str">
        <f>IFERROR(MID(D1213,SEARCH("S_I_",D1213,1),3),"")</f>
        <v>S_I</v>
      </c>
      <c r="N1213" s="3" t="str">
        <f>IFERROR(MID(D1213,SEARCH("C_I_",D1213,1),3),"")</f>
        <v/>
      </c>
      <c r="O1213" s="3" t="str">
        <f>IF(AND(M1213="",N1213=""),"Extra","")</f>
        <v/>
      </c>
      <c r="P1213" s="3" t="str">
        <f>IF(Q1213=0,"TERCEIRO","MRS")</f>
        <v>MRS</v>
      </c>
      <c r="Q1213" s="8" t="str">
        <f>IFERROR(VLOOKUP(L1213,#REF!,4,0),"0,00")</f>
        <v>0,00</v>
      </c>
      <c r="R1213" s="9" t="s">
        <v>57</v>
      </c>
      <c r="S1213" s="9">
        <f>COUNTIF(D1213,"*_SEG_*")</f>
        <v>0</v>
      </c>
      <c r="T1213" s="9">
        <f>COUNTIF(D1213,"*_MAN_*")</f>
        <v>1</v>
      </c>
      <c r="U1213" s="9">
        <f>(RIGHT(D1213,4))*1</f>
        <v>90</v>
      </c>
      <c r="V1213" s="9" t="str">
        <f>IFERROR(VLOOKUP(I1213,#REF!,2,0),"Sinalização")</f>
        <v>Sinalização</v>
      </c>
    </row>
    <row r="1214" spans="1:22" x14ac:dyDescent="0.25">
      <c r="A1214" s="3" t="s">
        <v>22</v>
      </c>
      <c r="B1214" s="4">
        <v>23340843</v>
      </c>
      <c r="C1214" s="5" t="s">
        <v>23</v>
      </c>
      <c r="D1214" s="6" t="s">
        <v>661</v>
      </c>
      <c r="E1214" s="6" t="s">
        <v>25</v>
      </c>
      <c r="F1214" s="11">
        <v>46162</v>
      </c>
      <c r="G1214" s="6" t="s">
        <v>1079</v>
      </c>
      <c r="H1214" s="7" t="s">
        <v>26</v>
      </c>
      <c r="I1214" s="7" t="s">
        <v>744</v>
      </c>
      <c r="J1214" s="7" t="s">
        <v>662</v>
      </c>
      <c r="K1214" s="7" t="s">
        <v>29</v>
      </c>
      <c r="L1214" s="3" t="str">
        <f>E1214&amp;D1214</f>
        <v>E.SP.IPAEE_INS_CONF_S_I_SINAL L UNIFO CONT_0090</v>
      </c>
      <c r="M1214" s="3" t="str">
        <f>IFERROR(MID(D1214,SEARCH("S_I_",D1214,1),3),"")</f>
        <v>S_I</v>
      </c>
      <c r="N1214" s="3" t="str">
        <f>IFERROR(MID(D1214,SEARCH("C_I_",D1214,1),3),"")</f>
        <v/>
      </c>
      <c r="O1214" s="3" t="str">
        <f>IF(AND(M1214="",N1214=""),"Extra","")</f>
        <v/>
      </c>
      <c r="P1214" s="3" t="str">
        <f>IF(Q1214=0,"TERCEIRO","MRS")</f>
        <v>MRS</v>
      </c>
      <c r="Q1214" s="8" t="str">
        <f>IFERROR(VLOOKUP(L1214,#REF!,4,0),"0,00")</f>
        <v>0,00</v>
      </c>
      <c r="R1214" s="9" t="s">
        <v>42</v>
      </c>
      <c r="S1214" s="9">
        <f>COUNTIF(D1214,"*_SEG_*")</f>
        <v>0</v>
      </c>
      <c r="T1214" s="9">
        <f>COUNTIF(D1214,"*_MAN_*")</f>
        <v>0</v>
      </c>
      <c r="U1214" s="9">
        <f>(RIGHT(D1214,4))*1</f>
        <v>90</v>
      </c>
      <c r="V1214" s="9" t="str">
        <f>IFERROR(VLOOKUP(I1214,#REF!,2,0),"Sinalização")</f>
        <v>Sinalização</v>
      </c>
    </row>
    <row r="1215" spans="1:22" x14ac:dyDescent="0.25">
      <c r="A1215" s="3" t="s">
        <v>22</v>
      </c>
      <c r="B1215" s="4">
        <v>23340844</v>
      </c>
      <c r="C1215" s="5" t="s">
        <v>23</v>
      </c>
      <c r="D1215" s="6" t="s">
        <v>661</v>
      </c>
      <c r="E1215" s="6" t="s">
        <v>25</v>
      </c>
      <c r="F1215" s="11">
        <v>46162</v>
      </c>
      <c r="G1215" s="6" t="s">
        <v>1079</v>
      </c>
      <c r="H1215" s="7" t="s">
        <v>26</v>
      </c>
      <c r="I1215" s="7" t="s">
        <v>743</v>
      </c>
      <c r="J1215" s="7" t="s">
        <v>662</v>
      </c>
      <c r="K1215" s="7" t="s">
        <v>29</v>
      </c>
      <c r="L1215" s="3" t="str">
        <f>E1215&amp;D1215</f>
        <v>E.SP.IPAEE_INS_CONF_S_I_SINAL L UNIFO CONT_0090</v>
      </c>
      <c r="M1215" s="3" t="str">
        <f>IFERROR(MID(D1215,SEARCH("S_I_",D1215,1),3),"")</f>
        <v>S_I</v>
      </c>
      <c r="N1215" s="3" t="str">
        <f>IFERROR(MID(D1215,SEARCH("C_I_",D1215,1),3),"")</f>
        <v/>
      </c>
      <c r="O1215" s="3" t="str">
        <f>IF(AND(M1215="",N1215=""),"Extra","")</f>
        <v/>
      </c>
      <c r="P1215" s="3" t="str">
        <f>IF(Q1215=0,"TERCEIRO","MRS")</f>
        <v>MRS</v>
      </c>
      <c r="Q1215" s="8" t="str">
        <f>IFERROR(VLOOKUP(L1215,#REF!,4,0),"0,00")</f>
        <v>0,00</v>
      </c>
      <c r="R1215" s="9" t="s">
        <v>42</v>
      </c>
      <c r="S1215" s="9">
        <f>COUNTIF(D1215,"*_SEG_*")</f>
        <v>0</v>
      </c>
      <c r="T1215" s="9">
        <f>COUNTIF(D1215,"*_MAN_*")</f>
        <v>0</v>
      </c>
      <c r="U1215" s="9">
        <f>(RIGHT(D1215,4))*1</f>
        <v>90</v>
      </c>
      <c r="V1215" s="9" t="str">
        <f>IFERROR(VLOOKUP(I1215,#REF!,2,0),"Sinalização")</f>
        <v>Sinalização</v>
      </c>
    </row>
    <row r="1216" spans="1:22" x14ac:dyDescent="0.25">
      <c r="A1216" s="3" t="s">
        <v>22</v>
      </c>
      <c r="B1216" s="4">
        <v>23340845</v>
      </c>
      <c r="C1216" s="5" t="s">
        <v>23</v>
      </c>
      <c r="D1216" s="6" t="s">
        <v>661</v>
      </c>
      <c r="E1216" s="6" t="s">
        <v>25</v>
      </c>
      <c r="F1216" s="11">
        <v>46162</v>
      </c>
      <c r="G1216" s="6" t="s">
        <v>1079</v>
      </c>
      <c r="H1216" s="7" t="s">
        <v>26</v>
      </c>
      <c r="I1216" s="7" t="s">
        <v>742</v>
      </c>
      <c r="J1216" s="7" t="s">
        <v>662</v>
      </c>
      <c r="K1216" s="7" t="s">
        <v>29</v>
      </c>
      <c r="L1216" s="3" t="str">
        <f>E1216&amp;D1216</f>
        <v>E.SP.IPAEE_INS_CONF_S_I_SINAL L UNIFO CONT_0090</v>
      </c>
      <c r="M1216" s="3" t="str">
        <f>IFERROR(MID(D1216,SEARCH("S_I_",D1216,1),3),"")</f>
        <v>S_I</v>
      </c>
      <c r="N1216" s="3" t="str">
        <f>IFERROR(MID(D1216,SEARCH("C_I_",D1216,1),3),"")</f>
        <v/>
      </c>
      <c r="O1216" s="3" t="str">
        <f>IF(AND(M1216="",N1216=""),"Extra","")</f>
        <v/>
      </c>
      <c r="P1216" s="3" t="str">
        <f>IF(Q1216=0,"TERCEIRO","MRS")</f>
        <v>MRS</v>
      </c>
      <c r="Q1216" s="8" t="str">
        <f>IFERROR(VLOOKUP(L1216,#REF!,4,0),"0,00")</f>
        <v>0,00</v>
      </c>
      <c r="R1216" s="9" t="s">
        <v>42</v>
      </c>
      <c r="S1216" s="9">
        <f>COUNTIF(D1216,"*_SEG_*")</f>
        <v>0</v>
      </c>
      <c r="T1216" s="9">
        <f>COUNTIF(D1216,"*_MAN_*")</f>
        <v>0</v>
      </c>
      <c r="U1216" s="9">
        <f>(RIGHT(D1216,4))*1</f>
        <v>90</v>
      </c>
      <c r="V1216" s="9" t="str">
        <f>IFERROR(VLOOKUP(I1216,#REF!,2,0),"Sinalização")</f>
        <v>Sinalização</v>
      </c>
    </row>
    <row r="1217" spans="1:22" x14ac:dyDescent="0.25">
      <c r="A1217" s="3" t="s">
        <v>22</v>
      </c>
      <c r="B1217" s="4">
        <v>23340846</v>
      </c>
      <c r="C1217" s="5" t="s">
        <v>23</v>
      </c>
      <c r="D1217" s="6" t="s">
        <v>661</v>
      </c>
      <c r="E1217" s="6" t="s">
        <v>25</v>
      </c>
      <c r="F1217" s="11">
        <v>46162</v>
      </c>
      <c r="G1217" s="6" t="s">
        <v>1079</v>
      </c>
      <c r="H1217" s="7" t="s">
        <v>26</v>
      </c>
      <c r="I1217" s="7" t="s">
        <v>746</v>
      </c>
      <c r="J1217" s="7" t="s">
        <v>662</v>
      </c>
      <c r="K1217" s="7" t="s">
        <v>29</v>
      </c>
      <c r="L1217" s="3" t="str">
        <f>E1217&amp;D1217</f>
        <v>E.SP.IPAEE_INS_CONF_S_I_SINAL L UNIFO CONT_0090</v>
      </c>
      <c r="M1217" s="3" t="str">
        <f>IFERROR(MID(D1217,SEARCH("S_I_",D1217,1),3),"")</f>
        <v>S_I</v>
      </c>
      <c r="N1217" s="3" t="str">
        <f>IFERROR(MID(D1217,SEARCH("C_I_",D1217,1),3),"")</f>
        <v/>
      </c>
      <c r="O1217" s="3" t="str">
        <f>IF(AND(M1217="",N1217=""),"Extra","")</f>
        <v/>
      </c>
      <c r="P1217" s="3" t="str">
        <f>IF(Q1217=0,"TERCEIRO","MRS")</f>
        <v>MRS</v>
      </c>
      <c r="Q1217" s="8" t="str">
        <f>IFERROR(VLOOKUP(L1217,#REF!,4,0),"0,00")</f>
        <v>0,00</v>
      </c>
      <c r="R1217" s="9" t="s">
        <v>42</v>
      </c>
      <c r="S1217" s="9">
        <f>COUNTIF(D1217,"*_SEG_*")</f>
        <v>0</v>
      </c>
      <c r="T1217" s="9">
        <f>COUNTIF(D1217,"*_MAN_*")</f>
        <v>0</v>
      </c>
      <c r="U1217" s="9">
        <f>(RIGHT(D1217,4))*1</f>
        <v>90</v>
      </c>
      <c r="V1217" s="9" t="str">
        <f>IFERROR(VLOOKUP(I1217,#REF!,2,0),"Sinalização")</f>
        <v>Sinalização</v>
      </c>
    </row>
    <row r="1218" spans="1:22" x14ac:dyDescent="0.25">
      <c r="A1218" s="3" t="s">
        <v>22</v>
      </c>
      <c r="B1218" s="4">
        <v>23340847</v>
      </c>
      <c r="C1218" s="5" t="s">
        <v>23</v>
      </c>
      <c r="D1218" s="6" t="s">
        <v>661</v>
      </c>
      <c r="E1218" s="6" t="s">
        <v>25</v>
      </c>
      <c r="F1218" s="11">
        <v>46162</v>
      </c>
      <c r="G1218" s="6" t="s">
        <v>1079</v>
      </c>
      <c r="H1218" s="7" t="s">
        <v>26</v>
      </c>
      <c r="I1218" s="7" t="s">
        <v>745</v>
      </c>
      <c r="J1218" s="7" t="s">
        <v>662</v>
      </c>
      <c r="K1218" s="7" t="s">
        <v>29</v>
      </c>
      <c r="L1218" s="3" t="str">
        <f>E1218&amp;D1218</f>
        <v>E.SP.IPAEE_INS_CONF_S_I_SINAL L UNIFO CONT_0090</v>
      </c>
      <c r="M1218" s="3" t="str">
        <f>IFERROR(MID(D1218,SEARCH("S_I_",D1218,1),3),"")</f>
        <v>S_I</v>
      </c>
      <c r="N1218" s="3" t="str">
        <f>IFERROR(MID(D1218,SEARCH("C_I_",D1218,1),3),"")</f>
        <v/>
      </c>
      <c r="O1218" s="3" t="str">
        <f>IF(AND(M1218="",N1218=""),"Extra","")</f>
        <v/>
      </c>
      <c r="P1218" s="3" t="str">
        <f>IF(Q1218=0,"TERCEIRO","MRS")</f>
        <v>MRS</v>
      </c>
      <c r="Q1218" s="8" t="str">
        <f>IFERROR(VLOOKUP(L1218,#REF!,4,0),"0,00")</f>
        <v>0,00</v>
      </c>
      <c r="R1218" s="9" t="s">
        <v>42</v>
      </c>
      <c r="S1218" s="9">
        <f>COUNTIF(D1218,"*_SEG_*")</f>
        <v>0</v>
      </c>
      <c r="T1218" s="9">
        <f>COUNTIF(D1218,"*_MAN_*")</f>
        <v>0</v>
      </c>
      <c r="U1218" s="9">
        <f>(RIGHT(D1218,4))*1</f>
        <v>90</v>
      </c>
      <c r="V1218" s="9" t="str">
        <f>IFERROR(VLOOKUP(I1218,#REF!,2,0),"Sinalização")</f>
        <v>Sinalização</v>
      </c>
    </row>
    <row r="1219" spans="1:22" x14ac:dyDescent="0.25">
      <c r="A1219" s="3" t="s">
        <v>22</v>
      </c>
      <c r="B1219" s="4">
        <v>21653934</v>
      </c>
      <c r="C1219" s="5" t="s">
        <v>23</v>
      </c>
      <c r="D1219" s="6" t="s">
        <v>43</v>
      </c>
      <c r="E1219" s="6" t="s">
        <v>25</v>
      </c>
      <c r="F1219" s="11">
        <v>46161</v>
      </c>
      <c r="G1219" s="6" t="s">
        <v>1079</v>
      </c>
      <c r="H1219" s="7" t="s">
        <v>26</v>
      </c>
      <c r="I1219" s="7" t="s">
        <v>44</v>
      </c>
      <c r="J1219" s="7" t="s">
        <v>45</v>
      </c>
      <c r="K1219" s="7" t="s">
        <v>29</v>
      </c>
      <c r="L1219" s="3" t="str">
        <f>E1219&amp;D1219</f>
        <v>E.SP.IPAEE_MAN_CONF_C_I_CANALETA SUBESTACAO_0720</v>
      </c>
      <c r="M1219" s="3" t="str">
        <f>IFERROR(MID(D1219,SEARCH("S_I_",D1219,1),3),"")</f>
        <v/>
      </c>
      <c r="N1219" s="3" t="str">
        <f>IFERROR(MID(D1219,SEARCH("C_I_",D1219,1),3),"")</f>
        <v>C_I</v>
      </c>
      <c r="O1219" s="3" t="str">
        <f>IF(AND(M1219="",N1219=""),"Extra","")</f>
        <v/>
      </c>
      <c r="P1219" s="3" t="str">
        <f>IF(Q1219=0,"TERCEIRO","MRS")</f>
        <v>MRS</v>
      </c>
      <c r="Q1219" s="8" t="str">
        <f>IFERROR(VLOOKUP(L1219,#REF!,4,0),"0,00")</f>
        <v>0,00</v>
      </c>
      <c r="R1219" s="9" t="s">
        <v>42</v>
      </c>
      <c r="S1219" s="9">
        <f>COUNTIF(D1219,"*_SEG_*")</f>
        <v>0</v>
      </c>
      <c r="T1219" s="9">
        <f>COUNTIF(D1219,"*_MAN_*")</f>
        <v>1</v>
      </c>
      <c r="U1219" s="9">
        <f>(RIGHT(D1219,4))*1</f>
        <v>720</v>
      </c>
      <c r="V1219" s="9" t="str">
        <f>IFERROR(VLOOKUP(I1219,#REF!,2,0),"Sinalização")</f>
        <v>Sinalização</v>
      </c>
    </row>
    <row r="1220" spans="1:22" x14ac:dyDescent="0.25">
      <c r="A1220" s="3" t="s">
        <v>22</v>
      </c>
      <c r="B1220" s="4">
        <v>23106668</v>
      </c>
      <c r="C1220" s="5" t="s">
        <v>23</v>
      </c>
      <c r="D1220" s="6" t="s">
        <v>182</v>
      </c>
      <c r="E1220" s="6" t="s">
        <v>25</v>
      </c>
      <c r="F1220" s="11">
        <v>46160</v>
      </c>
      <c r="G1220" s="6" t="s">
        <v>1079</v>
      </c>
      <c r="H1220" s="7" t="s">
        <v>26</v>
      </c>
      <c r="I1220" s="7" t="s">
        <v>50</v>
      </c>
      <c r="J1220" s="7" t="s">
        <v>181</v>
      </c>
      <c r="K1220" s="7" t="s">
        <v>29</v>
      </c>
      <c r="L1220" s="3" t="str">
        <f>E1220&amp;D1220</f>
        <v>E.SP.IPAEE_INS_CONF_S_I_BAT ESTAC SINAL_0180</v>
      </c>
      <c r="M1220" s="3" t="str">
        <f>IFERROR(MID(D1220,SEARCH("S_I_",D1220,1),3),"")</f>
        <v>S_I</v>
      </c>
      <c r="N1220" s="3" t="str">
        <f>IFERROR(MID(D1220,SEARCH("C_I_",D1220,1),3),"")</f>
        <v/>
      </c>
      <c r="O1220" s="3" t="str">
        <f>IF(AND(M1220="",N1220=""),"Extra","")</f>
        <v/>
      </c>
      <c r="P1220" s="3" t="str">
        <f>IF(Q1220=0,"TERCEIRO","MRS")</f>
        <v>MRS</v>
      </c>
      <c r="Q1220" s="8" t="str">
        <f>IFERROR(VLOOKUP(L1220,#REF!,4,0),"0,00")</f>
        <v>0,00</v>
      </c>
      <c r="R1220" s="9" t="s">
        <v>42</v>
      </c>
      <c r="S1220" s="9">
        <f>COUNTIF(D1220,"*_SEG_*")</f>
        <v>0</v>
      </c>
      <c r="T1220" s="9">
        <f>COUNTIF(D1220,"*_MAN_*")</f>
        <v>0</v>
      </c>
      <c r="U1220" s="9">
        <f>(RIGHT(D1220,4))*1</f>
        <v>180</v>
      </c>
      <c r="V1220" s="9" t="str">
        <f>IFERROR(VLOOKUP(I1220,#REF!,2,0),"Sinalização")</f>
        <v>Sinalização</v>
      </c>
    </row>
    <row r="1221" spans="1:22" x14ac:dyDescent="0.25">
      <c r="A1221" s="3" t="s">
        <v>22</v>
      </c>
      <c r="B1221" s="4">
        <v>23106834</v>
      </c>
      <c r="C1221" s="5" t="s">
        <v>23</v>
      </c>
      <c r="D1221" s="6" t="s">
        <v>196</v>
      </c>
      <c r="E1221" s="6" t="s">
        <v>25</v>
      </c>
      <c r="F1221" s="11">
        <v>46160</v>
      </c>
      <c r="G1221" s="6" t="s">
        <v>1079</v>
      </c>
      <c r="H1221" s="7" t="s">
        <v>26</v>
      </c>
      <c r="I1221" s="7" t="s">
        <v>382</v>
      </c>
      <c r="J1221" s="7" t="s">
        <v>197</v>
      </c>
      <c r="K1221" s="7" t="s">
        <v>29</v>
      </c>
      <c r="L1221" s="3" t="str">
        <f>E1221&amp;D1221</f>
        <v>E.SP.IPAEE_INS_CONF_S_I_BAT ESTAC AES-FO_0180</v>
      </c>
      <c r="M1221" s="3" t="str">
        <f>IFERROR(MID(D1221,SEARCH("S_I_",D1221,1),3),"")</f>
        <v>S_I</v>
      </c>
      <c r="N1221" s="3" t="str">
        <f>IFERROR(MID(D1221,SEARCH("C_I_",D1221,1),3),"")</f>
        <v/>
      </c>
      <c r="O1221" s="3" t="str">
        <f>IF(AND(M1221="",N1221=""),"Extra","")</f>
        <v/>
      </c>
      <c r="P1221" s="3" t="str">
        <f>IF(Q1221=0,"TERCEIRO","MRS")</f>
        <v>MRS</v>
      </c>
      <c r="Q1221" s="8" t="str">
        <f>IFERROR(VLOOKUP(L1221,#REF!,4,0),"0,00")</f>
        <v>0,00</v>
      </c>
      <c r="R1221" s="9" t="s">
        <v>42</v>
      </c>
      <c r="S1221" s="9">
        <f>COUNTIF(D1221,"*_SEG_*")</f>
        <v>0</v>
      </c>
      <c r="T1221" s="9">
        <f>COUNTIF(D1221,"*_MAN_*")</f>
        <v>0</v>
      </c>
      <c r="U1221" s="9">
        <f>(RIGHT(D1221,4))*1</f>
        <v>180</v>
      </c>
      <c r="V1221" s="9" t="str">
        <f>IFERROR(VLOOKUP(I1221,#REF!,2,0),"Sinalização")</f>
        <v>Sinalização</v>
      </c>
    </row>
    <row r="1222" spans="1:22" x14ac:dyDescent="0.25">
      <c r="A1222" s="3" t="s">
        <v>22</v>
      </c>
      <c r="B1222" s="4">
        <v>23106959</v>
      </c>
      <c r="C1222" s="5" t="s">
        <v>23</v>
      </c>
      <c r="D1222" s="6" t="s">
        <v>206</v>
      </c>
      <c r="E1222" s="6" t="s">
        <v>25</v>
      </c>
      <c r="F1222" s="11">
        <v>46160</v>
      </c>
      <c r="G1222" s="6" t="s">
        <v>1079</v>
      </c>
      <c r="H1222" s="7" t="s">
        <v>26</v>
      </c>
      <c r="I1222" s="7" t="s">
        <v>383</v>
      </c>
      <c r="J1222" s="7" t="s">
        <v>208</v>
      </c>
      <c r="K1222" s="7" t="s">
        <v>29</v>
      </c>
      <c r="L1222" s="3" t="str">
        <f>E1222&amp;D1222</f>
        <v>E.SP.IPAEE_INS_CONF_S_I_IAS_0180</v>
      </c>
      <c r="M1222" s="3" t="str">
        <f>IFERROR(MID(D1222,SEARCH("S_I_",D1222,1),3),"")</f>
        <v>S_I</v>
      </c>
      <c r="N1222" s="3" t="str">
        <f>IFERROR(MID(D1222,SEARCH("C_I_",D1222,1),3),"")</f>
        <v/>
      </c>
      <c r="O1222" s="3" t="str">
        <f>IF(AND(M1222="",N1222=""),"Extra","")</f>
        <v/>
      </c>
      <c r="P1222" s="3" t="str">
        <f>IF(Q1222=0,"TERCEIRO","MRS")</f>
        <v>MRS</v>
      </c>
      <c r="Q1222" s="8" t="str">
        <f>IFERROR(VLOOKUP(L1222,#REF!,4,0),"0,00")</f>
        <v>0,00</v>
      </c>
      <c r="R1222" s="9" t="s">
        <v>42</v>
      </c>
      <c r="S1222" s="9">
        <f>COUNTIF(D1222,"*_SEG_*")</f>
        <v>0</v>
      </c>
      <c r="T1222" s="9">
        <f>COUNTIF(D1222,"*_MAN_*")</f>
        <v>0</v>
      </c>
      <c r="U1222" s="9">
        <f>(RIGHT(D1222,4))*1</f>
        <v>180</v>
      </c>
      <c r="V1222" s="9" t="str">
        <f>IFERROR(VLOOKUP(I1222,#REF!,2,0),"Sinalização")</f>
        <v>Sinalização</v>
      </c>
    </row>
    <row r="1223" spans="1:22" x14ac:dyDescent="0.25">
      <c r="A1223" s="3" t="s">
        <v>22</v>
      </c>
      <c r="B1223" s="4">
        <v>23106961</v>
      </c>
      <c r="C1223" s="5" t="s">
        <v>23</v>
      </c>
      <c r="D1223" s="6" t="s">
        <v>206</v>
      </c>
      <c r="E1223" s="6" t="s">
        <v>25</v>
      </c>
      <c r="F1223" s="11">
        <v>46160</v>
      </c>
      <c r="G1223" s="6" t="s">
        <v>1079</v>
      </c>
      <c r="H1223" s="7" t="s">
        <v>26</v>
      </c>
      <c r="I1223" s="7" t="s">
        <v>384</v>
      </c>
      <c r="J1223" s="7" t="s">
        <v>208</v>
      </c>
      <c r="K1223" s="7" t="s">
        <v>29</v>
      </c>
      <c r="L1223" s="3" t="str">
        <f>E1223&amp;D1223</f>
        <v>E.SP.IPAEE_INS_CONF_S_I_IAS_0180</v>
      </c>
      <c r="M1223" s="3" t="str">
        <f>IFERROR(MID(D1223,SEARCH("S_I_",D1223,1),3),"")</f>
        <v>S_I</v>
      </c>
      <c r="N1223" s="3" t="str">
        <f>IFERROR(MID(D1223,SEARCH("C_I_",D1223,1),3),"")</f>
        <v/>
      </c>
      <c r="O1223" s="3" t="str">
        <f>IF(AND(M1223="",N1223=""),"Extra","")</f>
        <v/>
      </c>
      <c r="P1223" s="3" t="str">
        <f>IF(Q1223=0,"TERCEIRO","MRS")</f>
        <v>MRS</v>
      </c>
      <c r="Q1223" s="8" t="str">
        <f>IFERROR(VLOOKUP(L1223,#REF!,4,0),"0,00")</f>
        <v>0,00</v>
      </c>
      <c r="R1223" s="9" t="s">
        <v>42</v>
      </c>
      <c r="S1223" s="9">
        <f>COUNTIF(D1223,"*_SEG_*")</f>
        <v>0</v>
      </c>
      <c r="T1223" s="9">
        <f>COUNTIF(D1223,"*_MAN_*")</f>
        <v>0</v>
      </c>
      <c r="U1223" s="9">
        <f>(RIGHT(D1223,4))*1</f>
        <v>180</v>
      </c>
      <c r="V1223" s="9" t="str">
        <f>IFERROR(VLOOKUP(I1223,#REF!,2,0),"Sinalização")</f>
        <v>Sinalização</v>
      </c>
    </row>
    <row r="1224" spans="1:22" x14ac:dyDescent="0.25">
      <c r="A1224" s="3" t="s">
        <v>22</v>
      </c>
      <c r="B1224" s="4">
        <v>23106963</v>
      </c>
      <c r="C1224" s="5" t="s">
        <v>23</v>
      </c>
      <c r="D1224" s="6" t="s">
        <v>206</v>
      </c>
      <c r="E1224" s="6" t="s">
        <v>25</v>
      </c>
      <c r="F1224" s="11">
        <v>46160</v>
      </c>
      <c r="G1224" s="6" t="s">
        <v>1079</v>
      </c>
      <c r="H1224" s="7" t="s">
        <v>26</v>
      </c>
      <c r="I1224" s="7" t="s">
        <v>385</v>
      </c>
      <c r="J1224" s="7" t="s">
        <v>208</v>
      </c>
      <c r="K1224" s="7" t="s">
        <v>29</v>
      </c>
      <c r="L1224" s="3" t="str">
        <f>E1224&amp;D1224</f>
        <v>E.SP.IPAEE_INS_CONF_S_I_IAS_0180</v>
      </c>
      <c r="M1224" s="3" t="str">
        <f>IFERROR(MID(D1224,SEARCH("S_I_",D1224,1),3),"")</f>
        <v>S_I</v>
      </c>
      <c r="N1224" s="3" t="str">
        <f>IFERROR(MID(D1224,SEARCH("C_I_",D1224,1),3),"")</f>
        <v/>
      </c>
      <c r="O1224" s="3" t="str">
        <f>IF(AND(M1224="",N1224=""),"Extra","")</f>
        <v/>
      </c>
      <c r="P1224" s="3" t="str">
        <f>IF(Q1224=0,"TERCEIRO","MRS")</f>
        <v>MRS</v>
      </c>
      <c r="Q1224" s="8" t="str">
        <f>IFERROR(VLOOKUP(L1224,#REF!,4,0),"0,00")</f>
        <v>0,00</v>
      </c>
      <c r="R1224" s="9" t="s">
        <v>42</v>
      </c>
      <c r="S1224" s="9">
        <f>COUNTIF(D1224,"*_SEG_*")</f>
        <v>0</v>
      </c>
      <c r="T1224" s="9">
        <f>COUNTIF(D1224,"*_MAN_*")</f>
        <v>0</v>
      </c>
      <c r="U1224" s="9">
        <f>(RIGHT(D1224,4))*1</f>
        <v>180</v>
      </c>
      <c r="V1224" s="9" t="str">
        <f>IFERROR(VLOOKUP(I1224,#REF!,2,0),"Sinalização")</f>
        <v>Sinalização</v>
      </c>
    </row>
    <row r="1225" spans="1:22" x14ac:dyDescent="0.25">
      <c r="A1225" s="3" t="s">
        <v>22</v>
      </c>
      <c r="B1225" s="4">
        <v>23106965</v>
      </c>
      <c r="C1225" s="5" t="s">
        <v>23</v>
      </c>
      <c r="D1225" s="6" t="s">
        <v>206</v>
      </c>
      <c r="E1225" s="6" t="s">
        <v>25</v>
      </c>
      <c r="F1225" s="11">
        <v>46160</v>
      </c>
      <c r="G1225" s="6" t="s">
        <v>1079</v>
      </c>
      <c r="H1225" s="7" t="s">
        <v>26</v>
      </c>
      <c r="I1225" s="7" t="s">
        <v>386</v>
      </c>
      <c r="J1225" s="7" t="s">
        <v>208</v>
      </c>
      <c r="K1225" s="7" t="s">
        <v>29</v>
      </c>
      <c r="L1225" s="3" t="str">
        <f>E1225&amp;D1225</f>
        <v>E.SP.IPAEE_INS_CONF_S_I_IAS_0180</v>
      </c>
      <c r="M1225" s="3" t="str">
        <f>IFERROR(MID(D1225,SEARCH("S_I_",D1225,1),3),"")</f>
        <v>S_I</v>
      </c>
      <c r="N1225" s="3" t="str">
        <f>IFERROR(MID(D1225,SEARCH("C_I_",D1225,1),3),"")</f>
        <v/>
      </c>
      <c r="O1225" s="3" t="str">
        <f>IF(AND(M1225="",N1225=""),"Extra","")</f>
        <v/>
      </c>
      <c r="P1225" s="3" t="str">
        <f>IF(Q1225=0,"TERCEIRO","MRS")</f>
        <v>MRS</v>
      </c>
      <c r="Q1225" s="8" t="str">
        <f>IFERROR(VLOOKUP(L1225,#REF!,4,0),"0,00")</f>
        <v>0,00</v>
      </c>
      <c r="R1225" s="9" t="s">
        <v>42</v>
      </c>
      <c r="S1225" s="9">
        <f>COUNTIF(D1225,"*_SEG_*")</f>
        <v>0</v>
      </c>
      <c r="T1225" s="9">
        <f>COUNTIF(D1225,"*_MAN_*")</f>
        <v>0</v>
      </c>
      <c r="U1225" s="9">
        <f>(RIGHT(D1225,4))*1</f>
        <v>180</v>
      </c>
      <c r="V1225" s="9" t="str">
        <f>IFERROR(VLOOKUP(I1225,#REF!,2,0),"Sinalização")</f>
        <v>Sinalização</v>
      </c>
    </row>
    <row r="1226" spans="1:22" x14ac:dyDescent="0.25">
      <c r="A1226" s="3" t="s">
        <v>22</v>
      </c>
      <c r="B1226" s="4">
        <v>23107022</v>
      </c>
      <c r="C1226" s="5" t="s">
        <v>23</v>
      </c>
      <c r="D1226" s="6" t="s">
        <v>387</v>
      </c>
      <c r="E1226" s="6" t="s">
        <v>25</v>
      </c>
      <c r="F1226" s="11">
        <v>46160</v>
      </c>
      <c r="G1226" s="6" t="s">
        <v>1079</v>
      </c>
      <c r="H1226" s="7" t="s">
        <v>26</v>
      </c>
      <c r="I1226" s="7" t="s">
        <v>388</v>
      </c>
      <c r="J1226" s="7" t="s">
        <v>389</v>
      </c>
      <c r="K1226" s="7" t="s">
        <v>29</v>
      </c>
      <c r="L1226" s="3" t="str">
        <f>E1226&amp;D1226</f>
        <v>E.SP.IPAEE_MAN_CONF_S_I_BL INT RELÉ S/ BAT_0180</v>
      </c>
      <c r="M1226" s="3" t="str">
        <f>IFERROR(MID(D1226,SEARCH("S_I_",D1226,1),3),"")</f>
        <v>S_I</v>
      </c>
      <c r="N1226" s="3" t="str">
        <f>IFERROR(MID(D1226,SEARCH("C_I_",D1226,1),3),"")</f>
        <v/>
      </c>
      <c r="O1226" s="3" t="str">
        <f>IF(AND(M1226="",N1226=""),"Extra","")</f>
        <v/>
      </c>
      <c r="P1226" s="3" t="str">
        <f>IF(Q1226=0,"TERCEIRO","MRS")</f>
        <v>MRS</v>
      </c>
      <c r="Q1226" s="8" t="str">
        <f>IFERROR(VLOOKUP(L1226,#REF!,4,0),"0,00")</f>
        <v>0,00</v>
      </c>
      <c r="R1226" s="9" t="s">
        <v>42</v>
      </c>
      <c r="S1226" s="9">
        <f>COUNTIF(D1226,"*_SEG_*")</f>
        <v>0</v>
      </c>
      <c r="T1226" s="9">
        <f>COUNTIF(D1226,"*_MAN_*")</f>
        <v>1</v>
      </c>
      <c r="U1226" s="9">
        <f>(RIGHT(D1226,4))*1</f>
        <v>180</v>
      </c>
      <c r="V1226" s="9" t="str">
        <f>IFERROR(VLOOKUP(I1226,#REF!,2,0),"Sinalização")</f>
        <v>Sinalização</v>
      </c>
    </row>
    <row r="1227" spans="1:22" x14ac:dyDescent="0.25">
      <c r="A1227" s="3" t="s">
        <v>22</v>
      </c>
      <c r="B1227" s="4">
        <v>23107025</v>
      </c>
      <c r="C1227" s="5" t="s">
        <v>23</v>
      </c>
      <c r="D1227" s="6" t="s">
        <v>212</v>
      </c>
      <c r="E1227" s="6" t="s">
        <v>25</v>
      </c>
      <c r="F1227" s="11">
        <v>46160</v>
      </c>
      <c r="G1227" s="6" t="s">
        <v>1079</v>
      </c>
      <c r="H1227" s="7" t="s">
        <v>26</v>
      </c>
      <c r="I1227" s="7" t="s">
        <v>390</v>
      </c>
      <c r="J1227" s="7" t="s">
        <v>189</v>
      </c>
      <c r="K1227" s="7" t="s">
        <v>29</v>
      </c>
      <c r="L1227" s="3" t="str">
        <f>E1227&amp;D1227</f>
        <v>E.SP.IPAEE_INS_SEG_C_I_MCH 110V GRS 55BR R_0180</v>
      </c>
      <c r="M1227" s="3" t="str">
        <f>IFERROR(MID(D1227,SEARCH("S_I_",D1227,1),3),"")</f>
        <v/>
      </c>
      <c r="N1227" s="3" t="str">
        <f>IFERROR(MID(D1227,SEARCH("C_I_",D1227,1),3),"")</f>
        <v>C_I</v>
      </c>
      <c r="O1227" s="3" t="str">
        <f>IF(AND(M1227="",N1227=""),"Extra","")</f>
        <v/>
      </c>
      <c r="P1227" s="3" t="str">
        <f>IF(Q1227=0,"TERCEIRO","MRS")</f>
        <v>MRS</v>
      </c>
      <c r="Q1227" s="8" t="str">
        <f>IFERROR(VLOOKUP(L1227,#REF!,4,0),"0,00")</f>
        <v>0,00</v>
      </c>
      <c r="R1227" s="9" t="s">
        <v>30</v>
      </c>
      <c r="S1227" s="9">
        <f>COUNTIF(D1227,"*_SEG_*")</f>
        <v>1</v>
      </c>
      <c r="T1227" s="9">
        <f>COUNTIF(D1227,"*_MAN_*")</f>
        <v>0</v>
      </c>
      <c r="U1227" s="9">
        <f>(RIGHT(D1227,4))*1</f>
        <v>180</v>
      </c>
      <c r="V1227" s="9" t="str">
        <f>IFERROR(VLOOKUP(I1227,#REF!,2,0),"Sinalização")</f>
        <v>Sinalização</v>
      </c>
    </row>
    <row r="1228" spans="1:22" x14ac:dyDescent="0.25">
      <c r="A1228" s="3" t="s">
        <v>22</v>
      </c>
      <c r="B1228" s="4">
        <v>23107027</v>
      </c>
      <c r="C1228" s="5" t="s">
        <v>23</v>
      </c>
      <c r="D1228" s="6" t="s">
        <v>220</v>
      </c>
      <c r="E1228" s="6" t="s">
        <v>25</v>
      </c>
      <c r="F1228" s="11">
        <v>46160</v>
      </c>
      <c r="G1228" s="6" t="s">
        <v>1079</v>
      </c>
      <c r="H1228" s="7" t="s">
        <v>26</v>
      </c>
      <c r="I1228" s="7" t="s">
        <v>391</v>
      </c>
      <c r="J1228" s="7" t="s">
        <v>222</v>
      </c>
      <c r="K1228" s="7" t="s">
        <v>29</v>
      </c>
      <c r="L1228" s="3" t="str">
        <f>E1228&amp;D1228</f>
        <v>E.SP.IPAEE_INS_SEG_S_I_SINAL L UNIFO CONT_0180</v>
      </c>
      <c r="M1228" s="3" t="str">
        <f>IFERROR(MID(D1228,SEARCH("S_I_",D1228,1),3),"")</f>
        <v>S_I</v>
      </c>
      <c r="N1228" s="3" t="str">
        <f>IFERROR(MID(D1228,SEARCH("C_I_",D1228,1),3),"")</f>
        <v/>
      </c>
      <c r="O1228" s="3" t="str">
        <f>IF(AND(M1228="",N1228=""),"Extra","")</f>
        <v/>
      </c>
      <c r="P1228" s="3" t="str">
        <f>IF(Q1228=0,"TERCEIRO","MRS")</f>
        <v>MRS</v>
      </c>
      <c r="Q1228" s="8" t="str">
        <f>IFERROR(VLOOKUP(L1228,#REF!,4,0),"0,00")</f>
        <v>0,00</v>
      </c>
      <c r="R1228" s="9" t="s">
        <v>30</v>
      </c>
      <c r="S1228" s="9">
        <f>COUNTIF(D1228,"*_SEG_*")</f>
        <v>1</v>
      </c>
      <c r="T1228" s="9">
        <f>COUNTIF(D1228,"*_MAN_*")</f>
        <v>0</v>
      </c>
      <c r="U1228" s="9">
        <f>(RIGHT(D1228,4))*1</f>
        <v>180</v>
      </c>
      <c r="V1228" s="9" t="str">
        <f>IFERROR(VLOOKUP(I1228,#REF!,2,0),"Sinalização")</f>
        <v>Sinalização</v>
      </c>
    </row>
    <row r="1229" spans="1:22" x14ac:dyDescent="0.25">
      <c r="A1229" s="3" t="s">
        <v>22</v>
      </c>
      <c r="B1229" s="4">
        <v>23107028</v>
      </c>
      <c r="C1229" s="5" t="s">
        <v>23</v>
      </c>
      <c r="D1229" s="6" t="s">
        <v>220</v>
      </c>
      <c r="E1229" s="6" t="s">
        <v>25</v>
      </c>
      <c r="F1229" s="11">
        <v>46160</v>
      </c>
      <c r="G1229" s="6" t="s">
        <v>1079</v>
      </c>
      <c r="H1229" s="7" t="s">
        <v>26</v>
      </c>
      <c r="I1229" s="7" t="s">
        <v>392</v>
      </c>
      <c r="J1229" s="7" t="s">
        <v>222</v>
      </c>
      <c r="K1229" s="7" t="s">
        <v>29</v>
      </c>
      <c r="L1229" s="3" t="str">
        <f>E1229&amp;D1229</f>
        <v>E.SP.IPAEE_INS_SEG_S_I_SINAL L UNIFO CONT_0180</v>
      </c>
      <c r="M1229" s="3" t="str">
        <f>IFERROR(MID(D1229,SEARCH("S_I_",D1229,1),3),"")</f>
        <v>S_I</v>
      </c>
      <c r="N1229" s="3" t="str">
        <f>IFERROR(MID(D1229,SEARCH("C_I_",D1229,1),3),"")</f>
        <v/>
      </c>
      <c r="O1229" s="3" t="str">
        <f>IF(AND(M1229="",N1229=""),"Extra","")</f>
        <v/>
      </c>
      <c r="P1229" s="3" t="str">
        <f>IF(Q1229=0,"TERCEIRO","MRS")</f>
        <v>MRS</v>
      </c>
      <c r="Q1229" s="8" t="str">
        <f>IFERROR(VLOOKUP(L1229,#REF!,4,0),"0,00")</f>
        <v>0,00</v>
      </c>
      <c r="R1229" s="9" t="s">
        <v>30</v>
      </c>
      <c r="S1229" s="9">
        <f>COUNTIF(D1229,"*_SEG_*")</f>
        <v>1</v>
      </c>
      <c r="T1229" s="9">
        <f>COUNTIF(D1229,"*_MAN_*")</f>
        <v>0</v>
      </c>
      <c r="U1229" s="9">
        <f>(RIGHT(D1229,4))*1</f>
        <v>180</v>
      </c>
      <c r="V1229" s="9" t="str">
        <f>IFERROR(VLOOKUP(I1229,#REF!,2,0),"Sinalização")</f>
        <v>Sinalização</v>
      </c>
    </row>
    <row r="1230" spans="1:22" x14ac:dyDescent="0.25">
      <c r="A1230" s="3" t="s">
        <v>22</v>
      </c>
      <c r="B1230" s="4">
        <v>23107029</v>
      </c>
      <c r="C1230" s="5" t="s">
        <v>23</v>
      </c>
      <c r="D1230" s="6" t="s">
        <v>220</v>
      </c>
      <c r="E1230" s="6" t="s">
        <v>25</v>
      </c>
      <c r="F1230" s="11">
        <v>46160</v>
      </c>
      <c r="G1230" s="6" t="s">
        <v>1079</v>
      </c>
      <c r="H1230" s="7" t="s">
        <v>26</v>
      </c>
      <c r="I1230" s="7" t="s">
        <v>393</v>
      </c>
      <c r="J1230" s="7" t="s">
        <v>222</v>
      </c>
      <c r="K1230" s="7" t="s">
        <v>29</v>
      </c>
      <c r="L1230" s="3" t="str">
        <f>E1230&amp;D1230</f>
        <v>E.SP.IPAEE_INS_SEG_S_I_SINAL L UNIFO CONT_0180</v>
      </c>
      <c r="M1230" s="3" t="str">
        <f>IFERROR(MID(D1230,SEARCH("S_I_",D1230,1),3),"")</f>
        <v>S_I</v>
      </c>
      <c r="N1230" s="3" t="str">
        <f>IFERROR(MID(D1230,SEARCH("C_I_",D1230,1),3),"")</f>
        <v/>
      </c>
      <c r="O1230" s="3" t="str">
        <f>IF(AND(M1230="",N1230=""),"Extra","")</f>
        <v/>
      </c>
      <c r="P1230" s="3" t="str">
        <f>IF(Q1230=0,"TERCEIRO","MRS")</f>
        <v>MRS</v>
      </c>
      <c r="Q1230" s="8" t="str">
        <f>IFERROR(VLOOKUP(L1230,#REF!,4,0),"0,00")</f>
        <v>0,00</v>
      </c>
      <c r="R1230" s="9" t="s">
        <v>30</v>
      </c>
      <c r="S1230" s="9">
        <f>COUNTIF(D1230,"*_SEG_*")</f>
        <v>1</v>
      </c>
      <c r="T1230" s="9">
        <f>COUNTIF(D1230,"*_MAN_*")</f>
        <v>0</v>
      </c>
      <c r="U1230" s="9">
        <f>(RIGHT(D1230,4))*1</f>
        <v>180</v>
      </c>
      <c r="V1230" s="9" t="str">
        <f>IFERROR(VLOOKUP(I1230,#REF!,2,0),"Sinalização")</f>
        <v>Sinalização</v>
      </c>
    </row>
    <row r="1231" spans="1:22" x14ac:dyDescent="0.25">
      <c r="A1231" s="3" t="s">
        <v>22</v>
      </c>
      <c r="B1231" s="4">
        <v>23107031</v>
      </c>
      <c r="C1231" s="5" t="s">
        <v>23</v>
      </c>
      <c r="D1231" s="6" t="s">
        <v>220</v>
      </c>
      <c r="E1231" s="6" t="s">
        <v>25</v>
      </c>
      <c r="F1231" s="11">
        <v>46160</v>
      </c>
      <c r="G1231" s="6" t="s">
        <v>1079</v>
      </c>
      <c r="H1231" s="7" t="s">
        <v>26</v>
      </c>
      <c r="I1231" s="7" t="s">
        <v>394</v>
      </c>
      <c r="J1231" s="7" t="s">
        <v>222</v>
      </c>
      <c r="K1231" s="7" t="s">
        <v>29</v>
      </c>
      <c r="L1231" s="3" t="str">
        <f>E1231&amp;D1231</f>
        <v>E.SP.IPAEE_INS_SEG_S_I_SINAL L UNIFO CONT_0180</v>
      </c>
      <c r="M1231" s="3" t="str">
        <f>IFERROR(MID(D1231,SEARCH("S_I_",D1231,1),3),"")</f>
        <v>S_I</v>
      </c>
      <c r="N1231" s="3" t="str">
        <f>IFERROR(MID(D1231,SEARCH("C_I_",D1231,1),3),"")</f>
        <v/>
      </c>
      <c r="O1231" s="3" t="str">
        <f>IF(AND(M1231="",N1231=""),"Extra","")</f>
        <v/>
      </c>
      <c r="P1231" s="3" t="str">
        <f>IF(Q1231=0,"TERCEIRO","MRS")</f>
        <v>MRS</v>
      </c>
      <c r="Q1231" s="8" t="str">
        <f>IFERROR(VLOOKUP(L1231,#REF!,4,0),"0,00")</f>
        <v>0,00</v>
      </c>
      <c r="R1231" s="9" t="s">
        <v>30</v>
      </c>
      <c r="S1231" s="9">
        <f>COUNTIF(D1231,"*_SEG_*")</f>
        <v>1</v>
      </c>
      <c r="T1231" s="9">
        <f>COUNTIF(D1231,"*_MAN_*")</f>
        <v>0</v>
      </c>
      <c r="U1231" s="9">
        <f>(RIGHT(D1231,4))*1</f>
        <v>180</v>
      </c>
      <c r="V1231" s="9" t="str">
        <f>IFERROR(VLOOKUP(I1231,#REF!,2,0),"Sinalização")</f>
        <v>Sinalização</v>
      </c>
    </row>
    <row r="1232" spans="1:22" x14ac:dyDescent="0.25">
      <c r="A1232" s="3" t="s">
        <v>22</v>
      </c>
      <c r="B1232" s="4">
        <v>23107032</v>
      </c>
      <c r="C1232" s="5" t="s">
        <v>23</v>
      </c>
      <c r="D1232" s="6" t="s">
        <v>220</v>
      </c>
      <c r="E1232" s="6" t="s">
        <v>25</v>
      </c>
      <c r="F1232" s="11">
        <v>46160</v>
      </c>
      <c r="G1232" s="6" t="s">
        <v>1079</v>
      </c>
      <c r="H1232" s="7" t="s">
        <v>26</v>
      </c>
      <c r="I1232" s="7" t="s">
        <v>395</v>
      </c>
      <c r="J1232" s="7" t="s">
        <v>222</v>
      </c>
      <c r="K1232" s="7" t="s">
        <v>29</v>
      </c>
      <c r="L1232" s="3" t="str">
        <f>E1232&amp;D1232</f>
        <v>E.SP.IPAEE_INS_SEG_S_I_SINAL L UNIFO CONT_0180</v>
      </c>
      <c r="M1232" s="3" t="str">
        <f>IFERROR(MID(D1232,SEARCH("S_I_",D1232,1),3),"")</f>
        <v>S_I</v>
      </c>
      <c r="N1232" s="3" t="str">
        <f>IFERROR(MID(D1232,SEARCH("C_I_",D1232,1),3),"")</f>
        <v/>
      </c>
      <c r="O1232" s="3" t="str">
        <f>IF(AND(M1232="",N1232=""),"Extra","")</f>
        <v/>
      </c>
      <c r="P1232" s="3" t="str">
        <f>IF(Q1232=0,"TERCEIRO","MRS")</f>
        <v>MRS</v>
      </c>
      <c r="Q1232" s="8" t="str">
        <f>IFERROR(VLOOKUP(L1232,#REF!,4,0),"0,00")</f>
        <v>0,00</v>
      </c>
      <c r="R1232" s="9" t="s">
        <v>30</v>
      </c>
      <c r="S1232" s="9">
        <f>COUNTIF(D1232,"*_SEG_*")</f>
        <v>1</v>
      </c>
      <c r="T1232" s="9">
        <f>COUNTIF(D1232,"*_MAN_*")</f>
        <v>0</v>
      </c>
      <c r="U1232" s="9">
        <f>(RIGHT(D1232,4))*1</f>
        <v>180</v>
      </c>
      <c r="V1232" s="9" t="str">
        <f>IFERROR(VLOOKUP(I1232,#REF!,2,0),"Sinalização")</f>
        <v>Sinalização</v>
      </c>
    </row>
    <row r="1233" spans="1:22" x14ac:dyDescent="0.25">
      <c r="A1233" s="3" t="s">
        <v>22</v>
      </c>
      <c r="B1233" s="4">
        <v>23107098</v>
      </c>
      <c r="C1233" s="5" t="s">
        <v>23</v>
      </c>
      <c r="D1233" s="6" t="s">
        <v>371</v>
      </c>
      <c r="E1233" s="6" t="s">
        <v>25</v>
      </c>
      <c r="F1233" s="11">
        <v>46160</v>
      </c>
      <c r="G1233" s="6" t="s">
        <v>1079</v>
      </c>
      <c r="H1233" s="7" t="s">
        <v>26</v>
      </c>
      <c r="I1233" s="7" t="s">
        <v>396</v>
      </c>
      <c r="J1233" s="7" t="s">
        <v>373</v>
      </c>
      <c r="K1233" s="7" t="s">
        <v>29</v>
      </c>
      <c r="L1233" s="3" t="str">
        <f>E1233&amp;D1233</f>
        <v>E.SP.IPAEE_INS_SEG_S_I_SINAL L MULTI AUT_0180</v>
      </c>
      <c r="M1233" s="3" t="str">
        <f>IFERROR(MID(D1233,SEARCH("S_I_",D1233,1),3),"")</f>
        <v>S_I</v>
      </c>
      <c r="N1233" s="3" t="str">
        <f>IFERROR(MID(D1233,SEARCH("C_I_",D1233,1),3),"")</f>
        <v/>
      </c>
      <c r="O1233" s="3" t="str">
        <f>IF(AND(M1233="",N1233=""),"Extra","")</f>
        <v/>
      </c>
      <c r="P1233" s="3" t="str">
        <f>IF(Q1233=0,"TERCEIRO","MRS")</f>
        <v>MRS</v>
      </c>
      <c r="Q1233" s="8" t="str">
        <f>IFERROR(VLOOKUP(L1233,#REF!,4,0),"0,00")</f>
        <v>0,00</v>
      </c>
      <c r="R1233" s="9" t="s">
        <v>30</v>
      </c>
      <c r="S1233" s="9">
        <f>COUNTIF(D1233,"*_SEG_*")</f>
        <v>1</v>
      </c>
      <c r="T1233" s="9">
        <f>COUNTIF(D1233,"*_MAN_*")</f>
        <v>0</v>
      </c>
      <c r="U1233" s="9">
        <f>(RIGHT(D1233,4))*1</f>
        <v>180</v>
      </c>
      <c r="V1233" s="9" t="str">
        <f>IFERROR(VLOOKUP(I1233,#REF!,2,0),"Sinalização")</f>
        <v>Sinalização</v>
      </c>
    </row>
    <row r="1234" spans="1:22" x14ac:dyDescent="0.25">
      <c r="A1234" s="3" t="s">
        <v>22</v>
      </c>
      <c r="B1234" s="4">
        <v>23107160</v>
      </c>
      <c r="C1234" s="5" t="s">
        <v>23</v>
      </c>
      <c r="D1234" s="6" t="s">
        <v>397</v>
      </c>
      <c r="E1234" s="6" t="s">
        <v>25</v>
      </c>
      <c r="F1234" s="11">
        <v>46160</v>
      </c>
      <c r="G1234" s="6" t="s">
        <v>1079</v>
      </c>
      <c r="H1234" s="7" t="s">
        <v>26</v>
      </c>
      <c r="I1234" s="7" t="s">
        <v>388</v>
      </c>
      <c r="J1234" s="7" t="s">
        <v>398</v>
      </c>
      <c r="K1234" s="7" t="s">
        <v>29</v>
      </c>
      <c r="L1234" s="3" t="str">
        <f>E1234&amp;D1234</f>
        <v>E.SP.IPAEE_INS_CONF_S_I_BL INT RELÉ S/ BAT_0180</v>
      </c>
      <c r="M1234" s="3" t="str">
        <f>IFERROR(MID(D1234,SEARCH("S_I_",D1234,1),3),"")</f>
        <v>S_I</v>
      </c>
      <c r="N1234" s="3" t="str">
        <f>IFERROR(MID(D1234,SEARCH("C_I_",D1234,1),3),"")</f>
        <v/>
      </c>
      <c r="O1234" s="3" t="str">
        <f>IF(AND(M1234="",N1234=""),"Extra","")</f>
        <v/>
      </c>
      <c r="P1234" s="3" t="str">
        <f>IF(Q1234=0,"TERCEIRO","MRS")</f>
        <v>MRS</v>
      </c>
      <c r="Q1234" s="8" t="str">
        <f>IFERROR(VLOOKUP(L1234,#REF!,4,0),"0,00")</f>
        <v>0,00</v>
      </c>
      <c r="R1234" s="9" t="s">
        <v>42</v>
      </c>
      <c r="S1234" s="9">
        <f>COUNTIF(D1234,"*_SEG_*")</f>
        <v>0</v>
      </c>
      <c r="T1234" s="9">
        <f>COUNTIF(D1234,"*_MAN_*")</f>
        <v>0</v>
      </c>
      <c r="U1234" s="9">
        <f>(RIGHT(D1234,4))*1</f>
        <v>180</v>
      </c>
      <c r="V1234" s="9" t="str">
        <f>IFERROR(VLOOKUP(I1234,#REF!,2,0),"Sinalização")</f>
        <v>Sinalização</v>
      </c>
    </row>
    <row r="1235" spans="1:22" x14ac:dyDescent="0.25">
      <c r="A1235" s="3" t="s">
        <v>22</v>
      </c>
      <c r="B1235" s="4">
        <v>23107419</v>
      </c>
      <c r="C1235" s="5" t="s">
        <v>23</v>
      </c>
      <c r="D1235" s="6" t="s">
        <v>259</v>
      </c>
      <c r="E1235" s="6" t="s">
        <v>25</v>
      </c>
      <c r="F1235" s="11">
        <v>46160</v>
      </c>
      <c r="G1235" s="6" t="s">
        <v>1079</v>
      </c>
      <c r="H1235" s="7" t="s">
        <v>26</v>
      </c>
      <c r="I1235" s="7" t="s">
        <v>388</v>
      </c>
      <c r="J1235" s="7" t="s">
        <v>261</v>
      </c>
      <c r="K1235" s="7" t="s">
        <v>29</v>
      </c>
      <c r="L1235" s="3" t="str">
        <f>E1235&amp;D1235</f>
        <v>E.SP.IPAEE_INS_SEG_S_I_BL INT RELÉ S/ BAT_0180</v>
      </c>
      <c r="M1235" s="3" t="str">
        <f>IFERROR(MID(D1235,SEARCH("S_I_",D1235,1),3),"")</f>
        <v>S_I</v>
      </c>
      <c r="N1235" s="3" t="str">
        <f>IFERROR(MID(D1235,SEARCH("C_I_",D1235,1),3),"")</f>
        <v/>
      </c>
      <c r="O1235" s="3" t="str">
        <f>IF(AND(M1235="",N1235=""),"Extra","")</f>
        <v/>
      </c>
      <c r="P1235" s="3" t="str">
        <f>IF(Q1235=0,"TERCEIRO","MRS")</f>
        <v>MRS</v>
      </c>
      <c r="Q1235" s="8" t="str">
        <f>IFERROR(VLOOKUP(L1235,#REF!,4,0),"0,00")</f>
        <v>0,00</v>
      </c>
      <c r="R1235" s="9" t="s">
        <v>30</v>
      </c>
      <c r="S1235" s="9">
        <f>COUNTIF(D1235,"*_SEG_*")</f>
        <v>1</v>
      </c>
      <c r="T1235" s="9">
        <f>COUNTIF(D1235,"*_MAN_*")</f>
        <v>0</v>
      </c>
      <c r="U1235" s="9">
        <f>(RIGHT(D1235,4))*1</f>
        <v>180</v>
      </c>
      <c r="V1235" s="9" t="str">
        <f>IFERROR(VLOOKUP(I1235,#REF!,2,0),"Sinalização")</f>
        <v>Sinalização</v>
      </c>
    </row>
    <row r="1236" spans="1:22" x14ac:dyDescent="0.25">
      <c r="A1236" s="3" t="s">
        <v>22</v>
      </c>
      <c r="B1236" s="4">
        <v>23107420</v>
      </c>
      <c r="C1236" s="5" t="s">
        <v>23</v>
      </c>
      <c r="D1236" s="6" t="s">
        <v>259</v>
      </c>
      <c r="E1236" s="6" t="s">
        <v>25</v>
      </c>
      <c r="F1236" s="11">
        <v>46160</v>
      </c>
      <c r="G1236" s="6" t="s">
        <v>1079</v>
      </c>
      <c r="H1236" s="7" t="s">
        <v>26</v>
      </c>
      <c r="I1236" s="7" t="s">
        <v>399</v>
      </c>
      <c r="J1236" s="7" t="s">
        <v>261</v>
      </c>
      <c r="K1236" s="7" t="s">
        <v>29</v>
      </c>
      <c r="L1236" s="3" t="str">
        <f>E1236&amp;D1236</f>
        <v>E.SP.IPAEE_INS_SEG_S_I_BL INT RELÉ S/ BAT_0180</v>
      </c>
      <c r="M1236" s="3" t="str">
        <f>IFERROR(MID(D1236,SEARCH("S_I_",D1236,1),3),"")</f>
        <v>S_I</v>
      </c>
      <c r="N1236" s="3" t="str">
        <f>IFERROR(MID(D1236,SEARCH("C_I_",D1236,1),3),"")</f>
        <v/>
      </c>
      <c r="O1236" s="3" t="str">
        <f>IF(AND(M1236="",N1236=""),"Extra","")</f>
        <v/>
      </c>
      <c r="P1236" s="3" t="str">
        <f>IF(Q1236=0,"TERCEIRO","MRS")</f>
        <v>MRS</v>
      </c>
      <c r="Q1236" s="8" t="str">
        <f>IFERROR(VLOOKUP(L1236,#REF!,4,0),"0,00")</f>
        <v>0,00</v>
      </c>
      <c r="R1236" s="9" t="s">
        <v>30</v>
      </c>
      <c r="S1236" s="9">
        <f>COUNTIF(D1236,"*_SEG_*")</f>
        <v>1</v>
      </c>
      <c r="T1236" s="9">
        <f>COUNTIF(D1236,"*_MAN_*")</f>
        <v>0</v>
      </c>
      <c r="U1236" s="9">
        <f>(RIGHT(D1236,4))*1</f>
        <v>180</v>
      </c>
      <c r="V1236" s="9" t="str">
        <f>IFERROR(VLOOKUP(I1236,#REF!,2,0),"Sinalização")</f>
        <v>Sinalização</v>
      </c>
    </row>
    <row r="1237" spans="1:22" x14ac:dyDescent="0.25">
      <c r="A1237" s="3" t="s">
        <v>22</v>
      </c>
      <c r="B1237" s="4">
        <v>23107753</v>
      </c>
      <c r="C1237" s="5" t="s">
        <v>23</v>
      </c>
      <c r="D1237" s="6" t="s">
        <v>274</v>
      </c>
      <c r="E1237" s="6" t="s">
        <v>25</v>
      </c>
      <c r="F1237" s="11">
        <v>46160</v>
      </c>
      <c r="G1237" s="6" t="s">
        <v>1079</v>
      </c>
      <c r="H1237" s="7" t="s">
        <v>26</v>
      </c>
      <c r="I1237" s="7" t="s">
        <v>391</v>
      </c>
      <c r="J1237" s="7" t="s">
        <v>275</v>
      </c>
      <c r="K1237" s="7" t="s">
        <v>29</v>
      </c>
      <c r="L1237" s="3" t="str">
        <f>E1237&amp;D1237</f>
        <v>E.SP.IPAEE_INS_SEG_C_I_SINAL L UNIFO CONT_0180</v>
      </c>
      <c r="M1237" s="3" t="str">
        <f>IFERROR(MID(D1237,SEARCH("S_I_",D1237,1),3),"")</f>
        <v/>
      </c>
      <c r="N1237" s="3" t="str">
        <f>IFERROR(MID(D1237,SEARCH("C_I_",D1237,1),3),"")</f>
        <v>C_I</v>
      </c>
      <c r="O1237" s="3" t="str">
        <f>IF(AND(M1237="",N1237=""),"Extra","")</f>
        <v/>
      </c>
      <c r="P1237" s="3" t="str">
        <f>IF(Q1237=0,"TERCEIRO","MRS")</f>
        <v>MRS</v>
      </c>
      <c r="Q1237" s="8" t="str">
        <f>IFERROR(VLOOKUP(L1237,#REF!,4,0),"0,00")</f>
        <v>0,00</v>
      </c>
      <c r="R1237" s="9" t="s">
        <v>30</v>
      </c>
      <c r="S1237" s="9">
        <f>COUNTIF(D1237,"*_SEG_*")</f>
        <v>1</v>
      </c>
      <c r="T1237" s="9">
        <f>COUNTIF(D1237,"*_MAN_*")</f>
        <v>0</v>
      </c>
      <c r="U1237" s="9">
        <f>(RIGHT(D1237,4))*1</f>
        <v>180</v>
      </c>
      <c r="V1237" s="9" t="str">
        <f>IFERROR(VLOOKUP(I1237,#REF!,2,0),"Sinalização")</f>
        <v>Sinalização</v>
      </c>
    </row>
    <row r="1238" spans="1:22" x14ac:dyDescent="0.25">
      <c r="A1238" s="3" t="s">
        <v>22</v>
      </c>
      <c r="B1238" s="4">
        <v>23107756</v>
      </c>
      <c r="C1238" s="5" t="s">
        <v>23</v>
      </c>
      <c r="D1238" s="6" t="s">
        <v>274</v>
      </c>
      <c r="E1238" s="6" t="s">
        <v>25</v>
      </c>
      <c r="F1238" s="11">
        <v>46160</v>
      </c>
      <c r="G1238" s="6" t="s">
        <v>1079</v>
      </c>
      <c r="H1238" s="7" t="s">
        <v>26</v>
      </c>
      <c r="I1238" s="7" t="s">
        <v>392</v>
      </c>
      <c r="J1238" s="7" t="s">
        <v>275</v>
      </c>
      <c r="K1238" s="7" t="s">
        <v>29</v>
      </c>
      <c r="L1238" s="3" t="str">
        <f>E1238&amp;D1238</f>
        <v>E.SP.IPAEE_INS_SEG_C_I_SINAL L UNIFO CONT_0180</v>
      </c>
      <c r="M1238" s="3" t="str">
        <f>IFERROR(MID(D1238,SEARCH("S_I_",D1238,1),3),"")</f>
        <v/>
      </c>
      <c r="N1238" s="3" t="str">
        <f>IFERROR(MID(D1238,SEARCH("C_I_",D1238,1),3),"")</f>
        <v>C_I</v>
      </c>
      <c r="O1238" s="3" t="str">
        <f>IF(AND(M1238="",N1238=""),"Extra","")</f>
        <v/>
      </c>
      <c r="P1238" s="3" t="str">
        <f>IF(Q1238=0,"TERCEIRO","MRS")</f>
        <v>MRS</v>
      </c>
      <c r="Q1238" s="8" t="str">
        <f>IFERROR(VLOOKUP(L1238,#REF!,4,0),"0,00")</f>
        <v>0,00</v>
      </c>
      <c r="R1238" s="9" t="s">
        <v>30</v>
      </c>
      <c r="S1238" s="9">
        <f>COUNTIF(D1238,"*_SEG_*")</f>
        <v>1</v>
      </c>
      <c r="T1238" s="9">
        <f>COUNTIF(D1238,"*_MAN_*")</f>
        <v>0</v>
      </c>
      <c r="U1238" s="9">
        <f>(RIGHT(D1238,4))*1</f>
        <v>180</v>
      </c>
      <c r="V1238" s="9" t="str">
        <f>IFERROR(VLOOKUP(I1238,#REF!,2,0),"Sinalização")</f>
        <v>Sinalização</v>
      </c>
    </row>
    <row r="1239" spans="1:22" x14ac:dyDescent="0.25">
      <c r="A1239" s="3" t="s">
        <v>22</v>
      </c>
      <c r="B1239" s="4">
        <v>23107759</v>
      </c>
      <c r="C1239" s="5" t="s">
        <v>23</v>
      </c>
      <c r="D1239" s="6" t="s">
        <v>274</v>
      </c>
      <c r="E1239" s="6" t="s">
        <v>25</v>
      </c>
      <c r="F1239" s="11">
        <v>46160</v>
      </c>
      <c r="G1239" s="6" t="s">
        <v>1079</v>
      </c>
      <c r="H1239" s="7" t="s">
        <v>26</v>
      </c>
      <c r="I1239" s="7" t="s">
        <v>393</v>
      </c>
      <c r="J1239" s="7" t="s">
        <v>275</v>
      </c>
      <c r="K1239" s="7" t="s">
        <v>29</v>
      </c>
      <c r="L1239" s="3" t="str">
        <f>E1239&amp;D1239</f>
        <v>E.SP.IPAEE_INS_SEG_C_I_SINAL L UNIFO CONT_0180</v>
      </c>
      <c r="M1239" s="3" t="str">
        <f>IFERROR(MID(D1239,SEARCH("S_I_",D1239,1),3),"")</f>
        <v/>
      </c>
      <c r="N1239" s="3" t="str">
        <f>IFERROR(MID(D1239,SEARCH("C_I_",D1239,1),3),"")</f>
        <v>C_I</v>
      </c>
      <c r="O1239" s="3" t="str">
        <f>IF(AND(M1239="",N1239=""),"Extra","")</f>
        <v/>
      </c>
      <c r="P1239" s="3" t="str">
        <f>IF(Q1239=0,"TERCEIRO","MRS")</f>
        <v>MRS</v>
      </c>
      <c r="Q1239" s="8" t="str">
        <f>IFERROR(VLOOKUP(L1239,#REF!,4,0),"0,00")</f>
        <v>0,00</v>
      </c>
      <c r="R1239" s="9" t="s">
        <v>30</v>
      </c>
      <c r="S1239" s="9">
        <f>COUNTIF(D1239,"*_SEG_*")</f>
        <v>1</v>
      </c>
      <c r="T1239" s="9">
        <f>COUNTIF(D1239,"*_MAN_*")</f>
        <v>0</v>
      </c>
      <c r="U1239" s="9">
        <f>(RIGHT(D1239,4))*1</f>
        <v>180</v>
      </c>
      <c r="V1239" s="9" t="str">
        <f>IFERROR(VLOOKUP(I1239,#REF!,2,0),"Sinalização")</f>
        <v>Sinalização</v>
      </c>
    </row>
    <row r="1240" spans="1:22" x14ac:dyDescent="0.25">
      <c r="A1240" s="3" t="s">
        <v>22</v>
      </c>
      <c r="B1240" s="4">
        <v>23107761</v>
      </c>
      <c r="C1240" s="5" t="s">
        <v>23</v>
      </c>
      <c r="D1240" s="6" t="s">
        <v>274</v>
      </c>
      <c r="E1240" s="6" t="s">
        <v>25</v>
      </c>
      <c r="F1240" s="11">
        <v>46160</v>
      </c>
      <c r="G1240" s="6" t="s">
        <v>1079</v>
      </c>
      <c r="H1240" s="7" t="s">
        <v>26</v>
      </c>
      <c r="I1240" s="7" t="s">
        <v>394</v>
      </c>
      <c r="J1240" s="7" t="s">
        <v>275</v>
      </c>
      <c r="K1240" s="7" t="s">
        <v>29</v>
      </c>
      <c r="L1240" s="3" t="str">
        <f>E1240&amp;D1240</f>
        <v>E.SP.IPAEE_INS_SEG_C_I_SINAL L UNIFO CONT_0180</v>
      </c>
      <c r="M1240" s="3" t="str">
        <f>IFERROR(MID(D1240,SEARCH("S_I_",D1240,1),3),"")</f>
        <v/>
      </c>
      <c r="N1240" s="3" t="str">
        <f>IFERROR(MID(D1240,SEARCH("C_I_",D1240,1),3),"")</f>
        <v>C_I</v>
      </c>
      <c r="O1240" s="3" t="str">
        <f>IF(AND(M1240="",N1240=""),"Extra","")</f>
        <v/>
      </c>
      <c r="P1240" s="3" t="str">
        <f>IF(Q1240=0,"TERCEIRO","MRS")</f>
        <v>MRS</v>
      </c>
      <c r="Q1240" s="8" t="str">
        <f>IFERROR(VLOOKUP(L1240,#REF!,4,0),"0,00")</f>
        <v>0,00</v>
      </c>
      <c r="R1240" s="9" t="s">
        <v>30</v>
      </c>
      <c r="S1240" s="9">
        <f>COUNTIF(D1240,"*_SEG_*")</f>
        <v>1</v>
      </c>
      <c r="T1240" s="9">
        <f>COUNTIF(D1240,"*_MAN_*")</f>
        <v>0</v>
      </c>
      <c r="U1240" s="9">
        <f>(RIGHT(D1240,4))*1</f>
        <v>180</v>
      </c>
      <c r="V1240" s="9" t="str">
        <f>IFERROR(VLOOKUP(I1240,#REF!,2,0),"Sinalização")</f>
        <v>Sinalização</v>
      </c>
    </row>
    <row r="1241" spans="1:22" x14ac:dyDescent="0.25">
      <c r="A1241" s="3" t="s">
        <v>22</v>
      </c>
      <c r="B1241" s="4">
        <v>23107762</v>
      </c>
      <c r="C1241" s="5" t="s">
        <v>23</v>
      </c>
      <c r="D1241" s="6" t="s">
        <v>274</v>
      </c>
      <c r="E1241" s="6" t="s">
        <v>25</v>
      </c>
      <c r="F1241" s="11">
        <v>46160</v>
      </c>
      <c r="G1241" s="6" t="s">
        <v>1079</v>
      </c>
      <c r="H1241" s="7" t="s">
        <v>26</v>
      </c>
      <c r="I1241" s="7" t="s">
        <v>395</v>
      </c>
      <c r="J1241" s="7" t="s">
        <v>275</v>
      </c>
      <c r="K1241" s="7" t="s">
        <v>29</v>
      </c>
      <c r="L1241" s="3" t="str">
        <f>E1241&amp;D1241</f>
        <v>E.SP.IPAEE_INS_SEG_C_I_SINAL L UNIFO CONT_0180</v>
      </c>
      <c r="M1241" s="3" t="str">
        <f>IFERROR(MID(D1241,SEARCH("S_I_",D1241,1),3),"")</f>
        <v/>
      </c>
      <c r="N1241" s="3" t="str">
        <f>IFERROR(MID(D1241,SEARCH("C_I_",D1241,1),3),"")</f>
        <v>C_I</v>
      </c>
      <c r="O1241" s="3" t="str">
        <f>IF(AND(M1241="",N1241=""),"Extra","")</f>
        <v/>
      </c>
      <c r="P1241" s="3" t="str">
        <f>IF(Q1241=0,"TERCEIRO","MRS")</f>
        <v>MRS</v>
      </c>
      <c r="Q1241" s="8" t="str">
        <f>IFERROR(VLOOKUP(L1241,#REF!,4,0),"0,00")</f>
        <v>0,00</v>
      </c>
      <c r="R1241" s="9" t="s">
        <v>30</v>
      </c>
      <c r="S1241" s="9">
        <f>COUNTIF(D1241,"*_SEG_*")</f>
        <v>1</v>
      </c>
      <c r="T1241" s="9">
        <f>COUNTIF(D1241,"*_MAN_*")</f>
        <v>0</v>
      </c>
      <c r="U1241" s="9">
        <f>(RIGHT(D1241,4))*1</f>
        <v>180</v>
      </c>
      <c r="V1241" s="9" t="str">
        <f>IFERROR(VLOOKUP(I1241,#REF!,2,0),"Sinalização")</f>
        <v>Sinalização</v>
      </c>
    </row>
    <row r="1242" spans="1:22" x14ac:dyDescent="0.25">
      <c r="A1242" s="3" t="s">
        <v>22</v>
      </c>
      <c r="B1242" s="4">
        <v>21653935</v>
      </c>
      <c r="C1242" s="5" t="s">
        <v>23</v>
      </c>
      <c r="D1242" s="6" t="s">
        <v>43</v>
      </c>
      <c r="E1242" s="6" t="s">
        <v>25</v>
      </c>
      <c r="F1242" s="11">
        <v>46159</v>
      </c>
      <c r="G1242" s="6" t="s">
        <v>1079</v>
      </c>
      <c r="H1242" s="7" t="s">
        <v>26</v>
      </c>
      <c r="I1242" s="7" t="s">
        <v>46</v>
      </c>
      <c r="J1242" s="7" t="s">
        <v>45</v>
      </c>
      <c r="K1242" s="7" t="s">
        <v>29</v>
      </c>
      <c r="L1242" s="3" t="str">
        <f>E1242&amp;D1242</f>
        <v>E.SP.IPAEE_MAN_CONF_C_I_CANALETA SUBESTACAO_0720</v>
      </c>
      <c r="M1242" s="3" t="str">
        <f>IFERROR(MID(D1242,SEARCH("S_I_",D1242,1),3),"")</f>
        <v/>
      </c>
      <c r="N1242" s="3" t="str">
        <f>IFERROR(MID(D1242,SEARCH("C_I_",D1242,1),3),"")</f>
        <v>C_I</v>
      </c>
      <c r="O1242" s="3" t="str">
        <f>IF(AND(M1242="",N1242=""),"Extra","")</f>
        <v/>
      </c>
      <c r="P1242" s="3" t="str">
        <f>IF(Q1242=0,"TERCEIRO","MRS")</f>
        <v>MRS</v>
      </c>
      <c r="Q1242" s="8" t="str">
        <f>IFERROR(VLOOKUP(L1242,#REF!,4,0),"0,00")</f>
        <v>0,00</v>
      </c>
      <c r="R1242" s="9" t="s">
        <v>42</v>
      </c>
      <c r="S1242" s="9">
        <f>COUNTIF(D1242,"*_SEG_*")</f>
        <v>0</v>
      </c>
      <c r="T1242" s="9">
        <f>COUNTIF(D1242,"*_MAN_*")</f>
        <v>1</v>
      </c>
      <c r="U1242" s="9">
        <f>(RIGHT(D1242,4))*1</f>
        <v>720</v>
      </c>
      <c r="V1242" s="9" t="str">
        <f>IFERROR(VLOOKUP(I1242,#REF!,2,0),"Sinalização")</f>
        <v>Sinalização</v>
      </c>
    </row>
    <row r="1243" spans="1:22" x14ac:dyDescent="0.25">
      <c r="A1243" s="3" t="s">
        <v>22</v>
      </c>
      <c r="B1243" s="4">
        <v>21654272</v>
      </c>
      <c r="C1243" s="5" t="s">
        <v>23</v>
      </c>
      <c r="D1243" s="6" t="s">
        <v>47</v>
      </c>
      <c r="E1243" s="6" t="s">
        <v>25</v>
      </c>
      <c r="F1243" s="11">
        <v>46159</v>
      </c>
      <c r="G1243" s="6" t="s">
        <v>1079</v>
      </c>
      <c r="H1243" s="7" t="s">
        <v>26</v>
      </c>
      <c r="I1243" s="7" t="s">
        <v>46</v>
      </c>
      <c r="J1243" s="7" t="s">
        <v>48</v>
      </c>
      <c r="K1243" s="7" t="s">
        <v>29</v>
      </c>
      <c r="L1243" s="3" t="str">
        <f>E1243&amp;D1243</f>
        <v>E.SP.IPAEE_INS_CONF_C_I_CANALETA SUBESTACAO_0720</v>
      </c>
      <c r="M1243" s="3" t="str">
        <f>IFERROR(MID(D1243,SEARCH("S_I_",D1243,1),3),"")</f>
        <v/>
      </c>
      <c r="N1243" s="3" t="str">
        <f>IFERROR(MID(D1243,SEARCH("C_I_",D1243,1),3),"")</f>
        <v>C_I</v>
      </c>
      <c r="O1243" s="3" t="str">
        <f>IF(AND(M1243="",N1243=""),"Extra","")</f>
        <v/>
      </c>
      <c r="P1243" s="3" t="str">
        <f>IF(Q1243=0,"TERCEIRO","MRS")</f>
        <v>MRS</v>
      </c>
      <c r="Q1243" s="8" t="str">
        <f>IFERROR(VLOOKUP(L1243,#REF!,4,0),"0,00")</f>
        <v>0,00</v>
      </c>
      <c r="R1243" s="9" t="s">
        <v>42</v>
      </c>
      <c r="S1243" s="9">
        <f>COUNTIF(D1243,"*_SEG_*")</f>
        <v>0</v>
      </c>
      <c r="T1243" s="9">
        <f>COUNTIF(D1243,"*_MAN_*")</f>
        <v>0</v>
      </c>
      <c r="U1243" s="9">
        <f>(RIGHT(D1243,4))*1</f>
        <v>720</v>
      </c>
      <c r="V1243" s="9" t="str">
        <f>IFERROR(VLOOKUP(I1243,#REF!,2,0),"Sinalização")</f>
        <v>Sinalização</v>
      </c>
    </row>
    <row r="1244" spans="1:22" x14ac:dyDescent="0.25">
      <c r="A1244" s="3" t="s">
        <v>22</v>
      </c>
      <c r="B1244" s="4">
        <v>22614132</v>
      </c>
      <c r="C1244" s="5" t="s">
        <v>23</v>
      </c>
      <c r="D1244" s="6" t="s">
        <v>88</v>
      </c>
      <c r="E1244" s="6" t="s">
        <v>25</v>
      </c>
      <c r="F1244" s="11">
        <v>46158</v>
      </c>
      <c r="G1244" s="6" t="s">
        <v>1079</v>
      </c>
      <c r="H1244" s="7" t="s">
        <v>26</v>
      </c>
      <c r="I1244" s="7" t="s">
        <v>121</v>
      </c>
      <c r="J1244" s="7" t="s">
        <v>90</v>
      </c>
      <c r="K1244" s="7" t="s">
        <v>29</v>
      </c>
      <c r="L1244" s="3" t="str">
        <f>E1244&amp;D1244</f>
        <v>E.SP.IPAEE_INS_CONF_S_I_REP DIG TT MEC MAN_0360</v>
      </c>
      <c r="M1244" s="3" t="str">
        <f>IFERROR(MID(D1244,SEARCH("S_I_",D1244,1),3),"")</f>
        <v>S_I</v>
      </c>
      <c r="N1244" s="3" t="str">
        <f>IFERROR(MID(D1244,SEARCH("C_I_",D1244,1),3),"")</f>
        <v/>
      </c>
      <c r="O1244" s="3" t="str">
        <f>IF(AND(M1244="",N1244=""),"Extra","")</f>
        <v/>
      </c>
      <c r="P1244" s="3" t="str">
        <f>IF(Q1244=0,"TERCEIRO","MRS")</f>
        <v>MRS</v>
      </c>
      <c r="Q1244" s="8" t="str">
        <f>IFERROR(VLOOKUP(L1244,#REF!,4,0),"0,00")</f>
        <v>0,00</v>
      </c>
      <c r="R1244" s="9" t="s">
        <v>42</v>
      </c>
      <c r="S1244" s="9">
        <f>COUNTIF(D1244,"*_SEG_*")</f>
        <v>0</v>
      </c>
      <c r="T1244" s="9">
        <f>COUNTIF(D1244,"*_MAN_*")</f>
        <v>0</v>
      </c>
      <c r="U1244" s="9">
        <f>(RIGHT(D1244,4))*1</f>
        <v>360</v>
      </c>
      <c r="V1244" s="9" t="str">
        <f>IFERROR(VLOOKUP(I1244,#REF!,2,0),"Sinalização")</f>
        <v>Sinalização</v>
      </c>
    </row>
    <row r="1245" spans="1:22" x14ac:dyDescent="0.25">
      <c r="A1245" s="3" t="s">
        <v>22</v>
      </c>
      <c r="B1245" s="4">
        <v>22614133</v>
      </c>
      <c r="C1245" s="5" t="s">
        <v>23</v>
      </c>
      <c r="D1245" s="6" t="s">
        <v>88</v>
      </c>
      <c r="E1245" s="6" t="s">
        <v>25</v>
      </c>
      <c r="F1245" s="11">
        <v>46158</v>
      </c>
      <c r="G1245" s="6" t="s">
        <v>1079</v>
      </c>
      <c r="H1245" s="7" t="s">
        <v>26</v>
      </c>
      <c r="I1245" s="7" t="s">
        <v>122</v>
      </c>
      <c r="J1245" s="7" t="s">
        <v>90</v>
      </c>
      <c r="K1245" s="7" t="s">
        <v>29</v>
      </c>
      <c r="L1245" s="3" t="str">
        <f>E1245&amp;D1245</f>
        <v>E.SP.IPAEE_INS_CONF_S_I_REP DIG TT MEC MAN_0360</v>
      </c>
      <c r="M1245" s="3" t="str">
        <f>IFERROR(MID(D1245,SEARCH("S_I_",D1245,1),3),"")</f>
        <v>S_I</v>
      </c>
      <c r="N1245" s="3" t="str">
        <f>IFERROR(MID(D1245,SEARCH("C_I_",D1245,1),3),"")</f>
        <v/>
      </c>
      <c r="O1245" s="3" t="str">
        <f>IF(AND(M1245="",N1245=""),"Extra","")</f>
        <v/>
      </c>
      <c r="P1245" s="3" t="str">
        <f>IF(Q1245=0,"TERCEIRO","MRS")</f>
        <v>MRS</v>
      </c>
      <c r="Q1245" s="8" t="str">
        <f>IFERROR(VLOOKUP(L1245,#REF!,4,0),"0,00")</f>
        <v>0,00</v>
      </c>
      <c r="R1245" s="9" t="s">
        <v>42</v>
      </c>
      <c r="S1245" s="9">
        <f>COUNTIF(D1245,"*_SEG_*")</f>
        <v>0</v>
      </c>
      <c r="T1245" s="9">
        <f>COUNTIF(D1245,"*_MAN_*")</f>
        <v>0</v>
      </c>
      <c r="U1245" s="9">
        <f>(RIGHT(D1245,4))*1</f>
        <v>360</v>
      </c>
      <c r="V1245" s="9" t="str">
        <f>IFERROR(VLOOKUP(I1245,#REF!,2,0),"Sinalização")</f>
        <v>Sinalização</v>
      </c>
    </row>
    <row r="1246" spans="1:22" x14ac:dyDescent="0.25">
      <c r="A1246" s="3" t="s">
        <v>22</v>
      </c>
      <c r="B1246" s="4">
        <v>22614162</v>
      </c>
      <c r="C1246" s="5" t="s">
        <v>23</v>
      </c>
      <c r="D1246" s="6" t="s">
        <v>79</v>
      </c>
      <c r="E1246" s="6" t="s">
        <v>25</v>
      </c>
      <c r="F1246" s="11">
        <v>46158</v>
      </c>
      <c r="G1246" s="6" t="s">
        <v>1079</v>
      </c>
      <c r="H1246" s="7" t="s">
        <v>26</v>
      </c>
      <c r="I1246" s="7" t="s">
        <v>123</v>
      </c>
      <c r="J1246" s="7" t="s">
        <v>81</v>
      </c>
      <c r="K1246" s="7" t="s">
        <v>29</v>
      </c>
      <c r="L1246" s="3" t="str">
        <f>E1246&amp;D1246</f>
        <v>E.SP.IPAEE_INS_CONF_C_I_MAQ CHAVE M2/M3_0360</v>
      </c>
      <c r="M1246" s="3" t="str">
        <f>IFERROR(MID(D1246,SEARCH("S_I_",D1246,1),3),"")</f>
        <v/>
      </c>
      <c r="N1246" s="3" t="str">
        <f>IFERROR(MID(D1246,SEARCH("C_I_",D1246,1),3),"")</f>
        <v>C_I</v>
      </c>
      <c r="O1246" s="3" t="str">
        <f>IF(AND(M1246="",N1246=""),"Extra","")</f>
        <v/>
      </c>
      <c r="P1246" s="3" t="str">
        <f>IF(Q1246=0,"TERCEIRO","MRS")</f>
        <v>MRS</v>
      </c>
      <c r="Q1246" s="8" t="str">
        <f>IFERROR(VLOOKUP(L1246,#REF!,4,0),"0,00")</f>
        <v>0,00</v>
      </c>
      <c r="R1246" s="9" t="s">
        <v>42</v>
      </c>
      <c r="S1246" s="9">
        <f>COUNTIF(D1246,"*_SEG_*")</f>
        <v>0</v>
      </c>
      <c r="T1246" s="9">
        <f>COUNTIF(D1246,"*_MAN_*")</f>
        <v>0</v>
      </c>
      <c r="U1246" s="9">
        <f>(RIGHT(D1246,4))*1</f>
        <v>360</v>
      </c>
      <c r="V1246" s="9" t="str">
        <f>IFERROR(VLOOKUP(I1246,#REF!,2,0),"Sinalização")</f>
        <v>Sinalização</v>
      </c>
    </row>
    <row r="1247" spans="1:22" x14ac:dyDescent="0.25">
      <c r="A1247" s="3" t="s">
        <v>22</v>
      </c>
      <c r="B1247" s="4">
        <v>22614783</v>
      </c>
      <c r="C1247" s="5" t="s">
        <v>23</v>
      </c>
      <c r="D1247" s="6" t="s">
        <v>124</v>
      </c>
      <c r="E1247" s="6" t="s">
        <v>25</v>
      </c>
      <c r="F1247" s="11">
        <v>46158</v>
      </c>
      <c r="G1247" s="6" t="s">
        <v>1079</v>
      </c>
      <c r="H1247" s="7" t="s">
        <v>26</v>
      </c>
      <c r="I1247" s="7" t="s">
        <v>125</v>
      </c>
      <c r="J1247" s="7" t="s">
        <v>126</v>
      </c>
      <c r="K1247" s="7" t="s">
        <v>29</v>
      </c>
      <c r="L1247" s="3" t="str">
        <f>E1247&amp;D1247</f>
        <v>E.SP.IPAEE_INS_CONF_S_I_BL INT RELÉ S/ BAT_0360</v>
      </c>
      <c r="M1247" s="3" t="str">
        <f>IFERROR(MID(D1247,SEARCH("S_I_",D1247,1),3),"")</f>
        <v>S_I</v>
      </c>
      <c r="N1247" s="3" t="str">
        <f>IFERROR(MID(D1247,SEARCH("C_I_",D1247,1),3),"")</f>
        <v/>
      </c>
      <c r="O1247" s="3" t="str">
        <f>IF(AND(M1247="",N1247=""),"Extra","")</f>
        <v/>
      </c>
      <c r="P1247" s="3" t="str">
        <f>IF(Q1247=0,"TERCEIRO","MRS")</f>
        <v>MRS</v>
      </c>
      <c r="Q1247" s="8" t="str">
        <f>IFERROR(VLOOKUP(L1247,#REF!,4,0),"0,00")</f>
        <v>0,00</v>
      </c>
      <c r="R1247" s="9" t="s">
        <v>57</v>
      </c>
      <c r="S1247" s="9">
        <f>COUNTIF(D1247,"*_SEG_*")</f>
        <v>0</v>
      </c>
      <c r="T1247" s="9">
        <f>COUNTIF(D1247,"*_MAN_*")</f>
        <v>0</v>
      </c>
      <c r="U1247" s="9">
        <f>(RIGHT(D1247,4))*1</f>
        <v>360</v>
      </c>
      <c r="V1247" s="9" t="str">
        <f>IFERROR(VLOOKUP(I1247,#REF!,2,0),"Sinalização")</f>
        <v>Sinalização</v>
      </c>
    </row>
    <row r="1248" spans="1:22" x14ac:dyDescent="0.25">
      <c r="A1248" s="3" t="s">
        <v>22</v>
      </c>
      <c r="B1248" s="4">
        <v>22615038</v>
      </c>
      <c r="C1248" s="5" t="s">
        <v>23</v>
      </c>
      <c r="D1248" s="6" t="s">
        <v>85</v>
      </c>
      <c r="E1248" s="6" t="s">
        <v>25</v>
      </c>
      <c r="F1248" s="11">
        <v>46158</v>
      </c>
      <c r="G1248" s="6" t="s">
        <v>1079</v>
      </c>
      <c r="H1248" s="7" t="s">
        <v>26</v>
      </c>
      <c r="I1248" s="7" t="s">
        <v>127</v>
      </c>
      <c r="J1248" s="7" t="s">
        <v>87</v>
      </c>
      <c r="K1248" s="7" t="s">
        <v>29</v>
      </c>
      <c r="L1248" s="3" t="str">
        <f>E1248&amp;D1248</f>
        <v>E.SP.IPAEE_INS_CONF_S_I_BATERIAS_0360</v>
      </c>
      <c r="M1248" s="3" t="str">
        <f>IFERROR(MID(D1248,SEARCH("S_I_",D1248,1),3),"")</f>
        <v>S_I</v>
      </c>
      <c r="N1248" s="3" t="str">
        <f>IFERROR(MID(D1248,SEARCH("C_I_",D1248,1),3),"")</f>
        <v/>
      </c>
      <c r="O1248" s="3" t="str">
        <f>IF(AND(M1248="",N1248=""),"Extra","")</f>
        <v/>
      </c>
      <c r="P1248" s="3" t="str">
        <f>IF(Q1248=0,"TERCEIRO","MRS")</f>
        <v>MRS</v>
      </c>
      <c r="Q1248" s="8" t="str">
        <f>IFERROR(VLOOKUP(L1248,#REF!,4,0),"0,00")</f>
        <v>0,00</v>
      </c>
      <c r="R1248" s="9" t="s">
        <v>42</v>
      </c>
      <c r="S1248" s="9">
        <f>COUNTIF(D1248,"*_SEG_*")</f>
        <v>0</v>
      </c>
      <c r="T1248" s="9">
        <f>COUNTIF(D1248,"*_MAN_*")</f>
        <v>0</v>
      </c>
      <c r="U1248" s="9">
        <f>(RIGHT(D1248,4))*1</f>
        <v>360</v>
      </c>
      <c r="V1248" s="9" t="str">
        <f>IFERROR(VLOOKUP(I1248,#REF!,2,0),"Sinalização")</f>
        <v>Sinalização</v>
      </c>
    </row>
    <row r="1249" spans="1:22" x14ac:dyDescent="0.25">
      <c r="A1249" s="3" t="s">
        <v>22</v>
      </c>
      <c r="B1249" s="4">
        <v>22615041</v>
      </c>
      <c r="C1249" s="5" t="s">
        <v>23</v>
      </c>
      <c r="D1249" s="6" t="s">
        <v>105</v>
      </c>
      <c r="E1249" s="6" t="s">
        <v>25</v>
      </c>
      <c r="F1249" s="11">
        <v>46158</v>
      </c>
      <c r="G1249" s="6" t="s">
        <v>1079</v>
      </c>
      <c r="H1249" s="7" t="s">
        <v>26</v>
      </c>
      <c r="I1249" s="7" t="s">
        <v>128</v>
      </c>
      <c r="J1249" s="7" t="s">
        <v>107</v>
      </c>
      <c r="K1249" s="7" t="s">
        <v>29</v>
      </c>
      <c r="L1249" s="3" t="str">
        <f>E1249&amp;D1249</f>
        <v>E.SP.IPAEE_INS_CONF_S_I_LOG PR C.PROGR REM_0360</v>
      </c>
      <c r="M1249" s="3" t="str">
        <f>IFERROR(MID(D1249,SEARCH("S_I_",D1249,1),3),"")</f>
        <v>S_I</v>
      </c>
      <c r="N1249" s="3" t="str">
        <f>IFERROR(MID(D1249,SEARCH("C_I_",D1249,1),3),"")</f>
        <v/>
      </c>
      <c r="O1249" s="3" t="str">
        <f>IF(AND(M1249="",N1249=""),"Extra","")</f>
        <v/>
      </c>
      <c r="P1249" s="3" t="str">
        <f>IF(Q1249=0,"TERCEIRO","MRS")</f>
        <v>MRS</v>
      </c>
      <c r="Q1249" s="8" t="str">
        <f>IFERROR(VLOOKUP(L1249,#REF!,4,0),"0,00")</f>
        <v>0,00</v>
      </c>
      <c r="R1249" s="9" t="s">
        <v>42</v>
      </c>
      <c r="S1249" s="9">
        <f>COUNTIF(D1249,"*_SEG_*")</f>
        <v>0</v>
      </c>
      <c r="T1249" s="9">
        <f>COUNTIF(D1249,"*_MAN_*")</f>
        <v>0</v>
      </c>
      <c r="U1249" s="9">
        <f>(RIGHT(D1249,4))*1</f>
        <v>360</v>
      </c>
      <c r="V1249" s="9" t="str">
        <f>IFERROR(VLOOKUP(I1249,#REF!,2,0),"Sinalização")</f>
        <v>Sinalização</v>
      </c>
    </row>
    <row r="1250" spans="1:22" x14ac:dyDescent="0.25">
      <c r="A1250" s="3" t="s">
        <v>22</v>
      </c>
      <c r="B1250" s="4">
        <v>22615174</v>
      </c>
      <c r="C1250" s="5" t="s">
        <v>23</v>
      </c>
      <c r="D1250" s="6" t="s">
        <v>114</v>
      </c>
      <c r="E1250" s="6" t="s">
        <v>25</v>
      </c>
      <c r="F1250" s="11">
        <v>46158</v>
      </c>
      <c r="G1250" s="6" t="s">
        <v>1079</v>
      </c>
      <c r="H1250" s="7" t="s">
        <v>26</v>
      </c>
      <c r="I1250" s="7" t="s">
        <v>129</v>
      </c>
      <c r="J1250" s="7" t="s">
        <v>77</v>
      </c>
      <c r="K1250" s="7" t="s">
        <v>29</v>
      </c>
      <c r="L1250" s="3" t="str">
        <f>E1250&amp;D1250</f>
        <v>E.SP.IPAEE_MAN_CONF_S_I_BAT ESTAC RTU_0090</v>
      </c>
      <c r="M1250" s="3" t="str">
        <f>IFERROR(MID(D1250,SEARCH("S_I_",D1250,1),3),"")</f>
        <v>S_I</v>
      </c>
      <c r="N1250" s="3" t="str">
        <f>IFERROR(MID(D1250,SEARCH("C_I_",D1250,1),3),"")</f>
        <v/>
      </c>
      <c r="O1250" s="3" t="str">
        <f>IF(AND(M1250="",N1250=""),"Extra","")</f>
        <v/>
      </c>
      <c r="P1250" s="3" t="str">
        <f>IF(Q1250=0,"TERCEIRO","MRS")</f>
        <v>MRS</v>
      </c>
      <c r="Q1250" s="8" t="str">
        <f>IFERROR(VLOOKUP(L1250,#REF!,4,0),"0,00")</f>
        <v>0,00</v>
      </c>
      <c r="R1250" s="9" t="s">
        <v>42</v>
      </c>
      <c r="S1250" s="9">
        <f>COUNTIF(D1250,"*_SEG_*")</f>
        <v>0</v>
      </c>
      <c r="T1250" s="9">
        <f>COUNTIF(D1250,"*_MAN_*")</f>
        <v>1</v>
      </c>
      <c r="U1250" s="9">
        <f>(RIGHT(D1250,4))*1</f>
        <v>90</v>
      </c>
      <c r="V1250" s="9" t="str">
        <f>IFERROR(VLOOKUP(I1250,#REF!,2,0),"Sinalização")</f>
        <v>Sinalização</v>
      </c>
    </row>
    <row r="1251" spans="1:22" x14ac:dyDescent="0.25">
      <c r="A1251" s="3" t="s">
        <v>22</v>
      </c>
      <c r="B1251" s="4">
        <v>23099023</v>
      </c>
      <c r="C1251" s="5" t="s">
        <v>23</v>
      </c>
      <c r="D1251" s="6" t="s">
        <v>183</v>
      </c>
      <c r="E1251" s="6" t="s">
        <v>25</v>
      </c>
      <c r="F1251" s="11">
        <v>46158</v>
      </c>
      <c r="G1251" s="6" t="s">
        <v>1079</v>
      </c>
      <c r="H1251" s="7" t="s">
        <v>26</v>
      </c>
      <c r="I1251" s="7" t="s">
        <v>145</v>
      </c>
      <c r="J1251" s="7" t="s">
        <v>185</v>
      </c>
      <c r="K1251" s="7" t="s">
        <v>29</v>
      </c>
      <c r="L1251" s="3" t="str">
        <f>E1251&amp;D1251</f>
        <v>E.SP.IPAEE_INS_CONF_S_I_BARRAMENTO 3KV_0180</v>
      </c>
      <c r="M1251" s="3" t="str">
        <f>IFERROR(MID(D1251,SEARCH("S_I_",D1251,1),3),"")</f>
        <v>S_I</v>
      </c>
      <c r="N1251" s="3" t="str">
        <f>IFERROR(MID(D1251,SEARCH("C_I_",D1251,1),3),"")</f>
        <v/>
      </c>
      <c r="O1251" s="3" t="str">
        <f>IF(AND(M1251="",N1251=""),"Extra","")</f>
        <v/>
      </c>
      <c r="P1251" s="3" t="str">
        <f>IF(Q1251=0,"TERCEIRO","MRS")</f>
        <v>MRS</v>
      </c>
      <c r="Q1251" s="8" t="str">
        <f>IFERROR(VLOOKUP(L1251,#REF!,4,0),"0,00")</f>
        <v>0,00</v>
      </c>
      <c r="R1251" s="9" t="s">
        <v>42</v>
      </c>
      <c r="S1251" s="9">
        <f>COUNTIF(D1251,"*_SEG_*")</f>
        <v>0</v>
      </c>
      <c r="T1251" s="9">
        <f>COUNTIF(D1251,"*_MAN_*")</f>
        <v>0</v>
      </c>
      <c r="U1251" s="9">
        <f>(RIGHT(D1251,4))*1</f>
        <v>180</v>
      </c>
      <c r="V1251" s="9" t="str">
        <f>IFERROR(VLOOKUP(I1251,#REF!,2,0),"Sinalização")</f>
        <v>Sinalização</v>
      </c>
    </row>
    <row r="1252" spans="1:22" x14ac:dyDescent="0.25">
      <c r="A1252" s="3" t="s">
        <v>22</v>
      </c>
      <c r="B1252" s="4">
        <v>23099024</v>
      </c>
      <c r="C1252" s="5" t="s">
        <v>23</v>
      </c>
      <c r="D1252" s="6" t="s">
        <v>183</v>
      </c>
      <c r="E1252" s="6" t="s">
        <v>25</v>
      </c>
      <c r="F1252" s="11">
        <v>46158</v>
      </c>
      <c r="G1252" s="6" t="s">
        <v>1079</v>
      </c>
      <c r="H1252" s="7" t="s">
        <v>26</v>
      </c>
      <c r="I1252" s="7" t="s">
        <v>330</v>
      </c>
      <c r="J1252" s="7" t="s">
        <v>185</v>
      </c>
      <c r="K1252" s="7" t="s">
        <v>29</v>
      </c>
      <c r="L1252" s="3" t="str">
        <f>E1252&amp;D1252</f>
        <v>E.SP.IPAEE_INS_CONF_S_I_BARRAMENTO 3KV_0180</v>
      </c>
      <c r="M1252" s="3" t="str">
        <f>IFERROR(MID(D1252,SEARCH("S_I_",D1252,1),3),"")</f>
        <v>S_I</v>
      </c>
      <c r="N1252" s="3" t="str">
        <f>IFERROR(MID(D1252,SEARCH("C_I_",D1252,1),3),"")</f>
        <v/>
      </c>
      <c r="O1252" s="3" t="str">
        <f>IF(AND(M1252="",N1252=""),"Extra","")</f>
        <v/>
      </c>
      <c r="P1252" s="3" t="str">
        <f>IF(Q1252=0,"TERCEIRO","MRS")</f>
        <v>MRS</v>
      </c>
      <c r="Q1252" s="8" t="str">
        <f>IFERROR(VLOOKUP(L1252,#REF!,4,0),"0,00")</f>
        <v>0,00</v>
      </c>
      <c r="R1252" s="9" t="s">
        <v>42</v>
      </c>
      <c r="S1252" s="9">
        <f>COUNTIF(D1252,"*_SEG_*")</f>
        <v>0</v>
      </c>
      <c r="T1252" s="9">
        <f>COUNTIF(D1252,"*_MAN_*")</f>
        <v>0</v>
      </c>
      <c r="U1252" s="9">
        <f>(RIGHT(D1252,4))*1</f>
        <v>180</v>
      </c>
      <c r="V1252" s="9" t="str">
        <f>IFERROR(VLOOKUP(I1252,#REF!,2,0),"Sinalização")</f>
        <v>Sinalização</v>
      </c>
    </row>
    <row r="1253" spans="1:22" x14ac:dyDescent="0.25">
      <c r="A1253" s="3" t="s">
        <v>22</v>
      </c>
      <c r="B1253" s="4">
        <v>23099025</v>
      </c>
      <c r="C1253" s="5" t="s">
        <v>23</v>
      </c>
      <c r="D1253" s="6" t="s">
        <v>183</v>
      </c>
      <c r="E1253" s="6" t="s">
        <v>25</v>
      </c>
      <c r="F1253" s="11">
        <v>46158</v>
      </c>
      <c r="G1253" s="6" t="s">
        <v>1079</v>
      </c>
      <c r="H1253" s="7" t="s">
        <v>26</v>
      </c>
      <c r="I1253" s="7" t="s">
        <v>331</v>
      </c>
      <c r="J1253" s="7" t="s">
        <v>185</v>
      </c>
      <c r="K1253" s="7" t="s">
        <v>29</v>
      </c>
      <c r="L1253" s="3" t="str">
        <f>E1253&amp;D1253</f>
        <v>E.SP.IPAEE_INS_CONF_S_I_BARRAMENTO 3KV_0180</v>
      </c>
      <c r="M1253" s="3" t="str">
        <f>IFERROR(MID(D1253,SEARCH("S_I_",D1253,1),3),"")</f>
        <v>S_I</v>
      </c>
      <c r="N1253" s="3" t="str">
        <f>IFERROR(MID(D1253,SEARCH("C_I_",D1253,1),3),"")</f>
        <v/>
      </c>
      <c r="O1253" s="3" t="str">
        <f>IF(AND(M1253="",N1253=""),"Extra","")</f>
        <v/>
      </c>
      <c r="P1253" s="3" t="str">
        <f>IF(Q1253=0,"TERCEIRO","MRS")</f>
        <v>MRS</v>
      </c>
      <c r="Q1253" s="8" t="str">
        <f>IFERROR(VLOOKUP(L1253,#REF!,4,0),"0,00")</f>
        <v>0,00</v>
      </c>
      <c r="R1253" s="9" t="s">
        <v>42</v>
      </c>
      <c r="S1253" s="9">
        <f>COUNTIF(D1253,"*_SEG_*")</f>
        <v>0</v>
      </c>
      <c r="T1253" s="9">
        <f>COUNTIF(D1253,"*_MAN_*")</f>
        <v>0</v>
      </c>
      <c r="U1253" s="9">
        <f>(RIGHT(D1253,4))*1</f>
        <v>180</v>
      </c>
      <c r="V1253" s="9" t="str">
        <f>IFERROR(VLOOKUP(I1253,#REF!,2,0),"Sinalização")</f>
        <v>Sinalização</v>
      </c>
    </row>
    <row r="1254" spans="1:22" x14ac:dyDescent="0.25">
      <c r="A1254" s="3" t="s">
        <v>22</v>
      </c>
      <c r="B1254" s="4">
        <v>23099026</v>
      </c>
      <c r="C1254" s="5" t="s">
        <v>23</v>
      </c>
      <c r="D1254" s="6" t="s">
        <v>183</v>
      </c>
      <c r="E1254" s="6" t="s">
        <v>25</v>
      </c>
      <c r="F1254" s="11">
        <v>46158</v>
      </c>
      <c r="G1254" s="6" t="s">
        <v>1079</v>
      </c>
      <c r="H1254" s="7" t="s">
        <v>26</v>
      </c>
      <c r="I1254" s="7" t="s">
        <v>332</v>
      </c>
      <c r="J1254" s="7" t="s">
        <v>185</v>
      </c>
      <c r="K1254" s="7" t="s">
        <v>29</v>
      </c>
      <c r="L1254" s="3" t="str">
        <f>E1254&amp;D1254</f>
        <v>E.SP.IPAEE_INS_CONF_S_I_BARRAMENTO 3KV_0180</v>
      </c>
      <c r="M1254" s="3" t="str">
        <f>IFERROR(MID(D1254,SEARCH("S_I_",D1254,1),3),"")</f>
        <v>S_I</v>
      </c>
      <c r="N1254" s="3" t="str">
        <f>IFERROR(MID(D1254,SEARCH("C_I_",D1254,1),3),"")</f>
        <v/>
      </c>
      <c r="O1254" s="3" t="str">
        <f>IF(AND(M1254="",N1254=""),"Extra","")</f>
        <v/>
      </c>
      <c r="P1254" s="3" t="str">
        <f>IF(Q1254=0,"TERCEIRO","MRS")</f>
        <v>MRS</v>
      </c>
      <c r="Q1254" s="8" t="str">
        <f>IFERROR(VLOOKUP(L1254,#REF!,4,0),"0,00")</f>
        <v>0,00</v>
      </c>
      <c r="R1254" s="9" t="s">
        <v>42</v>
      </c>
      <c r="S1254" s="9">
        <f>COUNTIF(D1254,"*_SEG_*")</f>
        <v>0</v>
      </c>
      <c r="T1254" s="9">
        <f>COUNTIF(D1254,"*_MAN_*")</f>
        <v>0</v>
      </c>
      <c r="U1254" s="9">
        <f>(RIGHT(D1254,4))*1</f>
        <v>180</v>
      </c>
      <c r="V1254" s="9" t="str">
        <f>IFERROR(VLOOKUP(I1254,#REF!,2,0),"Sinalização")</f>
        <v>Sinalização</v>
      </c>
    </row>
    <row r="1255" spans="1:22" x14ac:dyDescent="0.25">
      <c r="A1255" s="3" t="s">
        <v>22</v>
      </c>
      <c r="B1255" s="4">
        <v>23099027</v>
      </c>
      <c r="C1255" s="5" t="s">
        <v>23</v>
      </c>
      <c r="D1255" s="6" t="s">
        <v>183</v>
      </c>
      <c r="E1255" s="6" t="s">
        <v>25</v>
      </c>
      <c r="F1255" s="11">
        <v>46158</v>
      </c>
      <c r="G1255" s="6" t="s">
        <v>1079</v>
      </c>
      <c r="H1255" s="7" t="s">
        <v>26</v>
      </c>
      <c r="I1255" s="7" t="s">
        <v>333</v>
      </c>
      <c r="J1255" s="7" t="s">
        <v>185</v>
      </c>
      <c r="K1255" s="7" t="s">
        <v>29</v>
      </c>
      <c r="L1255" s="3" t="str">
        <f>E1255&amp;D1255</f>
        <v>E.SP.IPAEE_INS_CONF_S_I_BARRAMENTO 3KV_0180</v>
      </c>
      <c r="M1255" s="3" t="str">
        <f>IFERROR(MID(D1255,SEARCH("S_I_",D1255,1),3),"")</f>
        <v>S_I</v>
      </c>
      <c r="N1255" s="3" t="str">
        <f>IFERROR(MID(D1255,SEARCH("C_I_",D1255,1),3),"")</f>
        <v/>
      </c>
      <c r="O1255" s="3" t="str">
        <f>IF(AND(M1255="",N1255=""),"Extra","")</f>
        <v/>
      </c>
      <c r="P1255" s="3" t="str">
        <f>IF(Q1255=0,"TERCEIRO","MRS")</f>
        <v>MRS</v>
      </c>
      <c r="Q1255" s="8" t="str">
        <f>IFERROR(VLOOKUP(L1255,#REF!,4,0),"0,00")</f>
        <v>0,00</v>
      </c>
      <c r="R1255" s="9" t="s">
        <v>42</v>
      </c>
      <c r="S1255" s="9">
        <f>COUNTIF(D1255,"*_SEG_*")</f>
        <v>0</v>
      </c>
      <c r="T1255" s="9">
        <f>COUNTIF(D1255,"*_MAN_*")</f>
        <v>0</v>
      </c>
      <c r="U1255" s="9">
        <f>(RIGHT(D1255,4))*1</f>
        <v>180</v>
      </c>
      <c r="V1255" s="9" t="str">
        <f>IFERROR(VLOOKUP(I1255,#REF!,2,0),"Sinalização")</f>
        <v>Sinalização</v>
      </c>
    </row>
    <row r="1256" spans="1:22" x14ac:dyDescent="0.25">
      <c r="A1256" s="3" t="s">
        <v>22</v>
      </c>
      <c r="B1256" s="4">
        <v>23099028</v>
      </c>
      <c r="C1256" s="5" t="s">
        <v>23</v>
      </c>
      <c r="D1256" s="6" t="s">
        <v>183</v>
      </c>
      <c r="E1256" s="6" t="s">
        <v>25</v>
      </c>
      <c r="F1256" s="11">
        <v>46158</v>
      </c>
      <c r="G1256" s="6" t="s">
        <v>1079</v>
      </c>
      <c r="H1256" s="7" t="s">
        <v>26</v>
      </c>
      <c r="I1256" s="7" t="s">
        <v>334</v>
      </c>
      <c r="J1256" s="7" t="s">
        <v>185</v>
      </c>
      <c r="K1256" s="7" t="s">
        <v>29</v>
      </c>
      <c r="L1256" s="3" t="str">
        <f>E1256&amp;D1256</f>
        <v>E.SP.IPAEE_INS_CONF_S_I_BARRAMENTO 3KV_0180</v>
      </c>
      <c r="M1256" s="3" t="str">
        <f>IFERROR(MID(D1256,SEARCH("S_I_",D1256,1),3),"")</f>
        <v>S_I</v>
      </c>
      <c r="N1256" s="3" t="str">
        <f>IFERROR(MID(D1256,SEARCH("C_I_",D1256,1),3),"")</f>
        <v/>
      </c>
      <c r="O1256" s="3" t="str">
        <f>IF(AND(M1256="",N1256=""),"Extra","")</f>
        <v/>
      </c>
      <c r="P1256" s="3" t="str">
        <f>IF(Q1256=0,"TERCEIRO","MRS")</f>
        <v>MRS</v>
      </c>
      <c r="Q1256" s="8" t="str">
        <f>IFERROR(VLOOKUP(L1256,#REF!,4,0),"0,00")</f>
        <v>0,00</v>
      </c>
      <c r="R1256" s="9" t="s">
        <v>42</v>
      </c>
      <c r="S1256" s="9">
        <f>COUNTIF(D1256,"*_SEG_*")</f>
        <v>0</v>
      </c>
      <c r="T1256" s="9">
        <f>COUNTIF(D1256,"*_MAN_*")</f>
        <v>0</v>
      </c>
      <c r="U1256" s="9">
        <f>(RIGHT(D1256,4))*1</f>
        <v>180</v>
      </c>
      <c r="V1256" s="9" t="str">
        <f>IFERROR(VLOOKUP(I1256,#REF!,2,0),"Sinalização")</f>
        <v>Sinalização</v>
      </c>
    </row>
    <row r="1257" spans="1:22" x14ac:dyDescent="0.25">
      <c r="A1257" s="3" t="s">
        <v>22</v>
      </c>
      <c r="B1257" s="4">
        <v>23099029</v>
      </c>
      <c r="C1257" s="5" t="s">
        <v>23</v>
      </c>
      <c r="D1257" s="6" t="s">
        <v>183</v>
      </c>
      <c r="E1257" s="6" t="s">
        <v>25</v>
      </c>
      <c r="F1257" s="11">
        <v>46158</v>
      </c>
      <c r="G1257" s="6" t="s">
        <v>1079</v>
      </c>
      <c r="H1257" s="7" t="s">
        <v>26</v>
      </c>
      <c r="I1257" s="7" t="s">
        <v>335</v>
      </c>
      <c r="J1257" s="7" t="s">
        <v>185</v>
      </c>
      <c r="K1257" s="7" t="s">
        <v>29</v>
      </c>
      <c r="L1257" s="3" t="str">
        <f>E1257&amp;D1257</f>
        <v>E.SP.IPAEE_INS_CONF_S_I_BARRAMENTO 3KV_0180</v>
      </c>
      <c r="M1257" s="3" t="str">
        <f>IFERROR(MID(D1257,SEARCH("S_I_",D1257,1),3),"")</f>
        <v>S_I</v>
      </c>
      <c r="N1257" s="3" t="str">
        <f>IFERROR(MID(D1257,SEARCH("C_I_",D1257,1),3),"")</f>
        <v/>
      </c>
      <c r="O1257" s="3" t="str">
        <f>IF(AND(M1257="",N1257=""),"Extra","")</f>
        <v/>
      </c>
      <c r="P1257" s="3" t="str">
        <f>IF(Q1257=0,"TERCEIRO","MRS")</f>
        <v>MRS</v>
      </c>
      <c r="Q1257" s="8" t="str">
        <f>IFERROR(VLOOKUP(L1257,#REF!,4,0),"0,00")</f>
        <v>0,00</v>
      </c>
      <c r="R1257" s="9" t="s">
        <v>42</v>
      </c>
      <c r="S1257" s="9">
        <f>COUNTIF(D1257,"*_SEG_*")</f>
        <v>0</v>
      </c>
      <c r="T1257" s="9">
        <f>COUNTIF(D1257,"*_MAN_*")</f>
        <v>0</v>
      </c>
      <c r="U1257" s="9">
        <f>(RIGHT(D1257,4))*1</f>
        <v>180</v>
      </c>
      <c r="V1257" s="9" t="str">
        <f>IFERROR(VLOOKUP(I1257,#REF!,2,0),"Sinalização")</f>
        <v>Sinalização</v>
      </c>
    </row>
    <row r="1258" spans="1:22" x14ac:dyDescent="0.25">
      <c r="A1258" s="3" t="s">
        <v>22</v>
      </c>
      <c r="B1258" s="4">
        <v>23099030</v>
      </c>
      <c r="C1258" s="5" t="s">
        <v>23</v>
      </c>
      <c r="D1258" s="6" t="s">
        <v>183</v>
      </c>
      <c r="E1258" s="6" t="s">
        <v>25</v>
      </c>
      <c r="F1258" s="11">
        <v>46158</v>
      </c>
      <c r="G1258" s="6" t="s">
        <v>1079</v>
      </c>
      <c r="H1258" s="7" t="s">
        <v>26</v>
      </c>
      <c r="I1258" s="7" t="s">
        <v>336</v>
      </c>
      <c r="J1258" s="7" t="s">
        <v>185</v>
      </c>
      <c r="K1258" s="7" t="s">
        <v>29</v>
      </c>
      <c r="L1258" s="3" t="str">
        <f>E1258&amp;D1258</f>
        <v>E.SP.IPAEE_INS_CONF_S_I_BARRAMENTO 3KV_0180</v>
      </c>
      <c r="M1258" s="3" t="str">
        <f>IFERROR(MID(D1258,SEARCH("S_I_",D1258,1),3),"")</f>
        <v>S_I</v>
      </c>
      <c r="N1258" s="3" t="str">
        <f>IFERROR(MID(D1258,SEARCH("C_I_",D1258,1),3),"")</f>
        <v/>
      </c>
      <c r="O1258" s="3" t="str">
        <f>IF(AND(M1258="",N1258=""),"Extra","")</f>
        <v/>
      </c>
      <c r="P1258" s="3" t="str">
        <f>IF(Q1258=0,"TERCEIRO","MRS")</f>
        <v>MRS</v>
      </c>
      <c r="Q1258" s="8" t="str">
        <f>IFERROR(VLOOKUP(L1258,#REF!,4,0),"0,00")</f>
        <v>0,00</v>
      </c>
      <c r="R1258" s="9" t="s">
        <v>42</v>
      </c>
      <c r="S1258" s="9">
        <f>COUNTIF(D1258,"*_SEG_*")</f>
        <v>0</v>
      </c>
      <c r="T1258" s="9">
        <f>COUNTIF(D1258,"*_MAN_*")</f>
        <v>0</v>
      </c>
      <c r="U1258" s="9">
        <f>(RIGHT(D1258,4))*1</f>
        <v>180</v>
      </c>
      <c r="V1258" s="9" t="str">
        <f>IFERROR(VLOOKUP(I1258,#REF!,2,0),"Sinalização")</f>
        <v>Sinalização</v>
      </c>
    </row>
    <row r="1259" spans="1:22" x14ac:dyDescent="0.25">
      <c r="A1259" s="3" t="s">
        <v>22</v>
      </c>
      <c r="B1259" s="4">
        <v>23099071</v>
      </c>
      <c r="C1259" s="5" t="s">
        <v>23</v>
      </c>
      <c r="D1259" s="6" t="s">
        <v>337</v>
      </c>
      <c r="E1259" s="6" t="s">
        <v>25</v>
      </c>
      <c r="F1259" s="11">
        <v>46158</v>
      </c>
      <c r="G1259" s="6" t="s">
        <v>1079</v>
      </c>
      <c r="H1259" s="7" t="s">
        <v>26</v>
      </c>
      <c r="I1259" s="7" t="s">
        <v>55</v>
      </c>
      <c r="J1259" s="7" t="s">
        <v>275</v>
      </c>
      <c r="K1259" s="7" t="s">
        <v>29</v>
      </c>
      <c r="L1259" s="3" t="str">
        <f>E1259&amp;D1259</f>
        <v>E.SP.IPAEE_INS_SEG_C_I_SINAL L UNIFOCAL AUT_0180</v>
      </c>
      <c r="M1259" s="3" t="str">
        <f>IFERROR(MID(D1259,SEARCH("S_I_",D1259,1),3),"")</f>
        <v/>
      </c>
      <c r="N1259" s="3" t="str">
        <f>IFERROR(MID(D1259,SEARCH("C_I_",D1259,1),3),"")</f>
        <v>C_I</v>
      </c>
      <c r="O1259" s="3" t="str">
        <f>IF(AND(M1259="",N1259=""),"Extra","")</f>
        <v/>
      </c>
      <c r="P1259" s="3" t="str">
        <f>IF(Q1259=0,"TERCEIRO","MRS")</f>
        <v>MRS</v>
      </c>
      <c r="Q1259" s="8" t="str">
        <f>IFERROR(VLOOKUP(L1259,#REF!,4,0),"0,00")</f>
        <v>0,00</v>
      </c>
      <c r="R1259" s="9" t="s">
        <v>30</v>
      </c>
      <c r="S1259" s="9">
        <f>COUNTIF(D1259,"*_SEG_*")</f>
        <v>1</v>
      </c>
      <c r="T1259" s="9">
        <f>COUNTIF(D1259,"*_MAN_*")</f>
        <v>0</v>
      </c>
      <c r="U1259" s="9">
        <f>(RIGHT(D1259,4))*1</f>
        <v>180</v>
      </c>
      <c r="V1259" s="9" t="str">
        <f>IFERROR(VLOOKUP(I1259,#REF!,2,0),"Sinalização")</f>
        <v>Sinalização</v>
      </c>
    </row>
    <row r="1260" spans="1:22" x14ac:dyDescent="0.25">
      <c r="A1260" s="3" t="s">
        <v>22</v>
      </c>
      <c r="B1260" s="4">
        <v>23099074</v>
      </c>
      <c r="C1260" s="5" t="s">
        <v>23</v>
      </c>
      <c r="D1260" s="6" t="s">
        <v>337</v>
      </c>
      <c r="E1260" s="6" t="s">
        <v>25</v>
      </c>
      <c r="F1260" s="11">
        <v>46158</v>
      </c>
      <c r="G1260" s="6" t="s">
        <v>1079</v>
      </c>
      <c r="H1260" s="7" t="s">
        <v>26</v>
      </c>
      <c r="I1260" s="7" t="s">
        <v>338</v>
      </c>
      <c r="J1260" s="7" t="s">
        <v>275</v>
      </c>
      <c r="K1260" s="7" t="s">
        <v>29</v>
      </c>
      <c r="L1260" s="3" t="str">
        <f>E1260&amp;D1260</f>
        <v>E.SP.IPAEE_INS_SEG_C_I_SINAL L UNIFOCAL AUT_0180</v>
      </c>
      <c r="M1260" s="3" t="str">
        <f>IFERROR(MID(D1260,SEARCH("S_I_",D1260,1),3),"")</f>
        <v/>
      </c>
      <c r="N1260" s="3" t="str">
        <f>IFERROR(MID(D1260,SEARCH("C_I_",D1260,1),3),"")</f>
        <v>C_I</v>
      </c>
      <c r="O1260" s="3" t="str">
        <f>IF(AND(M1260="",N1260=""),"Extra","")</f>
        <v/>
      </c>
      <c r="P1260" s="3" t="str">
        <f>IF(Q1260=0,"TERCEIRO","MRS")</f>
        <v>MRS</v>
      </c>
      <c r="Q1260" s="8" t="str">
        <f>IFERROR(VLOOKUP(L1260,#REF!,4,0),"0,00")</f>
        <v>0,00</v>
      </c>
      <c r="R1260" s="9" t="s">
        <v>30</v>
      </c>
      <c r="S1260" s="9">
        <f>COUNTIF(D1260,"*_SEG_*")</f>
        <v>1</v>
      </c>
      <c r="T1260" s="9">
        <f>COUNTIF(D1260,"*_MAN_*")</f>
        <v>0</v>
      </c>
      <c r="U1260" s="9">
        <f>(RIGHT(D1260,4))*1</f>
        <v>180</v>
      </c>
      <c r="V1260" s="9" t="str">
        <f>IFERROR(VLOOKUP(I1260,#REF!,2,0),"Sinalização")</f>
        <v>Sinalização</v>
      </c>
    </row>
    <row r="1261" spans="1:22" x14ac:dyDescent="0.25">
      <c r="A1261" s="3" t="s">
        <v>22</v>
      </c>
      <c r="B1261" s="4">
        <v>23099076</v>
      </c>
      <c r="C1261" s="5" t="s">
        <v>23</v>
      </c>
      <c r="D1261" s="6" t="s">
        <v>337</v>
      </c>
      <c r="E1261" s="6" t="s">
        <v>25</v>
      </c>
      <c r="F1261" s="11">
        <v>46158</v>
      </c>
      <c r="G1261" s="6" t="s">
        <v>1079</v>
      </c>
      <c r="H1261" s="7" t="s">
        <v>26</v>
      </c>
      <c r="I1261" s="7" t="s">
        <v>339</v>
      </c>
      <c r="J1261" s="7" t="s">
        <v>275</v>
      </c>
      <c r="K1261" s="7" t="s">
        <v>29</v>
      </c>
      <c r="L1261" s="3" t="str">
        <f>E1261&amp;D1261</f>
        <v>E.SP.IPAEE_INS_SEG_C_I_SINAL L UNIFOCAL AUT_0180</v>
      </c>
      <c r="M1261" s="3" t="str">
        <f>IFERROR(MID(D1261,SEARCH("S_I_",D1261,1),3),"")</f>
        <v/>
      </c>
      <c r="N1261" s="3" t="str">
        <f>IFERROR(MID(D1261,SEARCH("C_I_",D1261,1),3),"")</f>
        <v>C_I</v>
      </c>
      <c r="O1261" s="3" t="str">
        <f>IF(AND(M1261="",N1261=""),"Extra","")</f>
        <v/>
      </c>
      <c r="P1261" s="3" t="str">
        <f>IF(Q1261=0,"TERCEIRO","MRS")</f>
        <v>MRS</v>
      </c>
      <c r="Q1261" s="8" t="str">
        <f>IFERROR(VLOOKUP(L1261,#REF!,4,0),"0,00")</f>
        <v>0,00</v>
      </c>
      <c r="R1261" s="9" t="s">
        <v>30</v>
      </c>
      <c r="S1261" s="9">
        <f>COUNTIF(D1261,"*_SEG_*")</f>
        <v>1</v>
      </c>
      <c r="T1261" s="9">
        <f>COUNTIF(D1261,"*_MAN_*")</f>
        <v>0</v>
      </c>
      <c r="U1261" s="9">
        <f>(RIGHT(D1261,4))*1</f>
        <v>180</v>
      </c>
      <c r="V1261" s="9" t="str">
        <f>IFERROR(VLOOKUP(I1261,#REF!,2,0),"Sinalização")</f>
        <v>Sinalização</v>
      </c>
    </row>
    <row r="1262" spans="1:22" x14ac:dyDescent="0.25">
      <c r="A1262" s="3" t="s">
        <v>22</v>
      </c>
      <c r="B1262" s="4">
        <v>23099080</v>
      </c>
      <c r="C1262" s="5" t="s">
        <v>23</v>
      </c>
      <c r="D1262" s="6" t="s">
        <v>193</v>
      </c>
      <c r="E1262" s="6" t="s">
        <v>25</v>
      </c>
      <c r="F1262" s="11">
        <v>46158</v>
      </c>
      <c r="G1262" s="6" t="s">
        <v>1079</v>
      </c>
      <c r="H1262" s="7" t="s">
        <v>26</v>
      </c>
      <c r="I1262" s="7" t="s">
        <v>340</v>
      </c>
      <c r="J1262" s="7" t="s">
        <v>195</v>
      </c>
      <c r="K1262" s="7" t="s">
        <v>29</v>
      </c>
      <c r="L1262" s="3" t="str">
        <f>E1262&amp;D1262</f>
        <v>E.SP.IPAEE_INS_SEG_S_I_CIRCUITO VIA CA_0180</v>
      </c>
      <c r="M1262" s="3" t="str">
        <f>IFERROR(MID(D1262,SEARCH("S_I_",D1262,1),3),"")</f>
        <v>S_I</v>
      </c>
      <c r="N1262" s="3" t="str">
        <f>IFERROR(MID(D1262,SEARCH("C_I_",D1262,1),3),"")</f>
        <v/>
      </c>
      <c r="O1262" s="3" t="str">
        <f>IF(AND(M1262="",N1262=""),"Extra","")</f>
        <v/>
      </c>
      <c r="P1262" s="3" t="str">
        <f>IF(Q1262=0,"TERCEIRO","MRS")</f>
        <v>MRS</v>
      </c>
      <c r="Q1262" s="8" t="str">
        <f>IFERROR(VLOOKUP(L1262,#REF!,4,0),"0,00")</f>
        <v>0,00</v>
      </c>
      <c r="R1262" s="9" t="s">
        <v>30</v>
      </c>
      <c r="S1262" s="9">
        <f>COUNTIF(D1262,"*_SEG_*")</f>
        <v>1</v>
      </c>
      <c r="T1262" s="9">
        <f>COUNTIF(D1262,"*_MAN_*")</f>
        <v>0</v>
      </c>
      <c r="U1262" s="9">
        <f>(RIGHT(D1262,4))*1</f>
        <v>180</v>
      </c>
      <c r="V1262" s="9" t="str">
        <f>IFERROR(VLOOKUP(I1262,#REF!,2,0),"Sinalização")</f>
        <v>Sinalização</v>
      </c>
    </row>
    <row r="1263" spans="1:22" x14ac:dyDescent="0.25">
      <c r="A1263" s="3" t="s">
        <v>22</v>
      </c>
      <c r="B1263" s="4">
        <v>23099081</v>
      </c>
      <c r="C1263" s="5" t="s">
        <v>23</v>
      </c>
      <c r="D1263" s="6" t="s">
        <v>193</v>
      </c>
      <c r="E1263" s="6" t="s">
        <v>25</v>
      </c>
      <c r="F1263" s="11">
        <v>46158</v>
      </c>
      <c r="G1263" s="6" t="s">
        <v>1079</v>
      </c>
      <c r="H1263" s="7" t="s">
        <v>26</v>
      </c>
      <c r="I1263" s="7" t="s">
        <v>341</v>
      </c>
      <c r="J1263" s="7" t="s">
        <v>195</v>
      </c>
      <c r="K1263" s="7" t="s">
        <v>29</v>
      </c>
      <c r="L1263" s="3" t="str">
        <f>E1263&amp;D1263</f>
        <v>E.SP.IPAEE_INS_SEG_S_I_CIRCUITO VIA CA_0180</v>
      </c>
      <c r="M1263" s="3" t="str">
        <f>IFERROR(MID(D1263,SEARCH("S_I_",D1263,1),3),"")</f>
        <v>S_I</v>
      </c>
      <c r="N1263" s="3" t="str">
        <f>IFERROR(MID(D1263,SEARCH("C_I_",D1263,1),3),"")</f>
        <v/>
      </c>
      <c r="O1263" s="3" t="str">
        <f>IF(AND(M1263="",N1263=""),"Extra","")</f>
        <v/>
      </c>
      <c r="P1263" s="3" t="str">
        <f>IF(Q1263=0,"TERCEIRO","MRS")</f>
        <v>MRS</v>
      </c>
      <c r="Q1263" s="8" t="str">
        <f>IFERROR(VLOOKUP(L1263,#REF!,4,0),"0,00")</f>
        <v>0,00</v>
      </c>
      <c r="R1263" s="9" t="s">
        <v>30</v>
      </c>
      <c r="S1263" s="9">
        <f>COUNTIF(D1263,"*_SEG_*")</f>
        <v>1</v>
      </c>
      <c r="T1263" s="9">
        <f>COUNTIF(D1263,"*_MAN_*")</f>
        <v>0</v>
      </c>
      <c r="U1263" s="9">
        <f>(RIGHT(D1263,4))*1</f>
        <v>180</v>
      </c>
      <c r="V1263" s="9" t="str">
        <f>IFERROR(VLOOKUP(I1263,#REF!,2,0),"Sinalização")</f>
        <v>Sinalização</v>
      </c>
    </row>
    <row r="1264" spans="1:22" x14ac:dyDescent="0.25">
      <c r="A1264" s="3" t="s">
        <v>22</v>
      </c>
      <c r="B1264" s="4">
        <v>23099082</v>
      </c>
      <c r="C1264" s="5" t="s">
        <v>23</v>
      </c>
      <c r="D1264" s="6" t="s">
        <v>342</v>
      </c>
      <c r="E1264" s="6" t="s">
        <v>25</v>
      </c>
      <c r="F1264" s="11">
        <v>46158</v>
      </c>
      <c r="G1264" s="6" t="s">
        <v>1079</v>
      </c>
      <c r="H1264" s="7" t="s">
        <v>26</v>
      </c>
      <c r="I1264" s="7" t="s">
        <v>343</v>
      </c>
      <c r="J1264" s="7" t="s">
        <v>222</v>
      </c>
      <c r="K1264" s="7" t="s">
        <v>29</v>
      </c>
      <c r="L1264" s="3" t="str">
        <f>E1264&amp;D1264</f>
        <v>E.SP.IPAEE_INS_SEG_S_I_SINAL L UNIFOCAL AUT_0180</v>
      </c>
      <c r="M1264" s="3" t="str">
        <f>IFERROR(MID(D1264,SEARCH("S_I_",D1264,1),3),"")</f>
        <v>S_I</v>
      </c>
      <c r="N1264" s="3" t="str">
        <f>IFERROR(MID(D1264,SEARCH("C_I_",D1264,1),3),"")</f>
        <v/>
      </c>
      <c r="O1264" s="3" t="str">
        <f>IF(AND(M1264="",N1264=""),"Extra","")</f>
        <v/>
      </c>
      <c r="P1264" s="3" t="str">
        <f>IF(Q1264=0,"TERCEIRO","MRS")</f>
        <v>MRS</v>
      </c>
      <c r="Q1264" s="8" t="str">
        <f>IFERROR(VLOOKUP(L1264,#REF!,4,0),"0,00")</f>
        <v>0,00</v>
      </c>
      <c r="R1264" s="9" t="s">
        <v>30</v>
      </c>
      <c r="S1264" s="9">
        <f>COUNTIF(D1264,"*_SEG_*")</f>
        <v>1</v>
      </c>
      <c r="T1264" s="9">
        <f>COUNTIF(D1264,"*_MAN_*")</f>
        <v>0</v>
      </c>
      <c r="U1264" s="9">
        <f>(RIGHT(D1264,4))*1</f>
        <v>180</v>
      </c>
      <c r="V1264" s="9" t="str">
        <f>IFERROR(VLOOKUP(I1264,#REF!,2,0),"Sinalização")</f>
        <v>Sinalização</v>
      </c>
    </row>
    <row r="1265" spans="1:22" x14ac:dyDescent="0.25">
      <c r="A1265" s="3" t="s">
        <v>22</v>
      </c>
      <c r="B1265" s="4">
        <v>23099087</v>
      </c>
      <c r="C1265" s="5" t="s">
        <v>23</v>
      </c>
      <c r="D1265" s="6" t="s">
        <v>342</v>
      </c>
      <c r="E1265" s="6" t="s">
        <v>25</v>
      </c>
      <c r="F1265" s="11">
        <v>46158</v>
      </c>
      <c r="G1265" s="6" t="s">
        <v>1079</v>
      </c>
      <c r="H1265" s="7" t="s">
        <v>26</v>
      </c>
      <c r="I1265" s="7" t="s">
        <v>344</v>
      </c>
      <c r="J1265" s="7" t="s">
        <v>222</v>
      </c>
      <c r="K1265" s="7" t="s">
        <v>29</v>
      </c>
      <c r="L1265" s="3" t="str">
        <f>E1265&amp;D1265</f>
        <v>E.SP.IPAEE_INS_SEG_S_I_SINAL L UNIFOCAL AUT_0180</v>
      </c>
      <c r="M1265" s="3" t="str">
        <f>IFERROR(MID(D1265,SEARCH("S_I_",D1265,1),3),"")</f>
        <v>S_I</v>
      </c>
      <c r="N1265" s="3" t="str">
        <f>IFERROR(MID(D1265,SEARCH("C_I_",D1265,1),3),"")</f>
        <v/>
      </c>
      <c r="O1265" s="3" t="str">
        <f>IF(AND(M1265="",N1265=""),"Extra","")</f>
        <v/>
      </c>
      <c r="P1265" s="3" t="str">
        <f>IF(Q1265=0,"TERCEIRO","MRS")</f>
        <v>MRS</v>
      </c>
      <c r="Q1265" s="8" t="str">
        <f>IFERROR(VLOOKUP(L1265,#REF!,4,0),"0,00")</f>
        <v>0,00</v>
      </c>
      <c r="R1265" s="9" t="s">
        <v>30</v>
      </c>
      <c r="S1265" s="9">
        <f>COUNTIF(D1265,"*_SEG_*")</f>
        <v>1</v>
      </c>
      <c r="T1265" s="9">
        <f>COUNTIF(D1265,"*_MAN_*")</f>
        <v>0</v>
      </c>
      <c r="U1265" s="9">
        <f>(RIGHT(D1265,4))*1</f>
        <v>180</v>
      </c>
      <c r="V1265" s="9" t="str">
        <f>IFERROR(VLOOKUP(I1265,#REF!,2,0),"Sinalização")</f>
        <v>Sinalização</v>
      </c>
    </row>
    <row r="1266" spans="1:22" x14ac:dyDescent="0.25">
      <c r="A1266" s="3" t="s">
        <v>22</v>
      </c>
      <c r="B1266" s="4">
        <v>23099089</v>
      </c>
      <c r="C1266" s="5" t="s">
        <v>23</v>
      </c>
      <c r="D1266" s="6" t="s">
        <v>342</v>
      </c>
      <c r="E1266" s="6" t="s">
        <v>25</v>
      </c>
      <c r="F1266" s="11">
        <v>46158</v>
      </c>
      <c r="G1266" s="6" t="s">
        <v>1079</v>
      </c>
      <c r="H1266" s="7" t="s">
        <v>26</v>
      </c>
      <c r="I1266" s="7" t="s">
        <v>345</v>
      </c>
      <c r="J1266" s="7" t="s">
        <v>222</v>
      </c>
      <c r="K1266" s="7" t="s">
        <v>29</v>
      </c>
      <c r="L1266" s="3" t="str">
        <f>E1266&amp;D1266</f>
        <v>E.SP.IPAEE_INS_SEG_S_I_SINAL L UNIFOCAL AUT_0180</v>
      </c>
      <c r="M1266" s="3" t="str">
        <f>IFERROR(MID(D1266,SEARCH("S_I_",D1266,1),3),"")</f>
        <v>S_I</v>
      </c>
      <c r="N1266" s="3" t="str">
        <f>IFERROR(MID(D1266,SEARCH("C_I_",D1266,1),3),"")</f>
        <v/>
      </c>
      <c r="O1266" s="3" t="str">
        <f>IF(AND(M1266="",N1266=""),"Extra","")</f>
        <v/>
      </c>
      <c r="P1266" s="3" t="str">
        <f>IF(Q1266=0,"TERCEIRO","MRS")</f>
        <v>MRS</v>
      </c>
      <c r="Q1266" s="8" t="str">
        <f>IFERROR(VLOOKUP(L1266,#REF!,4,0),"0,00")</f>
        <v>0,00</v>
      </c>
      <c r="R1266" s="9" t="s">
        <v>30</v>
      </c>
      <c r="S1266" s="9">
        <f>COUNTIF(D1266,"*_SEG_*")</f>
        <v>1</v>
      </c>
      <c r="T1266" s="9">
        <f>COUNTIF(D1266,"*_MAN_*")</f>
        <v>0</v>
      </c>
      <c r="U1266" s="9">
        <f>(RIGHT(D1266,4))*1</f>
        <v>180</v>
      </c>
      <c r="V1266" s="9" t="str">
        <f>IFERROR(VLOOKUP(I1266,#REF!,2,0),"Sinalização")</f>
        <v>Sinalização</v>
      </c>
    </row>
    <row r="1267" spans="1:22" x14ac:dyDescent="0.25">
      <c r="A1267" s="3" t="s">
        <v>22</v>
      </c>
      <c r="B1267" s="4">
        <v>23099093</v>
      </c>
      <c r="C1267" s="5" t="s">
        <v>23</v>
      </c>
      <c r="D1267" s="6" t="s">
        <v>193</v>
      </c>
      <c r="E1267" s="6" t="s">
        <v>25</v>
      </c>
      <c r="F1267" s="11">
        <v>46158</v>
      </c>
      <c r="G1267" s="6" t="s">
        <v>1079</v>
      </c>
      <c r="H1267" s="7" t="s">
        <v>26</v>
      </c>
      <c r="I1267" s="7" t="s">
        <v>346</v>
      </c>
      <c r="J1267" s="7" t="s">
        <v>195</v>
      </c>
      <c r="K1267" s="7" t="s">
        <v>29</v>
      </c>
      <c r="L1267" s="3" t="str">
        <f>E1267&amp;D1267</f>
        <v>E.SP.IPAEE_INS_SEG_S_I_CIRCUITO VIA CA_0180</v>
      </c>
      <c r="M1267" s="3" t="str">
        <f>IFERROR(MID(D1267,SEARCH("S_I_",D1267,1),3),"")</f>
        <v>S_I</v>
      </c>
      <c r="N1267" s="3" t="str">
        <f>IFERROR(MID(D1267,SEARCH("C_I_",D1267,1),3),"")</f>
        <v/>
      </c>
      <c r="O1267" s="3" t="str">
        <f>IF(AND(M1267="",N1267=""),"Extra","")</f>
        <v/>
      </c>
      <c r="P1267" s="3" t="str">
        <f>IF(Q1267=0,"TERCEIRO","MRS")</f>
        <v>MRS</v>
      </c>
      <c r="Q1267" s="8" t="str">
        <f>IFERROR(VLOOKUP(L1267,#REF!,4,0),"0,00")</f>
        <v>0,00</v>
      </c>
      <c r="R1267" s="9" t="s">
        <v>30</v>
      </c>
      <c r="S1267" s="9">
        <f>COUNTIF(D1267,"*_SEG_*")</f>
        <v>1</v>
      </c>
      <c r="T1267" s="9">
        <f>COUNTIF(D1267,"*_MAN_*")</f>
        <v>0</v>
      </c>
      <c r="U1267" s="9">
        <f>(RIGHT(D1267,4))*1</f>
        <v>180</v>
      </c>
      <c r="V1267" s="9" t="str">
        <f>IFERROR(VLOOKUP(I1267,#REF!,2,0),"Sinalização")</f>
        <v>Sinalização</v>
      </c>
    </row>
    <row r="1268" spans="1:22" x14ac:dyDescent="0.25">
      <c r="A1268" s="3" t="s">
        <v>22</v>
      </c>
      <c r="B1268" s="4">
        <v>23099094</v>
      </c>
      <c r="C1268" s="5" t="s">
        <v>23</v>
      </c>
      <c r="D1268" s="6" t="s">
        <v>193</v>
      </c>
      <c r="E1268" s="6" t="s">
        <v>25</v>
      </c>
      <c r="F1268" s="11">
        <v>46158</v>
      </c>
      <c r="G1268" s="6" t="s">
        <v>1079</v>
      </c>
      <c r="H1268" s="7" t="s">
        <v>26</v>
      </c>
      <c r="I1268" s="7" t="s">
        <v>347</v>
      </c>
      <c r="J1268" s="7" t="s">
        <v>195</v>
      </c>
      <c r="K1268" s="7" t="s">
        <v>29</v>
      </c>
      <c r="L1268" s="3" t="str">
        <f>E1268&amp;D1268</f>
        <v>E.SP.IPAEE_INS_SEG_S_I_CIRCUITO VIA CA_0180</v>
      </c>
      <c r="M1268" s="3" t="str">
        <f>IFERROR(MID(D1268,SEARCH("S_I_",D1268,1),3),"")</f>
        <v>S_I</v>
      </c>
      <c r="N1268" s="3" t="str">
        <f>IFERROR(MID(D1268,SEARCH("C_I_",D1268,1),3),"")</f>
        <v/>
      </c>
      <c r="O1268" s="3" t="str">
        <f>IF(AND(M1268="",N1268=""),"Extra","")</f>
        <v/>
      </c>
      <c r="P1268" s="3" t="str">
        <f>IF(Q1268=0,"TERCEIRO","MRS")</f>
        <v>MRS</v>
      </c>
      <c r="Q1268" s="8" t="str">
        <f>IFERROR(VLOOKUP(L1268,#REF!,4,0),"0,00")</f>
        <v>0,00</v>
      </c>
      <c r="R1268" s="9" t="s">
        <v>30</v>
      </c>
      <c r="S1268" s="9">
        <f>COUNTIF(D1268,"*_SEG_*")</f>
        <v>1</v>
      </c>
      <c r="T1268" s="9">
        <f>COUNTIF(D1268,"*_MAN_*")</f>
        <v>0</v>
      </c>
      <c r="U1268" s="9">
        <f>(RIGHT(D1268,4))*1</f>
        <v>180</v>
      </c>
      <c r="V1268" s="9" t="str">
        <f>IFERROR(VLOOKUP(I1268,#REF!,2,0),"Sinalização")</f>
        <v>Sinalização</v>
      </c>
    </row>
    <row r="1269" spans="1:22" x14ac:dyDescent="0.25">
      <c r="A1269" s="3" t="s">
        <v>22</v>
      </c>
      <c r="B1269" s="4">
        <v>23099095</v>
      </c>
      <c r="C1269" s="5" t="s">
        <v>23</v>
      </c>
      <c r="D1269" s="6" t="s">
        <v>193</v>
      </c>
      <c r="E1269" s="6" t="s">
        <v>25</v>
      </c>
      <c r="F1269" s="11">
        <v>46158</v>
      </c>
      <c r="G1269" s="6" t="s">
        <v>1079</v>
      </c>
      <c r="H1269" s="7" t="s">
        <v>26</v>
      </c>
      <c r="I1269" s="7" t="s">
        <v>348</v>
      </c>
      <c r="J1269" s="7" t="s">
        <v>195</v>
      </c>
      <c r="K1269" s="7" t="s">
        <v>29</v>
      </c>
      <c r="L1269" s="3" t="str">
        <f>E1269&amp;D1269</f>
        <v>E.SP.IPAEE_INS_SEG_S_I_CIRCUITO VIA CA_0180</v>
      </c>
      <c r="M1269" s="3" t="str">
        <f>IFERROR(MID(D1269,SEARCH("S_I_",D1269,1),3),"")</f>
        <v>S_I</v>
      </c>
      <c r="N1269" s="3" t="str">
        <f>IFERROR(MID(D1269,SEARCH("C_I_",D1269,1),3),"")</f>
        <v/>
      </c>
      <c r="O1269" s="3" t="str">
        <f>IF(AND(M1269="",N1269=""),"Extra","")</f>
        <v/>
      </c>
      <c r="P1269" s="3" t="str">
        <f>IF(Q1269=0,"TERCEIRO","MRS")</f>
        <v>MRS</v>
      </c>
      <c r="Q1269" s="8" t="str">
        <f>IFERROR(VLOOKUP(L1269,#REF!,4,0),"0,00")</f>
        <v>0,00</v>
      </c>
      <c r="R1269" s="9" t="s">
        <v>30</v>
      </c>
      <c r="S1269" s="9">
        <f>COUNTIF(D1269,"*_SEG_*")</f>
        <v>1</v>
      </c>
      <c r="T1269" s="9">
        <f>COUNTIF(D1269,"*_MAN_*")</f>
        <v>0</v>
      </c>
      <c r="U1269" s="9">
        <f>(RIGHT(D1269,4))*1</f>
        <v>180</v>
      </c>
      <c r="V1269" s="9" t="str">
        <f>IFERROR(VLOOKUP(I1269,#REF!,2,0),"Sinalização")</f>
        <v>Sinalização</v>
      </c>
    </row>
    <row r="1270" spans="1:22" x14ac:dyDescent="0.25">
      <c r="A1270" s="3" t="s">
        <v>22</v>
      </c>
      <c r="B1270" s="4">
        <v>23099148</v>
      </c>
      <c r="C1270" s="5" t="s">
        <v>23</v>
      </c>
      <c r="D1270" s="6" t="s">
        <v>196</v>
      </c>
      <c r="E1270" s="6" t="s">
        <v>25</v>
      </c>
      <c r="F1270" s="11">
        <v>46158</v>
      </c>
      <c r="G1270" s="6" t="s">
        <v>1079</v>
      </c>
      <c r="H1270" s="7" t="s">
        <v>26</v>
      </c>
      <c r="I1270" s="7" t="s">
        <v>112</v>
      </c>
      <c r="J1270" s="7" t="s">
        <v>197</v>
      </c>
      <c r="K1270" s="7" t="s">
        <v>29</v>
      </c>
      <c r="L1270" s="3" t="str">
        <f>E1270&amp;D1270</f>
        <v>E.SP.IPAEE_INS_CONF_S_I_BAT ESTAC AES-FO_0180</v>
      </c>
      <c r="M1270" s="3" t="str">
        <f>IFERROR(MID(D1270,SEARCH("S_I_",D1270,1),3),"")</f>
        <v>S_I</v>
      </c>
      <c r="N1270" s="3" t="str">
        <f>IFERROR(MID(D1270,SEARCH("C_I_",D1270,1),3),"")</f>
        <v/>
      </c>
      <c r="O1270" s="3" t="str">
        <f>IF(AND(M1270="",N1270=""),"Extra","")</f>
        <v/>
      </c>
      <c r="P1270" s="3" t="str">
        <f>IF(Q1270=0,"TERCEIRO","MRS")</f>
        <v>MRS</v>
      </c>
      <c r="Q1270" s="8" t="str">
        <f>IFERROR(VLOOKUP(L1270,#REF!,4,0),"0,00")</f>
        <v>0,00</v>
      </c>
      <c r="R1270" s="9" t="s">
        <v>42</v>
      </c>
      <c r="S1270" s="9">
        <f>COUNTIF(D1270,"*_SEG_*")</f>
        <v>0</v>
      </c>
      <c r="T1270" s="9">
        <f>COUNTIF(D1270,"*_MAN_*")</f>
        <v>0</v>
      </c>
      <c r="U1270" s="9">
        <f>(RIGHT(D1270,4))*1</f>
        <v>180</v>
      </c>
      <c r="V1270" s="9" t="str">
        <f>IFERROR(VLOOKUP(I1270,#REF!,2,0),"Sinalização")</f>
        <v>Sinalização</v>
      </c>
    </row>
    <row r="1271" spans="1:22" x14ac:dyDescent="0.25">
      <c r="A1271" s="3" t="s">
        <v>22</v>
      </c>
      <c r="B1271" s="4">
        <v>23099150</v>
      </c>
      <c r="C1271" s="5" t="s">
        <v>23</v>
      </c>
      <c r="D1271" s="6" t="s">
        <v>198</v>
      </c>
      <c r="E1271" s="6" t="s">
        <v>25</v>
      </c>
      <c r="F1271" s="11">
        <v>46158</v>
      </c>
      <c r="G1271" s="6" t="s">
        <v>1079</v>
      </c>
      <c r="H1271" s="7" t="s">
        <v>26</v>
      </c>
      <c r="I1271" s="7" t="s">
        <v>349</v>
      </c>
      <c r="J1271" s="7" t="s">
        <v>200</v>
      </c>
      <c r="K1271" s="7" t="s">
        <v>29</v>
      </c>
      <c r="L1271" s="3" t="str">
        <f>E1271&amp;D1271</f>
        <v>E.SP.IPAEE_INS_CONF_S_I_CAIXA DE LOCAÇÃO_0180</v>
      </c>
      <c r="M1271" s="3" t="str">
        <f>IFERROR(MID(D1271,SEARCH("S_I_",D1271,1),3),"")</f>
        <v>S_I</v>
      </c>
      <c r="N1271" s="3" t="str">
        <f>IFERROR(MID(D1271,SEARCH("C_I_",D1271,1),3),"")</f>
        <v/>
      </c>
      <c r="O1271" s="3" t="str">
        <f>IF(AND(M1271="",N1271=""),"Extra","")</f>
        <v/>
      </c>
      <c r="P1271" s="3" t="str">
        <f>IF(Q1271=0,"TERCEIRO","MRS")</f>
        <v>MRS</v>
      </c>
      <c r="Q1271" s="8" t="str">
        <f>IFERROR(VLOOKUP(L1271,#REF!,4,0),"0,00")</f>
        <v>0,00</v>
      </c>
      <c r="R1271" s="9" t="s">
        <v>98</v>
      </c>
      <c r="S1271" s="9">
        <f>COUNTIF(D1271,"*_SEG_*")</f>
        <v>0</v>
      </c>
      <c r="T1271" s="9">
        <f>COUNTIF(D1271,"*_MAN_*")</f>
        <v>0</v>
      </c>
      <c r="U1271" s="9">
        <f>(RIGHT(D1271,4))*1</f>
        <v>180</v>
      </c>
      <c r="V1271" s="9" t="str">
        <f>IFERROR(VLOOKUP(I1271,#REF!,2,0),"Sinalização")</f>
        <v>Sinalização</v>
      </c>
    </row>
    <row r="1272" spans="1:22" x14ac:dyDescent="0.25">
      <c r="A1272" s="3" t="s">
        <v>22</v>
      </c>
      <c r="B1272" s="4">
        <v>23099151</v>
      </c>
      <c r="C1272" s="5" t="s">
        <v>23</v>
      </c>
      <c r="D1272" s="6" t="s">
        <v>198</v>
      </c>
      <c r="E1272" s="6" t="s">
        <v>25</v>
      </c>
      <c r="F1272" s="11">
        <v>46158</v>
      </c>
      <c r="G1272" s="6" t="s">
        <v>1079</v>
      </c>
      <c r="H1272" s="7" t="s">
        <v>26</v>
      </c>
      <c r="I1272" s="7" t="s">
        <v>350</v>
      </c>
      <c r="J1272" s="7" t="s">
        <v>200</v>
      </c>
      <c r="K1272" s="7" t="s">
        <v>29</v>
      </c>
      <c r="L1272" s="3" t="str">
        <f>E1272&amp;D1272</f>
        <v>E.SP.IPAEE_INS_CONF_S_I_CAIXA DE LOCAÇÃO_0180</v>
      </c>
      <c r="M1272" s="3" t="str">
        <f>IFERROR(MID(D1272,SEARCH("S_I_",D1272,1),3),"")</f>
        <v>S_I</v>
      </c>
      <c r="N1272" s="3" t="str">
        <f>IFERROR(MID(D1272,SEARCH("C_I_",D1272,1),3),"")</f>
        <v/>
      </c>
      <c r="O1272" s="3" t="str">
        <f>IF(AND(M1272="",N1272=""),"Extra","")</f>
        <v/>
      </c>
      <c r="P1272" s="3" t="str">
        <f>IF(Q1272=0,"TERCEIRO","MRS")</f>
        <v>MRS</v>
      </c>
      <c r="Q1272" s="8" t="str">
        <f>IFERROR(VLOOKUP(L1272,#REF!,4,0),"0,00")</f>
        <v>0,00</v>
      </c>
      <c r="R1272" s="9" t="s">
        <v>98</v>
      </c>
      <c r="S1272" s="9">
        <f>COUNTIF(D1272,"*_SEG_*")</f>
        <v>0</v>
      </c>
      <c r="T1272" s="9">
        <f>COUNTIF(D1272,"*_MAN_*")</f>
        <v>0</v>
      </c>
      <c r="U1272" s="9">
        <f>(RIGHT(D1272,4))*1</f>
        <v>180</v>
      </c>
      <c r="V1272" s="9" t="str">
        <f>IFERROR(VLOOKUP(I1272,#REF!,2,0),"Sinalização")</f>
        <v>Sinalização</v>
      </c>
    </row>
    <row r="1273" spans="1:22" x14ac:dyDescent="0.25">
      <c r="A1273" s="3" t="s">
        <v>22</v>
      </c>
      <c r="B1273" s="4">
        <v>23099152</v>
      </c>
      <c r="C1273" s="5" t="s">
        <v>23</v>
      </c>
      <c r="D1273" s="6" t="s">
        <v>198</v>
      </c>
      <c r="E1273" s="6" t="s">
        <v>25</v>
      </c>
      <c r="F1273" s="11">
        <v>46158</v>
      </c>
      <c r="G1273" s="6" t="s">
        <v>1079</v>
      </c>
      <c r="H1273" s="7" t="s">
        <v>26</v>
      </c>
      <c r="I1273" s="7" t="s">
        <v>351</v>
      </c>
      <c r="J1273" s="7" t="s">
        <v>200</v>
      </c>
      <c r="K1273" s="7" t="s">
        <v>29</v>
      </c>
      <c r="L1273" s="3" t="str">
        <f>E1273&amp;D1273</f>
        <v>E.SP.IPAEE_INS_CONF_S_I_CAIXA DE LOCAÇÃO_0180</v>
      </c>
      <c r="M1273" s="3" t="str">
        <f>IFERROR(MID(D1273,SEARCH("S_I_",D1273,1),3),"")</f>
        <v>S_I</v>
      </c>
      <c r="N1273" s="3" t="str">
        <f>IFERROR(MID(D1273,SEARCH("C_I_",D1273,1),3),"")</f>
        <v/>
      </c>
      <c r="O1273" s="3" t="str">
        <f>IF(AND(M1273="",N1273=""),"Extra","")</f>
        <v/>
      </c>
      <c r="P1273" s="3" t="str">
        <f>IF(Q1273=0,"TERCEIRO","MRS")</f>
        <v>MRS</v>
      </c>
      <c r="Q1273" s="8" t="str">
        <f>IFERROR(VLOOKUP(L1273,#REF!,4,0),"0,00")</f>
        <v>0,00</v>
      </c>
      <c r="R1273" s="9" t="s">
        <v>98</v>
      </c>
      <c r="S1273" s="9">
        <f>COUNTIF(D1273,"*_SEG_*")</f>
        <v>0</v>
      </c>
      <c r="T1273" s="9">
        <f>COUNTIF(D1273,"*_MAN_*")</f>
        <v>0</v>
      </c>
      <c r="U1273" s="9">
        <f>(RIGHT(D1273,4))*1</f>
        <v>180</v>
      </c>
      <c r="V1273" s="9" t="str">
        <f>IFERROR(VLOOKUP(I1273,#REF!,2,0),"Sinalização")</f>
        <v>Sinalização</v>
      </c>
    </row>
    <row r="1274" spans="1:22" x14ac:dyDescent="0.25">
      <c r="A1274" s="3" t="s">
        <v>22</v>
      </c>
      <c r="B1274" s="4">
        <v>23099154</v>
      </c>
      <c r="C1274" s="5" t="s">
        <v>23</v>
      </c>
      <c r="D1274" s="6" t="s">
        <v>198</v>
      </c>
      <c r="E1274" s="6" t="s">
        <v>25</v>
      </c>
      <c r="F1274" s="11">
        <v>46158</v>
      </c>
      <c r="G1274" s="6" t="s">
        <v>1079</v>
      </c>
      <c r="H1274" s="7" t="s">
        <v>26</v>
      </c>
      <c r="I1274" s="7" t="s">
        <v>352</v>
      </c>
      <c r="J1274" s="7" t="s">
        <v>200</v>
      </c>
      <c r="K1274" s="7" t="s">
        <v>29</v>
      </c>
      <c r="L1274" s="3" t="str">
        <f>E1274&amp;D1274</f>
        <v>E.SP.IPAEE_INS_CONF_S_I_CAIXA DE LOCAÇÃO_0180</v>
      </c>
      <c r="M1274" s="3" t="str">
        <f>IFERROR(MID(D1274,SEARCH("S_I_",D1274,1),3),"")</f>
        <v>S_I</v>
      </c>
      <c r="N1274" s="3" t="str">
        <f>IFERROR(MID(D1274,SEARCH("C_I_",D1274,1),3),"")</f>
        <v/>
      </c>
      <c r="O1274" s="3" t="str">
        <f>IF(AND(M1274="",N1274=""),"Extra","")</f>
        <v/>
      </c>
      <c r="P1274" s="3" t="str">
        <f>IF(Q1274=0,"TERCEIRO","MRS")</f>
        <v>MRS</v>
      </c>
      <c r="Q1274" s="8" t="str">
        <f>IFERROR(VLOOKUP(L1274,#REF!,4,0),"0,00")</f>
        <v>0,00</v>
      </c>
      <c r="R1274" s="9" t="s">
        <v>98</v>
      </c>
      <c r="S1274" s="9">
        <f>COUNTIF(D1274,"*_SEG_*")</f>
        <v>0</v>
      </c>
      <c r="T1274" s="9">
        <f>COUNTIF(D1274,"*_MAN_*")</f>
        <v>0</v>
      </c>
      <c r="U1274" s="9">
        <f>(RIGHT(D1274,4))*1</f>
        <v>180</v>
      </c>
      <c r="V1274" s="9" t="str">
        <f>IFERROR(VLOOKUP(I1274,#REF!,2,0),"Sinalização")</f>
        <v>Sinalização</v>
      </c>
    </row>
    <row r="1275" spans="1:22" x14ac:dyDescent="0.25">
      <c r="A1275" s="3" t="s">
        <v>22</v>
      </c>
      <c r="B1275" s="4">
        <v>23099156</v>
      </c>
      <c r="C1275" s="5" t="s">
        <v>23</v>
      </c>
      <c r="D1275" s="6" t="s">
        <v>198</v>
      </c>
      <c r="E1275" s="6" t="s">
        <v>25</v>
      </c>
      <c r="F1275" s="11">
        <v>46158</v>
      </c>
      <c r="G1275" s="6" t="s">
        <v>1079</v>
      </c>
      <c r="H1275" s="7" t="s">
        <v>26</v>
      </c>
      <c r="I1275" s="7" t="s">
        <v>353</v>
      </c>
      <c r="J1275" s="7" t="s">
        <v>200</v>
      </c>
      <c r="K1275" s="7" t="s">
        <v>29</v>
      </c>
      <c r="L1275" s="3" t="str">
        <f>E1275&amp;D1275</f>
        <v>E.SP.IPAEE_INS_CONF_S_I_CAIXA DE LOCAÇÃO_0180</v>
      </c>
      <c r="M1275" s="3" t="str">
        <f>IFERROR(MID(D1275,SEARCH("S_I_",D1275,1),3),"")</f>
        <v>S_I</v>
      </c>
      <c r="N1275" s="3" t="str">
        <f>IFERROR(MID(D1275,SEARCH("C_I_",D1275,1),3),"")</f>
        <v/>
      </c>
      <c r="O1275" s="3" t="str">
        <f>IF(AND(M1275="",N1275=""),"Extra","")</f>
        <v/>
      </c>
      <c r="P1275" s="3" t="str">
        <f>IF(Q1275=0,"TERCEIRO","MRS")</f>
        <v>MRS</v>
      </c>
      <c r="Q1275" s="8" t="str">
        <f>IFERROR(VLOOKUP(L1275,#REF!,4,0),"0,00")</f>
        <v>0,00</v>
      </c>
      <c r="R1275" s="9" t="s">
        <v>98</v>
      </c>
      <c r="S1275" s="9">
        <f>COUNTIF(D1275,"*_SEG_*")</f>
        <v>0</v>
      </c>
      <c r="T1275" s="9">
        <f>COUNTIF(D1275,"*_MAN_*")</f>
        <v>0</v>
      </c>
      <c r="U1275" s="9">
        <f>(RIGHT(D1275,4))*1</f>
        <v>180</v>
      </c>
      <c r="V1275" s="9" t="str">
        <f>IFERROR(VLOOKUP(I1275,#REF!,2,0),"Sinalização")</f>
        <v>Sinalização</v>
      </c>
    </row>
    <row r="1276" spans="1:22" x14ac:dyDescent="0.25">
      <c r="A1276" s="3" t="s">
        <v>22</v>
      </c>
      <c r="B1276" s="4">
        <v>23099157</v>
      </c>
      <c r="C1276" s="5" t="s">
        <v>23</v>
      </c>
      <c r="D1276" s="6" t="s">
        <v>198</v>
      </c>
      <c r="E1276" s="6" t="s">
        <v>25</v>
      </c>
      <c r="F1276" s="11">
        <v>46158</v>
      </c>
      <c r="G1276" s="6" t="s">
        <v>1079</v>
      </c>
      <c r="H1276" s="7" t="s">
        <v>26</v>
      </c>
      <c r="I1276" s="7" t="s">
        <v>354</v>
      </c>
      <c r="J1276" s="7" t="s">
        <v>200</v>
      </c>
      <c r="K1276" s="7" t="s">
        <v>29</v>
      </c>
      <c r="L1276" s="3" t="str">
        <f>E1276&amp;D1276</f>
        <v>E.SP.IPAEE_INS_CONF_S_I_CAIXA DE LOCAÇÃO_0180</v>
      </c>
      <c r="M1276" s="3" t="str">
        <f>IFERROR(MID(D1276,SEARCH("S_I_",D1276,1),3),"")</f>
        <v>S_I</v>
      </c>
      <c r="N1276" s="3" t="str">
        <f>IFERROR(MID(D1276,SEARCH("C_I_",D1276,1),3),"")</f>
        <v/>
      </c>
      <c r="O1276" s="3" t="str">
        <f>IF(AND(M1276="",N1276=""),"Extra","")</f>
        <v/>
      </c>
      <c r="P1276" s="3" t="str">
        <f>IF(Q1276=0,"TERCEIRO","MRS")</f>
        <v>MRS</v>
      </c>
      <c r="Q1276" s="8" t="str">
        <f>IFERROR(VLOOKUP(L1276,#REF!,4,0),"0,00")</f>
        <v>0,00</v>
      </c>
      <c r="R1276" s="9" t="s">
        <v>98</v>
      </c>
      <c r="S1276" s="9">
        <f>COUNTIF(D1276,"*_SEG_*")</f>
        <v>0</v>
      </c>
      <c r="T1276" s="9">
        <f>COUNTIF(D1276,"*_MAN_*")</f>
        <v>0</v>
      </c>
      <c r="U1276" s="9">
        <f>(RIGHT(D1276,4))*1</f>
        <v>180</v>
      </c>
      <c r="V1276" s="9" t="str">
        <f>IFERROR(VLOOKUP(I1276,#REF!,2,0),"Sinalização")</f>
        <v>Sinalização</v>
      </c>
    </row>
    <row r="1277" spans="1:22" x14ac:dyDescent="0.25">
      <c r="A1277" s="3" t="s">
        <v>22</v>
      </c>
      <c r="B1277" s="4">
        <v>23099158</v>
      </c>
      <c r="C1277" s="5" t="s">
        <v>23</v>
      </c>
      <c r="D1277" s="6" t="s">
        <v>205</v>
      </c>
      <c r="E1277" s="6" t="s">
        <v>25</v>
      </c>
      <c r="F1277" s="11">
        <v>46158</v>
      </c>
      <c r="G1277" s="6" t="s">
        <v>1079</v>
      </c>
      <c r="H1277" s="7" t="s">
        <v>26</v>
      </c>
      <c r="I1277" s="7" t="s">
        <v>355</v>
      </c>
      <c r="J1277" s="7" t="s">
        <v>181</v>
      </c>
      <c r="K1277" s="7" t="s">
        <v>29</v>
      </c>
      <c r="L1277" s="3" t="str">
        <f>E1277&amp;D1277</f>
        <v>E.SP.IPAEE_INS_CONF_S_I_BAT ESTAC B-LFR_0180</v>
      </c>
      <c r="M1277" s="3" t="str">
        <f>IFERROR(MID(D1277,SEARCH("S_I_",D1277,1),3),"")</f>
        <v>S_I</v>
      </c>
      <c r="N1277" s="3" t="str">
        <f>IFERROR(MID(D1277,SEARCH("C_I_",D1277,1),3),"")</f>
        <v/>
      </c>
      <c r="O1277" s="3" t="str">
        <f>IF(AND(M1277="",N1277=""),"Extra","")</f>
        <v/>
      </c>
      <c r="P1277" s="3" t="str">
        <f>IF(Q1277=0,"TERCEIRO","MRS")</f>
        <v>MRS</v>
      </c>
      <c r="Q1277" s="8" t="str">
        <f>IFERROR(VLOOKUP(L1277,#REF!,4,0),"0,00")</f>
        <v>0,00</v>
      </c>
      <c r="R1277" s="9" t="s">
        <v>42</v>
      </c>
      <c r="S1277" s="9">
        <f>COUNTIF(D1277,"*_SEG_*")</f>
        <v>0</v>
      </c>
      <c r="T1277" s="9">
        <f>COUNTIF(D1277,"*_MAN_*")</f>
        <v>0</v>
      </c>
      <c r="U1277" s="9">
        <f>(RIGHT(D1277,4))*1</f>
        <v>180</v>
      </c>
      <c r="V1277" s="9" t="str">
        <f>IFERROR(VLOOKUP(I1277,#REF!,2,0),"Sinalização")</f>
        <v>Sinalização</v>
      </c>
    </row>
    <row r="1278" spans="1:22" x14ac:dyDescent="0.25">
      <c r="A1278" s="3" t="s">
        <v>22</v>
      </c>
      <c r="B1278" s="4">
        <v>23099242</v>
      </c>
      <c r="C1278" s="5" t="s">
        <v>23</v>
      </c>
      <c r="D1278" s="6" t="s">
        <v>206</v>
      </c>
      <c r="E1278" s="6" t="s">
        <v>25</v>
      </c>
      <c r="F1278" s="11">
        <v>46158</v>
      </c>
      <c r="G1278" s="6" t="s">
        <v>1079</v>
      </c>
      <c r="H1278" s="7" t="s">
        <v>26</v>
      </c>
      <c r="I1278" s="7" t="s">
        <v>356</v>
      </c>
      <c r="J1278" s="7" t="s">
        <v>208</v>
      </c>
      <c r="K1278" s="7" t="s">
        <v>29</v>
      </c>
      <c r="L1278" s="3" t="str">
        <f>E1278&amp;D1278</f>
        <v>E.SP.IPAEE_INS_CONF_S_I_IAS_0180</v>
      </c>
      <c r="M1278" s="3" t="str">
        <f>IFERROR(MID(D1278,SEARCH("S_I_",D1278,1),3),"")</f>
        <v>S_I</v>
      </c>
      <c r="N1278" s="3" t="str">
        <f>IFERROR(MID(D1278,SEARCH("C_I_",D1278,1),3),"")</f>
        <v/>
      </c>
      <c r="O1278" s="3" t="str">
        <f>IF(AND(M1278="",N1278=""),"Extra","")</f>
        <v/>
      </c>
      <c r="P1278" s="3" t="str">
        <f>IF(Q1278=0,"TERCEIRO","MRS")</f>
        <v>MRS</v>
      </c>
      <c r="Q1278" s="8" t="str">
        <f>IFERROR(VLOOKUP(L1278,#REF!,4,0),"0,00")</f>
        <v>0,00</v>
      </c>
      <c r="R1278" s="9" t="s">
        <v>42</v>
      </c>
      <c r="S1278" s="9">
        <f>COUNTIF(D1278,"*_SEG_*")</f>
        <v>0</v>
      </c>
      <c r="T1278" s="9">
        <f>COUNTIF(D1278,"*_MAN_*")</f>
        <v>0</v>
      </c>
      <c r="U1278" s="9">
        <f>(RIGHT(D1278,4))*1</f>
        <v>180</v>
      </c>
      <c r="V1278" s="9" t="str">
        <f>IFERROR(VLOOKUP(I1278,#REF!,2,0),"Sinalização")</f>
        <v>Sinalização</v>
      </c>
    </row>
    <row r="1279" spans="1:22" x14ac:dyDescent="0.25">
      <c r="A1279" s="3" t="s">
        <v>22</v>
      </c>
      <c r="B1279" s="4">
        <v>23099243</v>
      </c>
      <c r="C1279" s="5" t="s">
        <v>23</v>
      </c>
      <c r="D1279" s="6" t="s">
        <v>206</v>
      </c>
      <c r="E1279" s="6" t="s">
        <v>25</v>
      </c>
      <c r="F1279" s="11">
        <v>46158</v>
      </c>
      <c r="G1279" s="6" t="s">
        <v>1079</v>
      </c>
      <c r="H1279" s="7" t="s">
        <v>26</v>
      </c>
      <c r="I1279" s="7" t="s">
        <v>357</v>
      </c>
      <c r="J1279" s="7" t="s">
        <v>208</v>
      </c>
      <c r="K1279" s="7" t="s">
        <v>29</v>
      </c>
      <c r="L1279" s="3" t="str">
        <f>E1279&amp;D1279</f>
        <v>E.SP.IPAEE_INS_CONF_S_I_IAS_0180</v>
      </c>
      <c r="M1279" s="3" t="str">
        <f>IFERROR(MID(D1279,SEARCH("S_I_",D1279,1),3),"")</f>
        <v>S_I</v>
      </c>
      <c r="N1279" s="3" t="str">
        <f>IFERROR(MID(D1279,SEARCH("C_I_",D1279,1),3),"")</f>
        <v/>
      </c>
      <c r="O1279" s="3" t="str">
        <f>IF(AND(M1279="",N1279=""),"Extra","")</f>
        <v/>
      </c>
      <c r="P1279" s="3" t="str">
        <f>IF(Q1279=0,"TERCEIRO","MRS")</f>
        <v>MRS</v>
      </c>
      <c r="Q1279" s="8" t="str">
        <f>IFERROR(VLOOKUP(L1279,#REF!,4,0),"0,00")</f>
        <v>0,00</v>
      </c>
      <c r="R1279" s="9" t="s">
        <v>42</v>
      </c>
      <c r="S1279" s="9">
        <f>COUNTIF(D1279,"*_SEG_*")</f>
        <v>0</v>
      </c>
      <c r="T1279" s="9">
        <f>COUNTIF(D1279,"*_MAN_*")</f>
        <v>0</v>
      </c>
      <c r="U1279" s="9">
        <f>(RIGHT(D1279,4))*1</f>
        <v>180</v>
      </c>
      <c r="V1279" s="9" t="str">
        <f>IFERROR(VLOOKUP(I1279,#REF!,2,0),"Sinalização")</f>
        <v>Sinalização</v>
      </c>
    </row>
    <row r="1280" spans="1:22" x14ac:dyDescent="0.25">
      <c r="A1280" s="3" t="s">
        <v>22</v>
      </c>
      <c r="B1280" s="4">
        <v>23099246</v>
      </c>
      <c r="C1280" s="5" t="s">
        <v>23</v>
      </c>
      <c r="D1280" s="6" t="s">
        <v>206</v>
      </c>
      <c r="E1280" s="6" t="s">
        <v>25</v>
      </c>
      <c r="F1280" s="11">
        <v>46158</v>
      </c>
      <c r="G1280" s="6" t="s">
        <v>1079</v>
      </c>
      <c r="H1280" s="7" t="s">
        <v>26</v>
      </c>
      <c r="I1280" s="7" t="s">
        <v>358</v>
      </c>
      <c r="J1280" s="7" t="s">
        <v>208</v>
      </c>
      <c r="K1280" s="7" t="s">
        <v>29</v>
      </c>
      <c r="L1280" s="3" t="str">
        <f>E1280&amp;D1280</f>
        <v>E.SP.IPAEE_INS_CONF_S_I_IAS_0180</v>
      </c>
      <c r="M1280" s="3" t="str">
        <f>IFERROR(MID(D1280,SEARCH("S_I_",D1280,1),3),"")</f>
        <v>S_I</v>
      </c>
      <c r="N1280" s="3" t="str">
        <f>IFERROR(MID(D1280,SEARCH("C_I_",D1280,1),3),"")</f>
        <v/>
      </c>
      <c r="O1280" s="3" t="str">
        <f>IF(AND(M1280="",N1280=""),"Extra","")</f>
        <v/>
      </c>
      <c r="P1280" s="3" t="str">
        <f>IF(Q1280=0,"TERCEIRO","MRS")</f>
        <v>MRS</v>
      </c>
      <c r="Q1280" s="8" t="str">
        <f>IFERROR(VLOOKUP(L1280,#REF!,4,0),"0,00")</f>
        <v>0,00</v>
      </c>
      <c r="R1280" s="9" t="s">
        <v>42</v>
      </c>
      <c r="S1280" s="9">
        <f>COUNTIF(D1280,"*_SEG_*")</f>
        <v>0</v>
      </c>
      <c r="T1280" s="9">
        <f>COUNTIF(D1280,"*_MAN_*")</f>
        <v>0</v>
      </c>
      <c r="U1280" s="9">
        <f>(RIGHT(D1280,4))*1</f>
        <v>180</v>
      </c>
      <c r="V1280" s="9" t="str">
        <f>IFERROR(VLOOKUP(I1280,#REF!,2,0),"Sinalização")</f>
        <v>Sinalização</v>
      </c>
    </row>
    <row r="1281" spans="1:22" x14ac:dyDescent="0.25">
      <c r="A1281" s="3" t="s">
        <v>22</v>
      </c>
      <c r="B1281" s="4">
        <v>23099248</v>
      </c>
      <c r="C1281" s="5" t="s">
        <v>23</v>
      </c>
      <c r="D1281" s="6" t="s">
        <v>206</v>
      </c>
      <c r="E1281" s="6" t="s">
        <v>25</v>
      </c>
      <c r="F1281" s="11">
        <v>46158</v>
      </c>
      <c r="G1281" s="6" t="s">
        <v>1079</v>
      </c>
      <c r="H1281" s="7" t="s">
        <v>26</v>
      </c>
      <c r="I1281" s="7" t="s">
        <v>359</v>
      </c>
      <c r="J1281" s="7" t="s">
        <v>208</v>
      </c>
      <c r="K1281" s="7" t="s">
        <v>29</v>
      </c>
      <c r="L1281" s="3" t="str">
        <f>E1281&amp;D1281</f>
        <v>E.SP.IPAEE_INS_CONF_S_I_IAS_0180</v>
      </c>
      <c r="M1281" s="3" t="str">
        <f>IFERROR(MID(D1281,SEARCH("S_I_",D1281,1),3),"")</f>
        <v>S_I</v>
      </c>
      <c r="N1281" s="3" t="str">
        <f>IFERROR(MID(D1281,SEARCH("C_I_",D1281,1),3),"")</f>
        <v/>
      </c>
      <c r="O1281" s="3" t="str">
        <f>IF(AND(M1281="",N1281=""),"Extra","")</f>
        <v/>
      </c>
      <c r="P1281" s="3" t="str">
        <f>IF(Q1281=0,"TERCEIRO","MRS")</f>
        <v>MRS</v>
      </c>
      <c r="Q1281" s="8" t="str">
        <f>IFERROR(VLOOKUP(L1281,#REF!,4,0),"0,00")</f>
        <v>0,00</v>
      </c>
      <c r="R1281" s="9" t="s">
        <v>42</v>
      </c>
      <c r="S1281" s="9">
        <f>COUNTIF(D1281,"*_SEG_*")</f>
        <v>0</v>
      </c>
      <c r="T1281" s="9">
        <f>COUNTIF(D1281,"*_MAN_*")</f>
        <v>0</v>
      </c>
      <c r="U1281" s="9">
        <f>(RIGHT(D1281,4))*1</f>
        <v>180</v>
      </c>
      <c r="V1281" s="9" t="str">
        <f>IFERROR(VLOOKUP(I1281,#REF!,2,0),"Sinalização")</f>
        <v>Sinalização</v>
      </c>
    </row>
    <row r="1282" spans="1:22" x14ac:dyDescent="0.25">
      <c r="A1282" s="3" t="s">
        <v>22</v>
      </c>
      <c r="B1282" s="4">
        <v>23099249</v>
      </c>
      <c r="C1282" s="5" t="s">
        <v>23</v>
      </c>
      <c r="D1282" s="6" t="s">
        <v>206</v>
      </c>
      <c r="E1282" s="6" t="s">
        <v>25</v>
      </c>
      <c r="F1282" s="11">
        <v>46158</v>
      </c>
      <c r="G1282" s="6" t="s">
        <v>1079</v>
      </c>
      <c r="H1282" s="7" t="s">
        <v>26</v>
      </c>
      <c r="I1282" s="7" t="s">
        <v>360</v>
      </c>
      <c r="J1282" s="7" t="s">
        <v>208</v>
      </c>
      <c r="K1282" s="7" t="s">
        <v>29</v>
      </c>
      <c r="L1282" s="3" t="str">
        <f>E1282&amp;D1282</f>
        <v>E.SP.IPAEE_INS_CONF_S_I_IAS_0180</v>
      </c>
      <c r="M1282" s="3" t="str">
        <f>IFERROR(MID(D1282,SEARCH("S_I_",D1282,1),3),"")</f>
        <v>S_I</v>
      </c>
      <c r="N1282" s="3" t="str">
        <f>IFERROR(MID(D1282,SEARCH("C_I_",D1282,1),3),"")</f>
        <v/>
      </c>
      <c r="O1282" s="3" t="str">
        <f>IF(AND(M1282="",N1282=""),"Extra","")</f>
        <v/>
      </c>
      <c r="P1282" s="3" t="str">
        <f>IF(Q1282=0,"TERCEIRO","MRS")</f>
        <v>MRS</v>
      </c>
      <c r="Q1282" s="8" t="str">
        <f>IFERROR(VLOOKUP(L1282,#REF!,4,0),"0,00")</f>
        <v>0,00</v>
      </c>
      <c r="R1282" s="9" t="s">
        <v>42</v>
      </c>
      <c r="S1282" s="9">
        <f>COUNTIF(D1282,"*_SEG_*")</f>
        <v>0</v>
      </c>
      <c r="T1282" s="9">
        <f>COUNTIF(D1282,"*_MAN_*")</f>
        <v>0</v>
      </c>
      <c r="U1282" s="9">
        <f>(RIGHT(D1282,4))*1</f>
        <v>180</v>
      </c>
      <c r="V1282" s="9" t="str">
        <f>IFERROR(VLOOKUP(I1282,#REF!,2,0),"Sinalização")</f>
        <v>Sinalização</v>
      </c>
    </row>
    <row r="1283" spans="1:22" x14ac:dyDescent="0.25">
      <c r="A1283" s="3" t="s">
        <v>22</v>
      </c>
      <c r="B1283" s="4">
        <v>23099251</v>
      </c>
      <c r="C1283" s="5" t="s">
        <v>23</v>
      </c>
      <c r="D1283" s="6" t="s">
        <v>206</v>
      </c>
      <c r="E1283" s="6" t="s">
        <v>25</v>
      </c>
      <c r="F1283" s="11">
        <v>46158</v>
      </c>
      <c r="G1283" s="6" t="s">
        <v>1079</v>
      </c>
      <c r="H1283" s="7" t="s">
        <v>26</v>
      </c>
      <c r="I1283" s="7" t="s">
        <v>361</v>
      </c>
      <c r="J1283" s="7" t="s">
        <v>208</v>
      </c>
      <c r="K1283" s="7" t="s">
        <v>29</v>
      </c>
      <c r="L1283" s="3" t="str">
        <f>E1283&amp;D1283</f>
        <v>E.SP.IPAEE_INS_CONF_S_I_IAS_0180</v>
      </c>
      <c r="M1283" s="3" t="str">
        <f>IFERROR(MID(D1283,SEARCH("S_I_",D1283,1),3),"")</f>
        <v>S_I</v>
      </c>
      <c r="N1283" s="3" t="str">
        <f>IFERROR(MID(D1283,SEARCH("C_I_",D1283,1),3),"")</f>
        <v/>
      </c>
      <c r="O1283" s="3" t="str">
        <f>IF(AND(M1283="",N1283=""),"Extra","")</f>
        <v/>
      </c>
      <c r="P1283" s="3" t="str">
        <f>IF(Q1283=0,"TERCEIRO","MRS")</f>
        <v>MRS</v>
      </c>
      <c r="Q1283" s="8" t="str">
        <f>IFERROR(VLOOKUP(L1283,#REF!,4,0),"0,00")</f>
        <v>0,00</v>
      </c>
      <c r="R1283" s="9" t="s">
        <v>42</v>
      </c>
      <c r="S1283" s="9">
        <f>COUNTIF(D1283,"*_SEG_*")</f>
        <v>0</v>
      </c>
      <c r="T1283" s="9">
        <f>COUNTIF(D1283,"*_MAN_*")</f>
        <v>0</v>
      </c>
      <c r="U1283" s="9">
        <f>(RIGHT(D1283,4))*1</f>
        <v>180</v>
      </c>
      <c r="V1283" s="9" t="str">
        <f>IFERROR(VLOOKUP(I1283,#REF!,2,0),"Sinalização")</f>
        <v>Sinalização</v>
      </c>
    </row>
    <row r="1284" spans="1:22" x14ac:dyDescent="0.25">
      <c r="A1284" s="3" t="s">
        <v>22</v>
      </c>
      <c r="B1284" s="4">
        <v>23099336</v>
      </c>
      <c r="C1284" s="5" t="s">
        <v>23</v>
      </c>
      <c r="D1284" s="6" t="s">
        <v>213</v>
      </c>
      <c r="E1284" s="6" t="s">
        <v>25</v>
      </c>
      <c r="F1284" s="11">
        <v>46158</v>
      </c>
      <c r="G1284" s="6" t="s">
        <v>1079</v>
      </c>
      <c r="H1284" s="7" t="s">
        <v>26</v>
      </c>
      <c r="I1284" s="7" t="s">
        <v>362</v>
      </c>
      <c r="J1284" s="7" t="s">
        <v>215</v>
      </c>
      <c r="K1284" s="7" t="s">
        <v>29</v>
      </c>
      <c r="L1284" s="3" t="str">
        <f>E1284&amp;D1284</f>
        <v>E.SP.IPAEE_MAN_CONF_S_I_CIRCUITO VIA CA_0180</v>
      </c>
      <c r="M1284" s="3" t="str">
        <f>IFERROR(MID(D1284,SEARCH("S_I_",D1284,1),3),"")</f>
        <v>S_I</v>
      </c>
      <c r="N1284" s="3" t="str">
        <f>IFERROR(MID(D1284,SEARCH("C_I_",D1284,1),3),"")</f>
        <v/>
      </c>
      <c r="O1284" s="3" t="str">
        <f>IF(AND(M1284="",N1284=""),"Extra","")</f>
        <v/>
      </c>
      <c r="P1284" s="3" t="str">
        <f>IF(Q1284=0,"TERCEIRO","MRS")</f>
        <v>MRS</v>
      </c>
      <c r="Q1284" s="8" t="str">
        <f>IFERROR(VLOOKUP(L1284,#REF!,4,0),"0,00")</f>
        <v>0,00</v>
      </c>
      <c r="R1284" s="9" t="s">
        <v>98</v>
      </c>
      <c r="S1284" s="9">
        <f>COUNTIF(D1284,"*_SEG_*")</f>
        <v>0</v>
      </c>
      <c r="T1284" s="9">
        <f>COUNTIF(D1284,"*_MAN_*")</f>
        <v>1</v>
      </c>
      <c r="U1284" s="9">
        <f>(RIGHT(D1284,4))*1</f>
        <v>180</v>
      </c>
      <c r="V1284" s="9" t="str">
        <f>IFERROR(VLOOKUP(I1284,#REF!,2,0),"Sinalização")</f>
        <v>Sinalização</v>
      </c>
    </row>
    <row r="1285" spans="1:22" x14ac:dyDescent="0.25">
      <c r="A1285" s="3" t="s">
        <v>22</v>
      </c>
      <c r="B1285" s="4">
        <v>23099337</v>
      </c>
      <c r="C1285" s="5" t="s">
        <v>23</v>
      </c>
      <c r="D1285" s="6" t="s">
        <v>213</v>
      </c>
      <c r="E1285" s="6" t="s">
        <v>25</v>
      </c>
      <c r="F1285" s="11">
        <v>46158</v>
      </c>
      <c r="G1285" s="6" t="s">
        <v>1079</v>
      </c>
      <c r="H1285" s="7" t="s">
        <v>26</v>
      </c>
      <c r="I1285" s="7" t="s">
        <v>340</v>
      </c>
      <c r="J1285" s="7" t="s">
        <v>215</v>
      </c>
      <c r="K1285" s="7" t="s">
        <v>29</v>
      </c>
      <c r="L1285" s="3" t="str">
        <f>E1285&amp;D1285</f>
        <v>E.SP.IPAEE_MAN_CONF_S_I_CIRCUITO VIA CA_0180</v>
      </c>
      <c r="M1285" s="3" t="str">
        <f>IFERROR(MID(D1285,SEARCH("S_I_",D1285,1),3),"")</f>
        <v>S_I</v>
      </c>
      <c r="N1285" s="3" t="str">
        <f>IFERROR(MID(D1285,SEARCH("C_I_",D1285,1),3),"")</f>
        <v/>
      </c>
      <c r="O1285" s="3" t="str">
        <f>IF(AND(M1285="",N1285=""),"Extra","")</f>
        <v/>
      </c>
      <c r="P1285" s="3" t="str">
        <f>IF(Q1285=0,"TERCEIRO","MRS")</f>
        <v>MRS</v>
      </c>
      <c r="Q1285" s="8" t="str">
        <f>IFERROR(VLOOKUP(L1285,#REF!,4,0),"0,00")</f>
        <v>0,00</v>
      </c>
      <c r="R1285" s="9" t="s">
        <v>98</v>
      </c>
      <c r="S1285" s="9">
        <f>COUNTIF(D1285,"*_SEG_*")</f>
        <v>0</v>
      </c>
      <c r="T1285" s="9">
        <f>COUNTIF(D1285,"*_MAN_*")</f>
        <v>1</v>
      </c>
      <c r="U1285" s="9">
        <f>(RIGHT(D1285,4))*1</f>
        <v>180</v>
      </c>
      <c r="V1285" s="9" t="str">
        <f>IFERROR(VLOOKUP(I1285,#REF!,2,0),"Sinalização")</f>
        <v>Sinalização</v>
      </c>
    </row>
    <row r="1286" spans="1:22" x14ac:dyDescent="0.25">
      <c r="A1286" s="3" t="s">
        <v>22</v>
      </c>
      <c r="B1286" s="4">
        <v>23099338</v>
      </c>
      <c r="C1286" s="5" t="s">
        <v>23</v>
      </c>
      <c r="D1286" s="6" t="s">
        <v>220</v>
      </c>
      <c r="E1286" s="6" t="s">
        <v>25</v>
      </c>
      <c r="F1286" s="11">
        <v>46158</v>
      </c>
      <c r="G1286" s="6" t="s">
        <v>1079</v>
      </c>
      <c r="H1286" s="7" t="s">
        <v>26</v>
      </c>
      <c r="I1286" s="7" t="s">
        <v>363</v>
      </c>
      <c r="J1286" s="7" t="s">
        <v>222</v>
      </c>
      <c r="K1286" s="7" t="s">
        <v>29</v>
      </c>
      <c r="L1286" s="3" t="str">
        <f>E1286&amp;D1286</f>
        <v>E.SP.IPAEE_INS_SEG_S_I_SINAL L UNIFO CONT_0180</v>
      </c>
      <c r="M1286" s="3" t="str">
        <f>IFERROR(MID(D1286,SEARCH("S_I_",D1286,1),3),"")</f>
        <v>S_I</v>
      </c>
      <c r="N1286" s="3" t="str">
        <f>IFERROR(MID(D1286,SEARCH("C_I_",D1286,1),3),"")</f>
        <v/>
      </c>
      <c r="O1286" s="3" t="str">
        <f>IF(AND(M1286="",N1286=""),"Extra","")</f>
        <v/>
      </c>
      <c r="P1286" s="3" t="str">
        <f>IF(Q1286=0,"TERCEIRO","MRS")</f>
        <v>MRS</v>
      </c>
      <c r="Q1286" s="8" t="str">
        <f>IFERROR(VLOOKUP(L1286,#REF!,4,0),"0,00")</f>
        <v>0,00</v>
      </c>
      <c r="R1286" s="9" t="s">
        <v>30</v>
      </c>
      <c r="S1286" s="9">
        <f>COUNTIF(D1286,"*_SEG_*")</f>
        <v>1</v>
      </c>
      <c r="T1286" s="9">
        <f>COUNTIF(D1286,"*_MAN_*")</f>
        <v>0</v>
      </c>
      <c r="U1286" s="9">
        <f>(RIGHT(D1286,4))*1</f>
        <v>180</v>
      </c>
      <c r="V1286" s="9" t="str">
        <f>IFERROR(VLOOKUP(I1286,#REF!,2,0),"Sinalização")</f>
        <v>Sinalização</v>
      </c>
    </row>
    <row r="1287" spans="1:22" x14ac:dyDescent="0.25">
      <c r="A1287" s="3" t="s">
        <v>22</v>
      </c>
      <c r="B1287" s="4">
        <v>23099339</v>
      </c>
      <c r="C1287" s="5" t="s">
        <v>23</v>
      </c>
      <c r="D1287" s="6" t="s">
        <v>220</v>
      </c>
      <c r="E1287" s="6" t="s">
        <v>25</v>
      </c>
      <c r="F1287" s="11">
        <v>46158</v>
      </c>
      <c r="G1287" s="6" t="s">
        <v>1079</v>
      </c>
      <c r="H1287" s="7" t="s">
        <v>26</v>
      </c>
      <c r="I1287" s="7" t="s">
        <v>364</v>
      </c>
      <c r="J1287" s="7" t="s">
        <v>222</v>
      </c>
      <c r="K1287" s="7" t="s">
        <v>29</v>
      </c>
      <c r="L1287" s="3" t="str">
        <f>E1287&amp;D1287</f>
        <v>E.SP.IPAEE_INS_SEG_S_I_SINAL L UNIFO CONT_0180</v>
      </c>
      <c r="M1287" s="3" t="str">
        <f>IFERROR(MID(D1287,SEARCH("S_I_",D1287,1),3),"")</f>
        <v>S_I</v>
      </c>
      <c r="N1287" s="3" t="str">
        <f>IFERROR(MID(D1287,SEARCH("C_I_",D1287,1),3),"")</f>
        <v/>
      </c>
      <c r="O1287" s="3" t="str">
        <f>IF(AND(M1287="",N1287=""),"Extra","")</f>
        <v/>
      </c>
      <c r="P1287" s="3" t="str">
        <f>IF(Q1287=0,"TERCEIRO","MRS")</f>
        <v>MRS</v>
      </c>
      <c r="Q1287" s="8" t="str">
        <f>IFERROR(VLOOKUP(L1287,#REF!,4,0),"0,00")</f>
        <v>0,00</v>
      </c>
      <c r="R1287" s="9" t="s">
        <v>30</v>
      </c>
      <c r="S1287" s="9">
        <f>COUNTIF(D1287,"*_SEG_*")</f>
        <v>1</v>
      </c>
      <c r="T1287" s="9">
        <f>COUNTIF(D1287,"*_MAN_*")</f>
        <v>0</v>
      </c>
      <c r="U1287" s="9">
        <f>(RIGHT(D1287,4))*1</f>
        <v>180</v>
      </c>
      <c r="V1287" s="9" t="str">
        <f>IFERROR(VLOOKUP(I1287,#REF!,2,0),"Sinalização")</f>
        <v>Sinalização</v>
      </c>
    </row>
    <row r="1288" spans="1:22" x14ac:dyDescent="0.25">
      <c r="A1288" s="3" t="s">
        <v>22</v>
      </c>
      <c r="B1288" s="4">
        <v>23099340</v>
      </c>
      <c r="C1288" s="5" t="s">
        <v>23</v>
      </c>
      <c r="D1288" s="6" t="s">
        <v>220</v>
      </c>
      <c r="E1288" s="6" t="s">
        <v>25</v>
      </c>
      <c r="F1288" s="11">
        <v>46158</v>
      </c>
      <c r="G1288" s="6" t="s">
        <v>1079</v>
      </c>
      <c r="H1288" s="7" t="s">
        <v>26</v>
      </c>
      <c r="I1288" s="7" t="s">
        <v>365</v>
      </c>
      <c r="J1288" s="7" t="s">
        <v>222</v>
      </c>
      <c r="K1288" s="7" t="s">
        <v>29</v>
      </c>
      <c r="L1288" s="3" t="str">
        <f>E1288&amp;D1288</f>
        <v>E.SP.IPAEE_INS_SEG_S_I_SINAL L UNIFO CONT_0180</v>
      </c>
      <c r="M1288" s="3" t="str">
        <f>IFERROR(MID(D1288,SEARCH("S_I_",D1288,1),3),"")</f>
        <v>S_I</v>
      </c>
      <c r="N1288" s="3" t="str">
        <f>IFERROR(MID(D1288,SEARCH("C_I_",D1288,1),3),"")</f>
        <v/>
      </c>
      <c r="O1288" s="3" t="str">
        <f>IF(AND(M1288="",N1288=""),"Extra","")</f>
        <v/>
      </c>
      <c r="P1288" s="3" t="str">
        <f>IF(Q1288=0,"TERCEIRO","MRS")</f>
        <v>MRS</v>
      </c>
      <c r="Q1288" s="8" t="str">
        <f>IFERROR(VLOOKUP(L1288,#REF!,4,0),"0,00")</f>
        <v>0,00</v>
      </c>
      <c r="R1288" s="9" t="s">
        <v>30</v>
      </c>
      <c r="S1288" s="9">
        <f>COUNTIF(D1288,"*_SEG_*")</f>
        <v>1</v>
      </c>
      <c r="T1288" s="9">
        <f>COUNTIF(D1288,"*_MAN_*")</f>
        <v>0</v>
      </c>
      <c r="U1288" s="9">
        <f>(RIGHT(D1288,4))*1</f>
        <v>180</v>
      </c>
      <c r="V1288" s="9" t="str">
        <f>IFERROR(VLOOKUP(I1288,#REF!,2,0),"Sinalização")</f>
        <v>Sinalização</v>
      </c>
    </row>
    <row r="1289" spans="1:22" x14ac:dyDescent="0.25">
      <c r="A1289" s="3" t="s">
        <v>22</v>
      </c>
      <c r="B1289" s="4">
        <v>23099341</v>
      </c>
      <c r="C1289" s="5" t="s">
        <v>23</v>
      </c>
      <c r="D1289" s="6" t="s">
        <v>220</v>
      </c>
      <c r="E1289" s="6" t="s">
        <v>25</v>
      </c>
      <c r="F1289" s="11">
        <v>46158</v>
      </c>
      <c r="G1289" s="6" t="s">
        <v>1079</v>
      </c>
      <c r="H1289" s="7" t="s">
        <v>26</v>
      </c>
      <c r="I1289" s="7" t="s">
        <v>366</v>
      </c>
      <c r="J1289" s="7" t="s">
        <v>222</v>
      </c>
      <c r="K1289" s="7" t="s">
        <v>29</v>
      </c>
      <c r="L1289" s="3" t="str">
        <f>E1289&amp;D1289</f>
        <v>E.SP.IPAEE_INS_SEG_S_I_SINAL L UNIFO CONT_0180</v>
      </c>
      <c r="M1289" s="3" t="str">
        <f>IFERROR(MID(D1289,SEARCH("S_I_",D1289,1),3),"")</f>
        <v>S_I</v>
      </c>
      <c r="N1289" s="3" t="str">
        <f>IFERROR(MID(D1289,SEARCH("C_I_",D1289,1),3),"")</f>
        <v/>
      </c>
      <c r="O1289" s="3" t="str">
        <f>IF(AND(M1289="",N1289=""),"Extra","")</f>
        <v/>
      </c>
      <c r="P1289" s="3" t="str">
        <f>IF(Q1289=0,"TERCEIRO","MRS")</f>
        <v>MRS</v>
      </c>
      <c r="Q1289" s="8" t="str">
        <f>IFERROR(VLOOKUP(L1289,#REF!,4,0),"0,00")</f>
        <v>0,00</v>
      </c>
      <c r="R1289" s="9" t="s">
        <v>30</v>
      </c>
      <c r="S1289" s="9">
        <f>COUNTIF(D1289,"*_SEG_*")</f>
        <v>1</v>
      </c>
      <c r="T1289" s="9">
        <f>COUNTIF(D1289,"*_MAN_*")</f>
        <v>0</v>
      </c>
      <c r="U1289" s="9">
        <f>(RIGHT(D1289,4))*1</f>
        <v>180</v>
      </c>
      <c r="V1289" s="9" t="str">
        <f>IFERROR(VLOOKUP(I1289,#REF!,2,0),"Sinalização")</f>
        <v>Sinalização</v>
      </c>
    </row>
    <row r="1290" spans="1:22" x14ac:dyDescent="0.25">
      <c r="A1290" s="3" t="s">
        <v>22</v>
      </c>
      <c r="B1290" s="4">
        <v>23099342</v>
      </c>
      <c r="C1290" s="5" t="s">
        <v>23</v>
      </c>
      <c r="D1290" s="6" t="s">
        <v>220</v>
      </c>
      <c r="E1290" s="6" t="s">
        <v>25</v>
      </c>
      <c r="F1290" s="11">
        <v>46158</v>
      </c>
      <c r="G1290" s="6" t="s">
        <v>1079</v>
      </c>
      <c r="H1290" s="7" t="s">
        <v>26</v>
      </c>
      <c r="I1290" s="7" t="s">
        <v>367</v>
      </c>
      <c r="J1290" s="7" t="s">
        <v>222</v>
      </c>
      <c r="K1290" s="7" t="s">
        <v>29</v>
      </c>
      <c r="L1290" s="3" t="str">
        <f>E1290&amp;D1290</f>
        <v>E.SP.IPAEE_INS_SEG_S_I_SINAL L UNIFO CONT_0180</v>
      </c>
      <c r="M1290" s="3" t="str">
        <f>IFERROR(MID(D1290,SEARCH("S_I_",D1290,1),3),"")</f>
        <v>S_I</v>
      </c>
      <c r="N1290" s="3" t="str">
        <f>IFERROR(MID(D1290,SEARCH("C_I_",D1290,1),3),"")</f>
        <v/>
      </c>
      <c r="O1290" s="3" t="str">
        <f>IF(AND(M1290="",N1290=""),"Extra","")</f>
        <v/>
      </c>
      <c r="P1290" s="3" t="str">
        <f>IF(Q1290=0,"TERCEIRO","MRS")</f>
        <v>MRS</v>
      </c>
      <c r="Q1290" s="8" t="str">
        <f>IFERROR(VLOOKUP(L1290,#REF!,4,0),"0,00")</f>
        <v>0,00</v>
      </c>
      <c r="R1290" s="9" t="s">
        <v>30</v>
      </c>
      <c r="S1290" s="9">
        <f>COUNTIF(D1290,"*_SEG_*")</f>
        <v>1</v>
      </c>
      <c r="T1290" s="9">
        <f>COUNTIF(D1290,"*_MAN_*")</f>
        <v>0</v>
      </c>
      <c r="U1290" s="9">
        <f>(RIGHT(D1290,4))*1</f>
        <v>180</v>
      </c>
      <c r="V1290" s="9" t="str">
        <f>IFERROR(VLOOKUP(I1290,#REF!,2,0),"Sinalização")</f>
        <v>Sinalização</v>
      </c>
    </row>
    <row r="1291" spans="1:22" x14ac:dyDescent="0.25">
      <c r="A1291" s="3" t="s">
        <v>22</v>
      </c>
      <c r="B1291" s="4">
        <v>23099343</v>
      </c>
      <c r="C1291" s="5" t="s">
        <v>23</v>
      </c>
      <c r="D1291" s="6" t="s">
        <v>220</v>
      </c>
      <c r="E1291" s="6" t="s">
        <v>25</v>
      </c>
      <c r="F1291" s="11">
        <v>46158</v>
      </c>
      <c r="G1291" s="6" t="s">
        <v>1079</v>
      </c>
      <c r="H1291" s="7" t="s">
        <v>26</v>
      </c>
      <c r="I1291" s="7" t="s">
        <v>368</v>
      </c>
      <c r="J1291" s="7" t="s">
        <v>222</v>
      </c>
      <c r="K1291" s="7" t="s">
        <v>29</v>
      </c>
      <c r="L1291" s="3" t="str">
        <f>E1291&amp;D1291</f>
        <v>E.SP.IPAEE_INS_SEG_S_I_SINAL L UNIFO CONT_0180</v>
      </c>
      <c r="M1291" s="3" t="str">
        <f>IFERROR(MID(D1291,SEARCH("S_I_",D1291,1),3),"")</f>
        <v>S_I</v>
      </c>
      <c r="N1291" s="3" t="str">
        <f>IFERROR(MID(D1291,SEARCH("C_I_",D1291,1),3),"")</f>
        <v/>
      </c>
      <c r="O1291" s="3" t="str">
        <f>IF(AND(M1291="",N1291=""),"Extra","")</f>
        <v/>
      </c>
      <c r="P1291" s="3" t="str">
        <f>IF(Q1291=0,"TERCEIRO","MRS")</f>
        <v>MRS</v>
      </c>
      <c r="Q1291" s="8" t="str">
        <f>IFERROR(VLOOKUP(L1291,#REF!,4,0),"0,00")</f>
        <v>0,00</v>
      </c>
      <c r="R1291" s="9" t="s">
        <v>30</v>
      </c>
      <c r="S1291" s="9">
        <f>COUNTIF(D1291,"*_SEG_*")</f>
        <v>1</v>
      </c>
      <c r="T1291" s="9">
        <f>COUNTIF(D1291,"*_MAN_*")</f>
        <v>0</v>
      </c>
      <c r="U1291" s="9">
        <f>(RIGHT(D1291,4))*1</f>
        <v>180</v>
      </c>
      <c r="V1291" s="9" t="str">
        <f>IFERROR(VLOOKUP(I1291,#REF!,2,0),"Sinalização")</f>
        <v>Sinalização</v>
      </c>
    </row>
    <row r="1292" spans="1:22" x14ac:dyDescent="0.25">
      <c r="A1292" s="3" t="s">
        <v>22</v>
      </c>
      <c r="B1292" s="4">
        <v>23099370</v>
      </c>
      <c r="C1292" s="5" t="s">
        <v>23</v>
      </c>
      <c r="D1292" s="6" t="s">
        <v>213</v>
      </c>
      <c r="E1292" s="6" t="s">
        <v>25</v>
      </c>
      <c r="F1292" s="11">
        <v>46158</v>
      </c>
      <c r="G1292" s="6" t="s">
        <v>1079</v>
      </c>
      <c r="H1292" s="7" t="s">
        <v>26</v>
      </c>
      <c r="I1292" s="7" t="s">
        <v>369</v>
      </c>
      <c r="J1292" s="7" t="s">
        <v>215</v>
      </c>
      <c r="K1292" s="7" t="s">
        <v>29</v>
      </c>
      <c r="L1292" s="3" t="str">
        <f>E1292&amp;D1292</f>
        <v>E.SP.IPAEE_MAN_CONF_S_I_CIRCUITO VIA CA_0180</v>
      </c>
      <c r="M1292" s="3" t="str">
        <f>IFERROR(MID(D1292,SEARCH("S_I_",D1292,1),3),"")</f>
        <v>S_I</v>
      </c>
      <c r="N1292" s="3" t="str">
        <f>IFERROR(MID(D1292,SEARCH("C_I_",D1292,1),3),"")</f>
        <v/>
      </c>
      <c r="O1292" s="3" t="str">
        <f>IF(AND(M1292="",N1292=""),"Extra","")</f>
        <v/>
      </c>
      <c r="P1292" s="3" t="str">
        <f>IF(Q1292=0,"TERCEIRO","MRS")</f>
        <v>MRS</v>
      </c>
      <c r="Q1292" s="8" t="str">
        <f>IFERROR(VLOOKUP(L1292,#REF!,4,0),"0,00")</f>
        <v>0,00</v>
      </c>
      <c r="R1292" s="9" t="s">
        <v>98</v>
      </c>
      <c r="S1292" s="9">
        <f>COUNTIF(D1292,"*_SEG_*")</f>
        <v>0</v>
      </c>
      <c r="T1292" s="9">
        <f>COUNTIF(D1292,"*_MAN_*")</f>
        <v>1</v>
      </c>
      <c r="U1292" s="9">
        <f>(RIGHT(D1292,4))*1</f>
        <v>180</v>
      </c>
      <c r="V1292" s="9" t="str">
        <f>IFERROR(VLOOKUP(I1292,#REF!,2,0),"Sinalização")</f>
        <v>Sinalização</v>
      </c>
    </row>
    <row r="1293" spans="1:22" x14ac:dyDescent="0.25">
      <c r="A1293" s="3" t="s">
        <v>22</v>
      </c>
      <c r="B1293" s="4">
        <v>23099372</v>
      </c>
      <c r="C1293" s="5" t="s">
        <v>23</v>
      </c>
      <c r="D1293" s="6" t="s">
        <v>213</v>
      </c>
      <c r="E1293" s="6" t="s">
        <v>25</v>
      </c>
      <c r="F1293" s="11">
        <v>46158</v>
      </c>
      <c r="G1293" s="6" t="s">
        <v>1079</v>
      </c>
      <c r="H1293" s="7" t="s">
        <v>26</v>
      </c>
      <c r="I1293" s="7" t="s">
        <v>370</v>
      </c>
      <c r="J1293" s="7" t="s">
        <v>215</v>
      </c>
      <c r="K1293" s="7" t="s">
        <v>29</v>
      </c>
      <c r="L1293" s="3" t="str">
        <f>E1293&amp;D1293</f>
        <v>E.SP.IPAEE_MAN_CONF_S_I_CIRCUITO VIA CA_0180</v>
      </c>
      <c r="M1293" s="3" t="str">
        <f>IFERROR(MID(D1293,SEARCH("S_I_",D1293,1),3),"")</f>
        <v>S_I</v>
      </c>
      <c r="N1293" s="3" t="str">
        <f>IFERROR(MID(D1293,SEARCH("C_I_",D1293,1),3),"")</f>
        <v/>
      </c>
      <c r="O1293" s="3" t="str">
        <f>IF(AND(M1293="",N1293=""),"Extra","")</f>
        <v/>
      </c>
      <c r="P1293" s="3" t="str">
        <f>IF(Q1293=0,"TERCEIRO","MRS")</f>
        <v>MRS</v>
      </c>
      <c r="Q1293" s="8" t="str">
        <f>IFERROR(VLOOKUP(L1293,#REF!,4,0),"0,00")</f>
        <v>0,00</v>
      </c>
      <c r="R1293" s="9" t="s">
        <v>98</v>
      </c>
      <c r="S1293" s="9">
        <f>COUNTIF(D1293,"*_SEG_*")</f>
        <v>0</v>
      </c>
      <c r="T1293" s="9">
        <f>COUNTIF(D1293,"*_MAN_*")</f>
        <v>1</v>
      </c>
      <c r="U1293" s="9">
        <f>(RIGHT(D1293,4))*1</f>
        <v>180</v>
      </c>
      <c r="V1293" s="9" t="str">
        <f>IFERROR(VLOOKUP(I1293,#REF!,2,0),"Sinalização")</f>
        <v>Sinalização</v>
      </c>
    </row>
    <row r="1294" spans="1:22" x14ac:dyDescent="0.25">
      <c r="A1294" s="3" t="s">
        <v>22</v>
      </c>
      <c r="B1294" s="4">
        <v>23099378</v>
      </c>
      <c r="C1294" s="5" t="s">
        <v>23</v>
      </c>
      <c r="D1294" s="6" t="s">
        <v>213</v>
      </c>
      <c r="E1294" s="6" t="s">
        <v>25</v>
      </c>
      <c r="F1294" s="11">
        <v>46158</v>
      </c>
      <c r="G1294" s="6" t="s">
        <v>1079</v>
      </c>
      <c r="H1294" s="7" t="s">
        <v>26</v>
      </c>
      <c r="I1294" s="7" t="s">
        <v>341</v>
      </c>
      <c r="J1294" s="7" t="s">
        <v>215</v>
      </c>
      <c r="K1294" s="7" t="s">
        <v>29</v>
      </c>
      <c r="L1294" s="3" t="str">
        <f>E1294&amp;D1294</f>
        <v>E.SP.IPAEE_MAN_CONF_S_I_CIRCUITO VIA CA_0180</v>
      </c>
      <c r="M1294" s="3" t="str">
        <f>IFERROR(MID(D1294,SEARCH("S_I_",D1294,1),3),"")</f>
        <v>S_I</v>
      </c>
      <c r="N1294" s="3" t="str">
        <f>IFERROR(MID(D1294,SEARCH("C_I_",D1294,1),3),"")</f>
        <v/>
      </c>
      <c r="O1294" s="3" t="str">
        <f>IF(AND(M1294="",N1294=""),"Extra","")</f>
        <v/>
      </c>
      <c r="P1294" s="3" t="str">
        <f>IF(Q1294=0,"TERCEIRO","MRS")</f>
        <v>MRS</v>
      </c>
      <c r="Q1294" s="8" t="str">
        <f>IFERROR(VLOOKUP(L1294,#REF!,4,0),"0,00")</f>
        <v>0,00</v>
      </c>
      <c r="R1294" s="9" t="s">
        <v>98</v>
      </c>
      <c r="S1294" s="9">
        <f>COUNTIF(D1294,"*_SEG_*")</f>
        <v>0</v>
      </c>
      <c r="T1294" s="9">
        <f>COUNTIF(D1294,"*_MAN_*")</f>
        <v>1</v>
      </c>
      <c r="U1294" s="9">
        <f>(RIGHT(D1294,4))*1</f>
        <v>180</v>
      </c>
      <c r="V1294" s="9" t="str">
        <f>IFERROR(VLOOKUP(I1294,#REF!,2,0),"Sinalização")</f>
        <v>Sinalização</v>
      </c>
    </row>
    <row r="1295" spans="1:22" x14ac:dyDescent="0.25">
      <c r="A1295" s="3" t="s">
        <v>22</v>
      </c>
      <c r="B1295" s="4">
        <v>23099476</v>
      </c>
      <c r="C1295" s="5" t="s">
        <v>23</v>
      </c>
      <c r="D1295" s="6" t="s">
        <v>371</v>
      </c>
      <c r="E1295" s="6" t="s">
        <v>25</v>
      </c>
      <c r="F1295" s="11">
        <v>46158</v>
      </c>
      <c r="G1295" s="6" t="s">
        <v>1079</v>
      </c>
      <c r="H1295" s="7" t="s">
        <v>26</v>
      </c>
      <c r="I1295" s="7" t="s">
        <v>372</v>
      </c>
      <c r="J1295" s="7" t="s">
        <v>373</v>
      </c>
      <c r="K1295" s="7" t="s">
        <v>29</v>
      </c>
      <c r="L1295" s="3" t="str">
        <f>E1295&amp;D1295</f>
        <v>E.SP.IPAEE_INS_SEG_S_I_SINAL L MULTI AUT_0180</v>
      </c>
      <c r="M1295" s="3" t="str">
        <f>IFERROR(MID(D1295,SEARCH("S_I_",D1295,1),3),"")</f>
        <v>S_I</v>
      </c>
      <c r="N1295" s="3" t="str">
        <f>IFERROR(MID(D1295,SEARCH("C_I_",D1295,1),3),"")</f>
        <v/>
      </c>
      <c r="O1295" s="3" t="str">
        <f>IF(AND(M1295="",N1295=""),"Extra","")</f>
        <v/>
      </c>
      <c r="P1295" s="3" t="str">
        <f>IF(Q1295=0,"TERCEIRO","MRS")</f>
        <v>MRS</v>
      </c>
      <c r="Q1295" s="8" t="str">
        <f>IFERROR(VLOOKUP(L1295,#REF!,4,0),"0,00")</f>
        <v>0,00</v>
      </c>
      <c r="R1295" s="9" t="s">
        <v>30</v>
      </c>
      <c r="S1295" s="9">
        <f>COUNTIF(D1295,"*_SEG_*")</f>
        <v>1</v>
      </c>
      <c r="T1295" s="9">
        <f>COUNTIF(D1295,"*_MAN_*")</f>
        <v>0</v>
      </c>
      <c r="U1295" s="9">
        <f>(RIGHT(D1295,4))*1</f>
        <v>180</v>
      </c>
      <c r="V1295" s="9" t="str">
        <f>IFERROR(VLOOKUP(I1295,#REF!,2,0),"Sinalização")</f>
        <v>Sinalização</v>
      </c>
    </row>
    <row r="1296" spans="1:22" x14ac:dyDescent="0.25">
      <c r="A1296" s="3" t="s">
        <v>22</v>
      </c>
      <c r="B1296" s="4">
        <v>23099527</v>
      </c>
      <c r="C1296" s="5" t="s">
        <v>23</v>
      </c>
      <c r="D1296" s="6" t="s">
        <v>240</v>
      </c>
      <c r="E1296" s="6" t="s">
        <v>25</v>
      </c>
      <c r="F1296" s="11">
        <v>46158</v>
      </c>
      <c r="G1296" s="6" t="s">
        <v>1079</v>
      </c>
      <c r="H1296" s="7" t="s">
        <v>26</v>
      </c>
      <c r="I1296" s="7" t="s">
        <v>374</v>
      </c>
      <c r="J1296" s="7" t="s">
        <v>215</v>
      </c>
      <c r="K1296" s="7" t="s">
        <v>29</v>
      </c>
      <c r="L1296" s="3" t="str">
        <f>E1296&amp;D1296</f>
        <v>E.SP.IPAEE_MAN_CONF_S_I_CDV DETETORA CA_0180</v>
      </c>
      <c r="M1296" s="3" t="str">
        <f>IFERROR(MID(D1296,SEARCH("S_I_",D1296,1),3),"")</f>
        <v>S_I</v>
      </c>
      <c r="N1296" s="3" t="str">
        <f>IFERROR(MID(D1296,SEARCH("C_I_",D1296,1),3),"")</f>
        <v/>
      </c>
      <c r="O1296" s="3" t="str">
        <f>IF(AND(M1296="",N1296=""),"Extra","")</f>
        <v/>
      </c>
      <c r="P1296" s="3" t="str">
        <f>IF(Q1296=0,"TERCEIRO","MRS")</f>
        <v>MRS</v>
      </c>
      <c r="Q1296" s="8" t="str">
        <f>IFERROR(VLOOKUP(L1296,#REF!,4,0),"0,00")</f>
        <v>0,00</v>
      </c>
      <c r="R1296" s="9" t="s">
        <v>98</v>
      </c>
      <c r="S1296" s="9">
        <f>COUNTIF(D1296,"*_SEG_*")</f>
        <v>0</v>
      </c>
      <c r="T1296" s="9">
        <f>COUNTIF(D1296,"*_MAN_*")</f>
        <v>1</v>
      </c>
      <c r="U1296" s="9">
        <f>(RIGHT(D1296,4))*1</f>
        <v>180</v>
      </c>
      <c r="V1296" s="9" t="str">
        <f>IFERROR(VLOOKUP(I1296,#REF!,2,0),"Sinalização")</f>
        <v>Sinalização</v>
      </c>
    </row>
    <row r="1297" spans="1:22" x14ac:dyDescent="0.25">
      <c r="A1297" s="3" t="s">
        <v>22</v>
      </c>
      <c r="B1297" s="4">
        <v>23099529</v>
      </c>
      <c r="C1297" s="5" t="s">
        <v>23</v>
      </c>
      <c r="D1297" s="6" t="s">
        <v>240</v>
      </c>
      <c r="E1297" s="6" t="s">
        <v>25</v>
      </c>
      <c r="F1297" s="11">
        <v>46158</v>
      </c>
      <c r="G1297" s="6" t="s">
        <v>1079</v>
      </c>
      <c r="H1297" s="7" t="s">
        <v>26</v>
      </c>
      <c r="I1297" s="7" t="s">
        <v>375</v>
      </c>
      <c r="J1297" s="7" t="s">
        <v>215</v>
      </c>
      <c r="K1297" s="7" t="s">
        <v>29</v>
      </c>
      <c r="L1297" s="3" t="str">
        <f>E1297&amp;D1297</f>
        <v>E.SP.IPAEE_MAN_CONF_S_I_CDV DETETORA CA_0180</v>
      </c>
      <c r="M1297" s="3" t="str">
        <f>IFERROR(MID(D1297,SEARCH("S_I_",D1297,1),3),"")</f>
        <v>S_I</v>
      </c>
      <c r="N1297" s="3" t="str">
        <f>IFERROR(MID(D1297,SEARCH("C_I_",D1297,1),3),"")</f>
        <v/>
      </c>
      <c r="O1297" s="3" t="str">
        <f>IF(AND(M1297="",N1297=""),"Extra","")</f>
        <v/>
      </c>
      <c r="P1297" s="3" t="str">
        <f>IF(Q1297=0,"TERCEIRO","MRS")</f>
        <v>MRS</v>
      </c>
      <c r="Q1297" s="8" t="str">
        <f>IFERROR(VLOOKUP(L1297,#REF!,4,0),"0,00")</f>
        <v>0,00</v>
      </c>
      <c r="R1297" s="9" t="s">
        <v>98</v>
      </c>
      <c r="S1297" s="9">
        <f>COUNTIF(D1297,"*_SEG_*")</f>
        <v>0</v>
      </c>
      <c r="T1297" s="9">
        <f>COUNTIF(D1297,"*_MAN_*")</f>
        <v>1</v>
      </c>
      <c r="U1297" s="9">
        <f>(RIGHT(D1297,4))*1</f>
        <v>180</v>
      </c>
      <c r="V1297" s="9" t="str">
        <f>IFERROR(VLOOKUP(I1297,#REF!,2,0),"Sinalização")</f>
        <v>Sinalização</v>
      </c>
    </row>
    <row r="1298" spans="1:22" x14ac:dyDescent="0.25">
      <c r="A1298" s="3" t="s">
        <v>22</v>
      </c>
      <c r="B1298" s="4">
        <v>23099710</v>
      </c>
      <c r="C1298" s="5" t="s">
        <v>23</v>
      </c>
      <c r="D1298" s="6" t="s">
        <v>236</v>
      </c>
      <c r="E1298" s="6" t="s">
        <v>25</v>
      </c>
      <c r="F1298" s="11">
        <v>46158</v>
      </c>
      <c r="G1298" s="6" t="s">
        <v>1079</v>
      </c>
      <c r="H1298" s="7" t="s">
        <v>26</v>
      </c>
      <c r="I1298" s="7" t="s">
        <v>363</v>
      </c>
      <c r="J1298" s="7" t="s">
        <v>237</v>
      </c>
      <c r="K1298" s="7" t="s">
        <v>29</v>
      </c>
      <c r="L1298" s="3" t="str">
        <f>E1298&amp;D1298</f>
        <v>E.SP.IPAEE_INS_CONF_S_I_SINAL L UNIFO CONT_0180</v>
      </c>
      <c r="M1298" s="3" t="str">
        <f>IFERROR(MID(D1298,SEARCH("S_I_",D1298,1),3),"")</f>
        <v>S_I</v>
      </c>
      <c r="N1298" s="3" t="str">
        <f>IFERROR(MID(D1298,SEARCH("C_I_",D1298,1),3),"")</f>
        <v/>
      </c>
      <c r="O1298" s="3" t="str">
        <f>IF(AND(M1298="",N1298=""),"Extra","")</f>
        <v/>
      </c>
      <c r="P1298" s="3" t="str">
        <f>IF(Q1298=0,"TERCEIRO","MRS")</f>
        <v>MRS</v>
      </c>
      <c r="Q1298" s="8" t="str">
        <f>IFERROR(VLOOKUP(L1298,#REF!,4,0),"0,00")</f>
        <v>0,00</v>
      </c>
      <c r="R1298" s="9" t="s">
        <v>98</v>
      </c>
      <c r="S1298" s="9">
        <f>COUNTIF(D1298,"*_SEG_*")</f>
        <v>0</v>
      </c>
      <c r="T1298" s="9">
        <f>COUNTIF(D1298,"*_MAN_*")</f>
        <v>0</v>
      </c>
      <c r="U1298" s="9">
        <f>(RIGHT(D1298,4))*1</f>
        <v>180</v>
      </c>
      <c r="V1298" s="9" t="str">
        <f>IFERROR(VLOOKUP(I1298,#REF!,2,0),"Sinalização")</f>
        <v>Sinalização</v>
      </c>
    </row>
    <row r="1299" spans="1:22" x14ac:dyDescent="0.25">
      <c r="A1299" s="3" t="s">
        <v>22</v>
      </c>
      <c r="B1299" s="4">
        <v>23099721</v>
      </c>
      <c r="C1299" s="5" t="s">
        <v>23</v>
      </c>
      <c r="D1299" s="6" t="s">
        <v>236</v>
      </c>
      <c r="E1299" s="6" t="s">
        <v>25</v>
      </c>
      <c r="F1299" s="11">
        <v>46158</v>
      </c>
      <c r="G1299" s="6" t="s">
        <v>1079</v>
      </c>
      <c r="H1299" s="7" t="s">
        <v>26</v>
      </c>
      <c r="I1299" s="7" t="s">
        <v>364</v>
      </c>
      <c r="J1299" s="7" t="s">
        <v>237</v>
      </c>
      <c r="K1299" s="7" t="s">
        <v>29</v>
      </c>
      <c r="L1299" s="3" t="str">
        <f>E1299&amp;D1299</f>
        <v>E.SP.IPAEE_INS_CONF_S_I_SINAL L UNIFO CONT_0180</v>
      </c>
      <c r="M1299" s="3" t="str">
        <f>IFERROR(MID(D1299,SEARCH("S_I_",D1299,1),3),"")</f>
        <v>S_I</v>
      </c>
      <c r="N1299" s="3" t="str">
        <f>IFERROR(MID(D1299,SEARCH("C_I_",D1299,1),3),"")</f>
        <v/>
      </c>
      <c r="O1299" s="3" t="str">
        <f>IF(AND(M1299="",N1299=""),"Extra","")</f>
        <v/>
      </c>
      <c r="P1299" s="3" t="str">
        <f>IF(Q1299=0,"TERCEIRO","MRS")</f>
        <v>MRS</v>
      </c>
      <c r="Q1299" s="8" t="str">
        <f>IFERROR(VLOOKUP(L1299,#REF!,4,0),"0,00")</f>
        <v>0,00</v>
      </c>
      <c r="R1299" s="9" t="s">
        <v>98</v>
      </c>
      <c r="S1299" s="9">
        <f>COUNTIF(D1299,"*_SEG_*")</f>
        <v>0</v>
      </c>
      <c r="T1299" s="9">
        <f>COUNTIF(D1299,"*_MAN_*")</f>
        <v>0</v>
      </c>
      <c r="U1299" s="9">
        <f>(RIGHT(D1299,4))*1</f>
        <v>180</v>
      </c>
      <c r="V1299" s="9" t="str">
        <f>IFERROR(VLOOKUP(I1299,#REF!,2,0),"Sinalização")</f>
        <v>Sinalização</v>
      </c>
    </row>
    <row r="1300" spans="1:22" x14ac:dyDescent="0.25">
      <c r="A1300" s="3" t="s">
        <v>22</v>
      </c>
      <c r="B1300" s="4">
        <v>23099754</v>
      </c>
      <c r="C1300" s="5" t="s">
        <v>23</v>
      </c>
      <c r="D1300" s="6" t="s">
        <v>259</v>
      </c>
      <c r="E1300" s="6" t="s">
        <v>25</v>
      </c>
      <c r="F1300" s="11">
        <v>46158</v>
      </c>
      <c r="G1300" s="6" t="s">
        <v>1079</v>
      </c>
      <c r="H1300" s="7" t="s">
        <v>26</v>
      </c>
      <c r="I1300" s="7" t="s">
        <v>376</v>
      </c>
      <c r="J1300" s="7" t="s">
        <v>261</v>
      </c>
      <c r="K1300" s="7" t="s">
        <v>29</v>
      </c>
      <c r="L1300" s="3" t="str">
        <f>E1300&amp;D1300</f>
        <v>E.SP.IPAEE_INS_SEG_S_I_BL INT RELÉ S/ BAT_0180</v>
      </c>
      <c r="M1300" s="3" t="str">
        <f>IFERROR(MID(D1300,SEARCH("S_I_",D1300,1),3),"")</f>
        <v>S_I</v>
      </c>
      <c r="N1300" s="3" t="str">
        <f>IFERROR(MID(D1300,SEARCH("C_I_",D1300,1),3),"")</f>
        <v/>
      </c>
      <c r="O1300" s="3" t="str">
        <f>IF(AND(M1300="",N1300=""),"Extra","")</f>
        <v/>
      </c>
      <c r="P1300" s="3" t="str">
        <f>IF(Q1300=0,"TERCEIRO","MRS")</f>
        <v>MRS</v>
      </c>
      <c r="Q1300" s="8" t="str">
        <f>IFERROR(VLOOKUP(L1300,#REF!,4,0),"0,00")</f>
        <v>0,00</v>
      </c>
      <c r="R1300" s="9" t="s">
        <v>30</v>
      </c>
      <c r="S1300" s="9">
        <f>COUNTIF(D1300,"*_SEG_*")</f>
        <v>1</v>
      </c>
      <c r="T1300" s="9">
        <f>COUNTIF(D1300,"*_MAN_*")</f>
        <v>0</v>
      </c>
      <c r="U1300" s="9">
        <f>(RIGHT(D1300,4))*1</f>
        <v>180</v>
      </c>
      <c r="V1300" s="9" t="str">
        <f>IFERROR(VLOOKUP(I1300,#REF!,2,0),"Sinalização")</f>
        <v>Sinalização</v>
      </c>
    </row>
    <row r="1301" spans="1:22" x14ac:dyDescent="0.25">
      <c r="A1301" s="3" t="s">
        <v>22</v>
      </c>
      <c r="B1301" s="4">
        <v>23099755</v>
      </c>
      <c r="C1301" s="5" t="s">
        <v>23</v>
      </c>
      <c r="D1301" s="6" t="s">
        <v>259</v>
      </c>
      <c r="E1301" s="6" t="s">
        <v>25</v>
      </c>
      <c r="F1301" s="11">
        <v>46158</v>
      </c>
      <c r="G1301" s="6" t="s">
        <v>1079</v>
      </c>
      <c r="H1301" s="7" t="s">
        <v>26</v>
      </c>
      <c r="I1301" s="7" t="s">
        <v>377</v>
      </c>
      <c r="J1301" s="7" t="s">
        <v>261</v>
      </c>
      <c r="K1301" s="7" t="s">
        <v>29</v>
      </c>
      <c r="L1301" s="3" t="str">
        <f>E1301&amp;D1301</f>
        <v>E.SP.IPAEE_INS_SEG_S_I_BL INT RELÉ S/ BAT_0180</v>
      </c>
      <c r="M1301" s="3" t="str">
        <f>IFERROR(MID(D1301,SEARCH("S_I_",D1301,1),3),"")</f>
        <v>S_I</v>
      </c>
      <c r="N1301" s="3" t="str">
        <f>IFERROR(MID(D1301,SEARCH("C_I_",D1301,1),3),"")</f>
        <v/>
      </c>
      <c r="O1301" s="3" t="str">
        <f>IF(AND(M1301="",N1301=""),"Extra","")</f>
        <v/>
      </c>
      <c r="P1301" s="3" t="str">
        <f>IF(Q1301=0,"TERCEIRO","MRS")</f>
        <v>MRS</v>
      </c>
      <c r="Q1301" s="8" t="str">
        <f>IFERROR(VLOOKUP(L1301,#REF!,4,0),"0,00")</f>
        <v>0,00</v>
      </c>
      <c r="R1301" s="9" t="s">
        <v>30</v>
      </c>
      <c r="S1301" s="9">
        <f>COUNTIF(D1301,"*_SEG_*")</f>
        <v>1</v>
      </c>
      <c r="T1301" s="9">
        <f>COUNTIF(D1301,"*_MAN_*")</f>
        <v>0</v>
      </c>
      <c r="U1301" s="9">
        <f>(RIGHT(D1301,4))*1</f>
        <v>180</v>
      </c>
      <c r="V1301" s="9" t="str">
        <f>IFERROR(VLOOKUP(I1301,#REF!,2,0),"Sinalização")</f>
        <v>Sinalização</v>
      </c>
    </row>
    <row r="1302" spans="1:22" x14ac:dyDescent="0.25">
      <c r="A1302" s="3" t="s">
        <v>22</v>
      </c>
      <c r="B1302" s="4">
        <v>23099756</v>
      </c>
      <c r="C1302" s="5" t="s">
        <v>23</v>
      </c>
      <c r="D1302" s="6" t="s">
        <v>259</v>
      </c>
      <c r="E1302" s="6" t="s">
        <v>25</v>
      </c>
      <c r="F1302" s="11">
        <v>46158</v>
      </c>
      <c r="G1302" s="6" t="s">
        <v>1079</v>
      </c>
      <c r="H1302" s="7" t="s">
        <v>26</v>
      </c>
      <c r="I1302" s="7" t="s">
        <v>378</v>
      </c>
      <c r="J1302" s="7" t="s">
        <v>261</v>
      </c>
      <c r="K1302" s="7" t="s">
        <v>29</v>
      </c>
      <c r="L1302" s="3" t="str">
        <f>E1302&amp;D1302</f>
        <v>E.SP.IPAEE_INS_SEG_S_I_BL INT RELÉ S/ BAT_0180</v>
      </c>
      <c r="M1302" s="3" t="str">
        <f>IFERROR(MID(D1302,SEARCH("S_I_",D1302,1),3),"")</f>
        <v>S_I</v>
      </c>
      <c r="N1302" s="3" t="str">
        <f>IFERROR(MID(D1302,SEARCH("C_I_",D1302,1),3),"")</f>
        <v/>
      </c>
      <c r="O1302" s="3" t="str">
        <f>IF(AND(M1302="",N1302=""),"Extra","")</f>
        <v/>
      </c>
      <c r="P1302" s="3" t="str">
        <f>IF(Q1302=0,"TERCEIRO","MRS")</f>
        <v>MRS</v>
      </c>
      <c r="Q1302" s="8" t="str">
        <f>IFERROR(VLOOKUP(L1302,#REF!,4,0),"0,00")</f>
        <v>0,00</v>
      </c>
      <c r="R1302" s="9" t="s">
        <v>30</v>
      </c>
      <c r="S1302" s="9">
        <f>COUNTIF(D1302,"*_SEG_*")</f>
        <v>1</v>
      </c>
      <c r="T1302" s="9">
        <f>COUNTIF(D1302,"*_MAN_*")</f>
        <v>0</v>
      </c>
      <c r="U1302" s="9">
        <f>(RIGHT(D1302,4))*1</f>
        <v>180</v>
      </c>
      <c r="V1302" s="9" t="str">
        <f>IFERROR(VLOOKUP(I1302,#REF!,2,0),"Sinalização")</f>
        <v>Sinalização</v>
      </c>
    </row>
    <row r="1303" spans="1:22" x14ac:dyDescent="0.25">
      <c r="A1303" s="3" t="s">
        <v>22</v>
      </c>
      <c r="B1303" s="4">
        <v>23099757</v>
      </c>
      <c r="C1303" s="5" t="s">
        <v>23</v>
      </c>
      <c r="D1303" s="6" t="s">
        <v>259</v>
      </c>
      <c r="E1303" s="6" t="s">
        <v>25</v>
      </c>
      <c r="F1303" s="11">
        <v>46158</v>
      </c>
      <c r="G1303" s="6" t="s">
        <v>1079</v>
      </c>
      <c r="H1303" s="7" t="s">
        <v>26</v>
      </c>
      <c r="I1303" s="7" t="s">
        <v>379</v>
      </c>
      <c r="J1303" s="7" t="s">
        <v>261</v>
      </c>
      <c r="K1303" s="7" t="s">
        <v>29</v>
      </c>
      <c r="L1303" s="3" t="str">
        <f>E1303&amp;D1303</f>
        <v>E.SP.IPAEE_INS_SEG_S_I_BL INT RELÉ S/ BAT_0180</v>
      </c>
      <c r="M1303" s="3" t="str">
        <f>IFERROR(MID(D1303,SEARCH("S_I_",D1303,1),3),"")</f>
        <v>S_I</v>
      </c>
      <c r="N1303" s="3" t="str">
        <f>IFERROR(MID(D1303,SEARCH("C_I_",D1303,1),3),"")</f>
        <v/>
      </c>
      <c r="O1303" s="3" t="str">
        <f>IF(AND(M1303="",N1303=""),"Extra","")</f>
        <v/>
      </c>
      <c r="P1303" s="3" t="str">
        <f>IF(Q1303=0,"TERCEIRO","MRS")</f>
        <v>MRS</v>
      </c>
      <c r="Q1303" s="8" t="str">
        <f>IFERROR(VLOOKUP(L1303,#REF!,4,0),"0,00")</f>
        <v>0,00</v>
      </c>
      <c r="R1303" s="9" t="s">
        <v>30</v>
      </c>
      <c r="S1303" s="9">
        <f>COUNTIF(D1303,"*_SEG_*")</f>
        <v>1</v>
      </c>
      <c r="T1303" s="9">
        <f>COUNTIF(D1303,"*_MAN_*")</f>
        <v>0</v>
      </c>
      <c r="U1303" s="9">
        <f>(RIGHT(D1303,4))*1</f>
        <v>180</v>
      </c>
      <c r="V1303" s="9" t="str">
        <f>IFERROR(VLOOKUP(I1303,#REF!,2,0),"Sinalização")</f>
        <v>Sinalização</v>
      </c>
    </row>
    <row r="1304" spans="1:22" x14ac:dyDescent="0.25">
      <c r="A1304" s="3" t="s">
        <v>22</v>
      </c>
      <c r="B1304" s="4">
        <v>23100148</v>
      </c>
      <c r="C1304" s="5" t="s">
        <v>23</v>
      </c>
      <c r="D1304" s="6" t="s">
        <v>274</v>
      </c>
      <c r="E1304" s="6" t="s">
        <v>25</v>
      </c>
      <c r="F1304" s="11">
        <v>46158</v>
      </c>
      <c r="G1304" s="6" t="s">
        <v>1079</v>
      </c>
      <c r="H1304" s="7" t="s">
        <v>26</v>
      </c>
      <c r="I1304" s="7" t="s">
        <v>363</v>
      </c>
      <c r="J1304" s="7" t="s">
        <v>275</v>
      </c>
      <c r="K1304" s="7" t="s">
        <v>29</v>
      </c>
      <c r="L1304" s="3" t="str">
        <f>E1304&amp;D1304</f>
        <v>E.SP.IPAEE_INS_SEG_C_I_SINAL L UNIFO CONT_0180</v>
      </c>
      <c r="M1304" s="3" t="str">
        <f>IFERROR(MID(D1304,SEARCH("S_I_",D1304,1),3),"")</f>
        <v/>
      </c>
      <c r="N1304" s="3" t="str">
        <f>IFERROR(MID(D1304,SEARCH("C_I_",D1304,1),3),"")</f>
        <v>C_I</v>
      </c>
      <c r="O1304" s="3" t="str">
        <f>IF(AND(M1304="",N1304=""),"Extra","")</f>
        <v/>
      </c>
      <c r="P1304" s="3" t="str">
        <f>IF(Q1304=0,"TERCEIRO","MRS")</f>
        <v>MRS</v>
      </c>
      <c r="Q1304" s="8" t="str">
        <f>IFERROR(VLOOKUP(L1304,#REF!,4,0),"0,00")</f>
        <v>0,00</v>
      </c>
      <c r="R1304" s="9" t="s">
        <v>30</v>
      </c>
      <c r="S1304" s="9">
        <f>COUNTIF(D1304,"*_SEG_*")</f>
        <v>1</v>
      </c>
      <c r="T1304" s="9">
        <f>COUNTIF(D1304,"*_MAN_*")</f>
        <v>0</v>
      </c>
      <c r="U1304" s="9">
        <f>(RIGHT(D1304,4))*1</f>
        <v>180</v>
      </c>
      <c r="V1304" s="9" t="str">
        <f>IFERROR(VLOOKUP(I1304,#REF!,2,0),"Sinalização")</f>
        <v>Sinalização</v>
      </c>
    </row>
    <row r="1305" spans="1:22" x14ac:dyDescent="0.25">
      <c r="A1305" s="3" t="s">
        <v>22</v>
      </c>
      <c r="B1305" s="4">
        <v>23100149</v>
      </c>
      <c r="C1305" s="5" t="s">
        <v>23</v>
      </c>
      <c r="D1305" s="6" t="s">
        <v>274</v>
      </c>
      <c r="E1305" s="6" t="s">
        <v>25</v>
      </c>
      <c r="F1305" s="11">
        <v>46158</v>
      </c>
      <c r="G1305" s="6" t="s">
        <v>1079</v>
      </c>
      <c r="H1305" s="7" t="s">
        <v>26</v>
      </c>
      <c r="I1305" s="7" t="s">
        <v>364</v>
      </c>
      <c r="J1305" s="7" t="s">
        <v>275</v>
      </c>
      <c r="K1305" s="7" t="s">
        <v>29</v>
      </c>
      <c r="L1305" s="3" t="str">
        <f>E1305&amp;D1305</f>
        <v>E.SP.IPAEE_INS_SEG_C_I_SINAL L UNIFO CONT_0180</v>
      </c>
      <c r="M1305" s="3" t="str">
        <f>IFERROR(MID(D1305,SEARCH("S_I_",D1305,1),3),"")</f>
        <v/>
      </c>
      <c r="N1305" s="3" t="str">
        <f>IFERROR(MID(D1305,SEARCH("C_I_",D1305,1),3),"")</f>
        <v>C_I</v>
      </c>
      <c r="O1305" s="3" t="str">
        <f>IF(AND(M1305="",N1305=""),"Extra","")</f>
        <v/>
      </c>
      <c r="P1305" s="3" t="str">
        <f>IF(Q1305=0,"TERCEIRO","MRS")</f>
        <v>MRS</v>
      </c>
      <c r="Q1305" s="8" t="str">
        <f>IFERROR(VLOOKUP(L1305,#REF!,4,0),"0,00")</f>
        <v>0,00</v>
      </c>
      <c r="R1305" s="9" t="s">
        <v>30</v>
      </c>
      <c r="S1305" s="9">
        <f>COUNTIF(D1305,"*_SEG_*")</f>
        <v>1</v>
      </c>
      <c r="T1305" s="9">
        <f>COUNTIF(D1305,"*_MAN_*")</f>
        <v>0</v>
      </c>
      <c r="U1305" s="9">
        <f>(RIGHT(D1305,4))*1</f>
        <v>180</v>
      </c>
      <c r="V1305" s="9" t="str">
        <f>IFERROR(VLOOKUP(I1305,#REF!,2,0),"Sinalização")</f>
        <v>Sinalização</v>
      </c>
    </row>
    <row r="1306" spans="1:22" x14ac:dyDescent="0.25">
      <c r="A1306" s="3" t="s">
        <v>22</v>
      </c>
      <c r="B1306" s="4">
        <v>23100150</v>
      </c>
      <c r="C1306" s="5" t="s">
        <v>23</v>
      </c>
      <c r="D1306" s="6" t="s">
        <v>274</v>
      </c>
      <c r="E1306" s="6" t="s">
        <v>25</v>
      </c>
      <c r="F1306" s="11">
        <v>46158</v>
      </c>
      <c r="G1306" s="6" t="s">
        <v>1079</v>
      </c>
      <c r="H1306" s="7" t="s">
        <v>26</v>
      </c>
      <c r="I1306" s="7" t="s">
        <v>365</v>
      </c>
      <c r="J1306" s="7" t="s">
        <v>275</v>
      </c>
      <c r="K1306" s="7" t="s">
        <v>29</v>
      </c>
      <c r="L1306" s="3" t="str">
        <f>E1306&amp;D1306</f>
        <v>E.SP.IPAEE_INS_SEG_C_I_SINAL L UNIFO CONT_0180</v>
      </c>
      <c r="M1306" s="3" t="str">
        <f>IFERROR(MID(D1306,SEARCH("S_I_",D1306,1),3),"")</f>
        <v/>
      </c>
      <c r="N1306" s="3" t="str">
        <f>IFERROR(MID(D1306,SEARCH("C_I_",D1306,1),3),"")</f>
        <v>C_I</v>
      </c>
      <c r="O1306" s="3" t="str">
        <f>IF(AND(M1306="",N1306=""),"Extra","")</f>
        <v/>
      </c>
      <c r="P1306" s="3" t="str">
        <f>IF(Q1306=0,"TERCEIRO","MRS")</f>
        <v>MRS</v>
      </c>
      <c r="Q1306" s="8" t="str">
        <f>IFERROR(VLOOKUP(L1306,#REF!,4,0),"0,00")</f>
        <v>0,00</v>
      </c>
      <c r="R1306" s="9" t="s">
        <v>30</v>
      </c>
      <c r="S1306" s="9">
        <f>COUNTIF(D1306,"*_SEG_*")</f>
        <v>1</v>
      </c>
      <c r="T1306" s="9">
        <f>COUNTIF(D1306,"*_MAN_*")</f>
        <v>0</v>
      </c>
      <c r="U1306" s="9">
        <f>(RIGHT(D1306,4))*1</f>
        <v>180</v>
      </c>
      <c r="V1306" s="9" t="str">
        <f>IFERROR(VLOOKUP(I1306,#REF!,2,0),"Sinalização")</f>
        <v>Sinalização</v>
      </c>
    </row>
    <row r="1307" spans="1:22" x14ac:dyDescent="0.25">
      <c r="A1307" s="3" t="s">
        <v>22</v>
      </c>
      <c r="B1307" s="4">
        <v>23100151</v>
      </c>
      <c r="C1307" s="5" t="s">
        <v>23</v>
      </c>
      <c r="D1307" s="6" t="s">
        <v>274</v>
      </c>
      <c r="E1307" s="6" t="s">
        <v>25</v>
      </c>
      <c r="F1307" s="11">
        <v>46158</v>
      </c>
      <c r="G1307" s="6" t="s">
        <v>1079</v>
      </c>
      <c r="H1307" s="7" t="s">
        <v>26</v>
      </c>
      <c r="I1307" s="7" t="s">
        <v>366</v>
      </c>
      <c r="J1307" s="7" t="s">
        <v>275</v>
      </c>
      <c r="K1307" s="7" t="s">
        <v>29</v>
      </c>
      <c r="L1307" s="3" t="str">
        <f>E1307&amp;D1307</f>
        <v>E.SP.IPAEE_INS_SEG_C_I_SINAL L UNIFO CONT_0180</v>
      </c>
      <c r="M1307" s="3" t="str">
        <f>IFERROR(MID(D1307,SEARCH("S_I_",D1307,1),3),"")</f>
        <v/>
      </c>
      <c r="N1307" s="3" t="str">
        <f>IFERROR(MID(D1307,SEARCH("C_I_",D1307,1),3),"")</f>
        <v>C_I</v>
      </c>
      <c r="O1307" s="3" t="str">
        <f>IF(AND(M1307="",N1307=""),"Extra","")</f>
        <v/>
      </c>
      <c r="P1307" s="3" t="str">
        <f>IF(Q1307=0,"TERCEIRO","MRS")</f>
        <v>MRS</v>
      </c>
      <c r="Q1307" s="8" t="str">
        <f>IFERROR(VLOOKUP(L1307,#REF!,4,0),"0,00")</f>
        <v>0,00</v>
      </c>
      <c r="R1307" s="9" t="s">
        <v>30</v>
      </c>
      <c r="S1307" s="9">
        <f>COUNTIF(D1307,"*_SEG_*")</f>
        <v>1</v>
      </c>
      <c r="T1307" s="9">
        <f>COUNTIF(D1307,"*_MAN_*")</f>
        <v>0</v>
      </c>
      <c r="U1307" s="9">
        <f>(RIGHT(D1307,4))*1</f>
        <v>180</v>
      </c>
      <c r="V1307" s="9" t="str">
        <f>IFERROR(VLOOKUP(I1307,#REF!,2,0),"Sinalização")</f>
        <v>Sinalização</v>
      </c>
    </row>
    <row r="1308" spans="1:22" x14ac:dyDescent="0.25">
      <c r="A1308" s="3" t="s">
        <v>22</v>
      </c>
      <c r="B1308" s="4">
        <v>23100152</v>
      </c>
      <c r="C1308" s="5" t="s">
        <v>23</v>
      </c>
      <c r="D1308" s="6" t="s">
        <v>274</v>
      </c>
      <c r="E1308" s="6" t="s">
        <v>25</v>
      </c>
      <c r="F1308" s="11">
        <v>46158</v>
      </c>
      <c r="G1308" s="6" t="s">
        <v>1079</v>
      </c>
      <c r="H1308" s="7" t="s">
        <v>26</v>
      </c>
      <c r="I1308" s="7" t="s">
        <v>367</v>
      </c>
      <c r="J1308" s="7" t="s">
        <v>275</v>
      </c>
      <c r="K1308" s="7" t="s">
        <v>29</v>
      </c>
      <c r="L1308" s="3" t="str">
        <f>E1308&amp;D1308</f>
        <v>E.SP.IPAEE_INS_SEG_C_I_SINAL L UNIFO CONT_0180</v>
      </c>
      <c r="M1308" s="3" t="str">
        <f>IFERROR(MID(D1308,SEARCH("S_I_",D1308,1),3),"")</f>
        <v/>
      </c>
      <c r="N1308" s="3" t="str">
        <f>IFERROR(MID(D1308,SEARCH("C_I_",D1308,1),3),"")</f>
        <v>C_I</v>
      </c>
      <c r="O1308" s="3" t="str">
        <f>IF(AND(M1308="",N1308=""),"Extra","")</f>
        <v/>
      </c>
      <c r="P1308" s="3" t="str">
        <f>IF(Q1308=0,"TERCEIRO","MRS")</f>
        <v>MRS</v>
      </c>
      <c r="Q1308" s="8" t="str">
        <f>IFERROR(VLOOKUP(L1308,#REF!,4,0),"0,00")</f>
        <v>0,00</v>
      </c>
      <c r="R1308" s="9" t="s">
        <v>30</v>
      </c>
      <c r="S1308" s="9">
        <f>COUNTIF(D1308,"*_SEG_*")</f>
        <v>1</v>
      </c>
      <c r="T1308" s="9">
        <f>COUNTIF(D1308,"*_MAN_*")</f>
        <v>0</v>
      </c>
      <c r="U1308" s="9">
        <f>(RIGHT(D1308,4))*1</f>
        <v>180</v>
      </c>
      <c r="V1308" s="9" t="str">
        <f>IFERROR(VLOOKUP(I1308,#REF!,2,0),"Sinalização")</f>
        <v>Sinalização</v>
      </c>
    </row>
    <row r="1309" spans="1:22" x14ac:dyDescent="0.25">
      <c r="A1309" s="3" t="s">
        <v>22</v>
      </c>
      <c r="B1309" s="4">
        <v>23100153</v>
      </c>
      <c r="C1309" s="5" t="s">
        <v>23</v>
      </c>
      <c r="D1309" s="6" t="s">
        <v>274</v>
      </c>
      <c r="E1309" s="6" t="s">
        <v>25</v>
      </c>
      <c r="F1309" s="11">
        <v>46158</v>
      </c>
      <c r="G1309" s="6" t="s">
        <v>1079</v>
      </c>
      <c r="H1309" s="7" t="s">
        <v>26</v>
      </c>
      <c r="I1309" s="7" t="s">
        <v>368</v>
      </c>
      <c r="J1309" s="7" t="s">
        <v>275</v>
      </c>
      <c r="K1309" s="7" t="s">
        <v>29</v>
      </c>
      <c r="L1309" s="3" t="str">
        <f>E1309&amp;D1309</f>
        <v>E.SP.IPAEE_INS_SEG_C_I_SINAL L UNIFO CONT_0180</v>
      </c>
      <c r="M1309" s="3" t="str">
        <f>IFERROR(MID(D1309,SEARCH("S_I_",D1309,1),3),"")</f>
        <v/>
      </c>
      <c r="N1309" s="3" t="str">
        <f>IFERROR(MID(D1309,SEARCH("C_I_",D1309,1),3),"")</f>
        <v>C_I</v>
      </c>
      <c r="O1309" s="3" t="str">
        <f>IF(AND(M1309="",N1309=""),"Extra","")</f>
        <v/>
      </c>
      <c r="P1309" s="3" t="str">
        <f>IF(Q1309=0,"TERCEIRO","MRS")</f>
        <v>MRS</v>
      </c>
      <c r="Q1309" s="8" t="str">
        <f>IFERROR(VLOOKUP(L1309,#REF!,4,0),"0,00")</f>
        <v>0,00</v>
      </c>
      <c r="R1309" s="9" t="s">
        <v>30</v>
      </c>
      <c r="S1309" s="9">
        <f>COUNTIF(D1309,"*_SEG_*")</f>
        <v>1</v>
      </c>
      <c r="T1309" s="9">
        <f>COUNTIF(D1309,"*_MAN_*")</f>
        <v>0</v>
      </c>
      <c r="U1309" s="9">
        <f>(RIGHT(D1309,4))*1</f>
        <v>180</v>
      </c>
      <c r="V1309" s="9" t="str">
        <f>IFERROR(VLOOKUP(I1309,#REF!,2,0),"Sinalização")</f>
        <v>Sinalização</v>
      </c>
    </row>
    <row r="1310" spans="1:22" x14ac:dyDescent="0.25">
      <c r="A1310" s="3" t="s">
        <v>22</v>
      </c>
      <c r="B1310" s="4">
        <v>23100282</v>
      </c>
      <c r="C1310" s="5" t="s">
        <v>23</v>
      </c>
      <c r="D1310" s="6" t="s">
        <v>380</v>
      </c>
      <c r="E1310" s="6" t="s">
        <v>25</v>
      </c>
      <c r="F1310" s="11">
        <v>46158</v>
      </c>
      <c r="G1310" s="6" t="s">
        <v>1079</v>
      </c>
      <c r="H1310" s="7" t="s">
        <v>26</v>
      </c>
      <c r="I1310" s="7" t="s">
        <v>343</v>
      </c>
      <c r="J1310" s="7" t="s">
        <v>237</v>
      </c>
      <c r="K1310" s="7" t="s">
        <v>29</v>
      </c>
      <c r="L1310" s="3" t="str">
        <f>E1310&amp;D1310</f>
        <v>E.SP.IPAEE_INS_CONF_S_I_SINAL L UNIFO AUT_0180</v>
      </c>
      <c r="M1310" s="3" t="str">
        <f>IFERROR(MID(D1310,SEARCH("S_I_",D1310,1),3),"")</f>
        <v>S_I</v>
      </c>
      <c r="N1310" s="3" t="str">
        <f>IFERROR(MID(D1310,SEARCH("C_I_",D1310,1),3),"")</f>
        <v/>
      </c>
      <c r="O1310" s="3" t="str">
        <f>IF(AND(M1310="",N1310=""),"Extra","")</f>
        <v/>
      </c>
      <c r="P1310" s="3" t="str">
        <f>IF(Q1310=0,"TERCEIRO","MRS")</f>
        <v>MRS</v>
      </c>
      <c r="Q1310" s="8" t="str">
        <f>IFERROR(VLOOKUP(L1310,#REF!,4,0),"0,00")</f>
        <v>0,00</v>
      </c>
      <c r="R1310" s="9" t="s">
        <v>98</v>
      </c>
      <c r="S1310" s="9">
        <f>COUNTIF(D1310,"*_SEG_*")</f>
        <v>0</v>
      </c>
      <c r="T1310" s="9">
        <f>COUNTIF(D1310,"*_MAN_*")</f>
        <v>0</v>
      </c>
      <c r="U1310" s="9">
        <f>(RIGHT(D1310,4))*1</f>
        <v>180</v>
      </c>
      <c r="V1310" s="9" t="str">
        <f>IFERROR(VLOOKUP(I1310,#REF!,2,0),"Sinalização")</f>
        <v>Sinalização</v>
      </c>
    </row>
    <row r="1311" spans="1:22" x14ac:dyDescent="0.25">
      <c r="A1311" s="3" t="s">
        <v>22</v>
      </c>
      <c r="B1311" s="4">
        <v>23100294</v>
      </c>
      <c r="C1311" s="5" t="s">
        <v>23</v>
      </c>
      <c r="D1311" s="6" t="s">
        <v>380</v>
      </c>
      <c r="E1311" s="6" t="s">
        <v>25</v>
      </c>
      <c r="F1311" s="11">
        <v>46158</v>
      </c>
      <c r="G1311" s="6" t="s">
        <v>1079</v>
      </c>
      <c r="H1311" s="7" t="s">
        <v>26</v>
      </c>
      <c r="I1311" s="7" t="s">
        <v>55</v>
      </c>
      <c r="J1311" s="7" t="s">
        <v>237</v>
      </c>
      <c r="K1311" s="7" t="s">
        <v>29</v>
      </c>
      <c r="L1311" s="3" t="str">
        <f>E1311&amp;D1311</f>
        <v>E.SP.IPAEE_INS_CONF_S_I_SINAL L UNIFO AUT_0180</v>
      </c>
      <c r="M1311" s="3" t="str">
        <f>IFERROR(MID(D1311,SEARCH("S_I_",D1311,1),3),"")</f>
        <v>S_I</v>
      </c>
      <c r="N1311" s="3" t="str">
        <f>IFERROR(MID(D1311,SEARCH("C_I_",D1311,1),3),"")</f>
        <v/>
      </c>
      <c r="O1311" s="3" t="str">
        <f>IF(AND(M1311="",N1311=""),"Extra","")</f>
        <v/>
      </c>
      <c r="P1311" s="3" t="str">
        <f>IF(Q1311=0,"TERCEIRO","MRS")</f>
        <v>MRS</v>
      </c>
      <c r="Q1311" s="8" t="str">
        <f>IFERROR(VLOOKUP(L1311,#REF!,4,0),"0,00")</f>
        <v>0,00</v>
      </c>
      <c r="R1311" s="9" t="s">
        <v>98</v>
      </c>
      <c r="S1311" s="9">
        <f>COUNTIF(D1311,"*_SEG_*")</f>
        <v>0</v>
      </c>
      <c r="T1311" s="9">
        <f>COUNTIF(D1311,"*_MAN_*")</f>
        <v>0</v>
      </c>
      <c r="U1311" s="9">
        <f>(RIGHT(D1311,4))*1</f>
        <v>180</v>
      </c>
      <c r="V1311" s="9" t="str">
        <f>IFERROR(VLOOKUP(I1311,#REF!,2,0),"Sinalização")</f>
        <v>Sinalização</v>
      </c>
    </row>
    <row r="1312" spans="1:22" x14ac:dyDescent="0.25">
      <c r="A1312" s="3" t="s">
        <v>22</v>
      </c>
      <c r="B1312" s="4">
        <v>23100297</v>
      </c>
      <c r="C1312" s="5" t="s">
        <v>23</v>
      </c>
      <c r="D1312" s="6" t="s">
        <v>380</v>
      </c>
      <c r="E1312" s="6" t="s">
        <v>25</v>
      </c>
      <c r="F1312" s="11">
        <v>46158</v>
      </c>
      <c r="G1312" s="6" t="s">
        <v>1079</v>
      </c>
      <c r="H1312" s="7" t="s">
        <v>26</v>
      </c>
      <c r="I1312" s="7" t="s">
        <v>381</v>
      </c>
      <c r="J1312" s="7" t="s">
        <v>237</v>
      </c>
      <c r="K1312" s="7" t="s">
        <v>29</v>
      </c>
      <c r="L1312" s="3" t="str">
        <f>E1312&amp;D1312</f>
        <v>E.SP.IPAEE_INS_CONF_S_I_SINAL L UNIFO AUT_0180</v>
      </c>
      <c r="M1312" s="3" t="str">
        <f>IFERROR(MID(D1312,SEARCH("S_I_",D1312,1),3),"")</f>
        <v>S_I</v>
      </c>
      <c r="N1312" s="3" t="str">
        <f>IFERROR(MID(D1312,SEARCH("C_I_",D1312,1),3),"")</f>
        <v/>
      </c>
      <c r="O1312" s="3" t="str">
        <f>IF(AND(M1312="",N1312=""),"Extra","")</f>
        <v/>
      </c>
      <c r="P1312" s="3" t="str">
        <f>IF(Q1312=0,"TERCEIRO","MRS")</f>
        <v>MRS</v>
      </c>
      <c r="Q1312" s="8" t="str">
        <f>IFERROR(VLOOKUP(L1312,#REF!,4,0),"0,00")</f>
        <v>0,00</v>
      </c>
      <c r="R1312" s="9" t="s">
        <v>98</v>
      </c>
      <c r="S1312" s="9">
        <f>COUNTIF(D1312,"*_SEG_*")</f>
        <v>0</v>
      </c>
      <c r="T1312" s="9">
        <f>COUNTIF(D1312,"*_MAN_*")</f>
        <v>0</v>
      </c>
      <c r="U1312" s="9">
        <f>(RIGHT(D1312,4))*1</f>
        <v>180</v>
      </c>
      <c r="V1312" s="9" t="str">
        <f>IFERROR(VLOOKUP(I1312,#REF!,2,0),"Sinalização")</f>
        <v>Sinalização</v>
      </c>
    </row>
    <row r="1313" spans="1:22" x14ac:dyDescent="0.25">
      <c r="A1313" s="3" t="s">
        <v>22</v>
      </c>
      <c r="B1313" s="4">
        <v>23100321</v>
      </c>
      <c r="C1313" s="5" t="s">
        <v>23</v>
      </c>
      <c r="D1313" s="6" t="s">
        <v>380</v>
      </c>
      <c r="E1313" s="6" t="s">
        <v>25</v>
      </c>
      <c r="F1313" s="11">
        <v>46158</v>
      </c>
      <c r="G1313" s="6" t="s">
        <v>1079</v>
      </c>
      <c r="H1313" s="7" t="s">
        <v>26</v>
      </c>
      <c r="I1313" s="7" t="s">
        <v>338</v>
      </c>
      <c r="J1313" s="7" t="s">
        <v>237</v>
      </c>
      <c r="K1313" s="7" t="s">
        <v>29</v>
      </c>
      <c r="L1313" s="3" t="str">
        <f>E1313&amp;D1313</f>
        <v>E.SP.IPAEE_INS_CONF_S_I_SINAL L UNIFO AUT_0180</v>
      </c>
      <c r="M1313" s="3" t="str">
        <f>IFERROR(MID(D1313,SEARCH("S_I_",D1313,1),3),"")</f>
        <v>S_I</v>
      </c>
      <c r="N1313" s="3" t="str">
        <f>IFERROR(MID(D1313,SEARCH("C_I_",D1313,1),3),"")</f>
        <v/>
      </c>
      <c r="O1313" s="3" t="str">
        <f>IF(AND(M1313="",N1313=""),"Extra","")</f>
        <v/>
      </c>
      <c r="P1313" s="3" t="str">
        <f>IF(Q1313=0,"TERCEIRO","MRS")</f>
        <v>MRS</v>
      </c>
      <c r="Q1313" s="8" t="str">
        <f>IFERROR(VLOOKUP(L1313,#REF!,4,0),"0,00")</f>
        <v>0,00</v>
      </c>
      <c r="R1313" s="9" t="s">
        <v>98</v>
      </c>
      <c r="S1313" s="9">
        <f>COUNTIF(D1313,"*_SEG_*")</f>
        <v>0</v>
      </c>
      <c r="T1313" s="9">
        <f>COUNTIF(D1313,"*_MAN_*")</f>
        <v>0</v>
      </c>
      <c r="U1313" s="9">
        <f>(RIGHT(D1313,4))*1</f>
        <v>180</v>
      </c>
      <c r="V1313" s="9" t="str">
        <f>IFERROR(VLOOKUP(I1313,#REF!,2,0),"Sinalização")</f>
        <v>Sinalização</v>
      </c>
    </row>
    <row r="1314" spans="1:22" x14ac:dyDescent="0.25">
      <c r="A1314" s="3" t="s">
        <v>22</v>
      </c>
      <c r="B1314" s="4">
        <v>23100325</v>
      </c>
      <c r="C1314" s="5" t="s">
        <v>23</v>
      </c>
      <c r="D1314" s="6" t="s">
        <v>380</v>
      </c>
      <c r="E1314" s="6" t="s">
        <v>25</v>
      </c>
      <c r="F1314" s="11">
        <v>46158</v>
      </c>
      <c r="G1314" s="6" t="s">
        <v>1079</v>
      </c>
      <c r="H1314" s="7" t="s">
        <v>26</v>
      </c>
      <c r="I1314" s="7" t="s">
        <v>339</v>
      </c>
      <c r="J1314" s="7" t="s">
        <v>237</v>
      </c>
      <c r="K1314" s="7" t="s">
        <v>29</v>
      </c>
      <c r="L1314" s="3" t="str">
        <f>E1314&amp;D1314</f>
        <v>E.SP.IPAEE_INS_CONF_S_I_SINAL L UNIFO AUT_0180</v>
      </c>
      <c r="M1314" s="3" t="str">
        <f>IFERROR(MID(D1314,SEARCH("S_I_",D1314,1),3),"")</f>
        <v>S_I</v>
      </c>
      <c r="N1314" s="3" t="str">
        <f>IFERROR(MID(D1314,SEARCH("C_I_",D1314,1),3),"")</f>
        <v/>
      </c>
      <c r="O1314" s="3" t="str">
        <f>IF(AND(M1314="",N1314=""),"Extra","")</f>
        <v/>
      </c>
      <c r="P1314" s="3" t="str">
        <f>IF(Q1314=0,"TERCEIRO","MRS")</f>
        <v>MRS</v>
      </c>
      <c r="Q1314" s="8" t="str">
        <f>IFERROR(VLOOKUP(L1314,#REF!,4,0),"0,00")</f>
        <v>0,00</v>
      </c>
      <c r="R1314" s="9" t="s">
        <v>98</v>
      </c>
      <c r="S1314" s="9">
        <f>COUNTIF(D1314,"*_SEG_*")</f>
        <v>0</v>
      </c>
      <c r="T1314" s="9">
        <f>COUNTIF(D1314,"*_MAN_*")</f>
        <v>0</v>
      </c>
      <c r="U1314" s="9">
        <f>(RIGHT(D1314,4))*1</f>
        <v>180</v>
      </c>
      <c r="V1314" s="9" t="str">
        <f>IFERROR(VLOOKUP(I1314,#REF!,2,0),"Sinalização")</f>
        <v>Sinalização</v>
      </c>
    </row>
    <row r="1315" spans="1:22" x14ac:dyDescent="0.25">
      <c r="A1315" s="3" t="s">
        <v>22</v>
      </c>
      <c r="B1315" s="4">
        <v>23100387</v>
      </c>
      <c r="C1315" s="5" t="s">
        <v>23</v>
      </c>
      <c r="D1315" s="6" t="s">
        <v>282</v>
      </c>
      <c r="E1315" s="6" t="s">
        <v>25</v>
      </c>
      <c r="F1315" s="11">
        <v>46158</v>
      </c>
      <c r="G1315" s="6" t="s">
        <v>1079</v>
      </c>
      <c r="H1315" s="7" t="s">
        <v>26</v>
      </c>
      <c r="I1315" s="7" t="s">
        <v>375</v>
      </c>
      <c r="J1315" s="7" t="s">
        <v>284</v>
      </c>
      <c r="K1315" s="7" t="s">
        <v>29</v>
      </c>
      <c r="L1315" s="3" t="str">
        <f>E1315&amp;D1315</f>
        <v>E.SP.IPAEE_INS_CONF_S_I_CDV DETETORA CA_0180</v>
      </c>
      <c r="M1315" s="3" t="str">
        <f>IFERROR(MID(D1315,SEARCH("S_I_",D1315,1),3),"")</f>
        <v>S_I</v>
      </c>
      <c r="N1315" s="3" t="str">
        <f>IFERROR(MID(D1315,SEARCH("C_I_",D1315,1),3),"")</f>
        <v/>
      </c>
      <c r="O1315" s="3" t="str">
        <f>IF(AND(M1315="",N1315=""),"Extra","")</f>
        <v/>
      </c>
      <c r="P1315" s="3" t="str">
        <f>IF(Q1315=0,"TERCEIRO","MRS")</f>
        <v>MRS</v>
      </c>
      <c r="Q1315" s="8" t="str">
        <f>IFERROR(VLOOKUP(L1315,#REF!,4,0),"0,00")</f>
        <v>0,00</v>
      </c>
      <c r="R1315" s="9" t="s">
        <v>57</v>
      </c>
      <c r="S1315" s="9">
        <f>COUNTIF(D1315,"*_SEG_*")</f>
        <v>0</v>
      </c>
      <c r="T1315" s="9">
        <f>COUNTIF(D1315,"*_MAN_*")</f>
        <v>0</v>
      </c>
      <c r="U1315" s="9">
        <f>(RIGHT(D1315,4))*1</f>
        <v>180</v>
      </c>
      <c r="V1315" s="9" t="str">
        <f>IFERROR(VLOOKUP(I1315,#REF!,2,0),"Sinalização")</f>
        <v>Sinalização</v>
      </c>
    </row>
    <row r="1316" spans="1:22" x14ac:dyDescent="0.25">
      <c r="A1316" s="3" t="s">
        <v>22</v>
      </c>
      <c r="B1316" s="4">
        <v>23409691</v>
      </c>
      <c r="C1316" s="5" t="s">
        <v>23</v>
      </c>
      <c r="D1316" s="6" t="s">
        <v>774</v>
      </c>
      <c r="E1316" s="6" t="s">
        <v>25</v>
      </c>
      <c r="F1316" s="11">
        <v>46158</v>
      </c>
      <c r="G1316" s="6" t="s">
        <v>1079</v>
      </c>
      <c r="H1316" s="7" t="s">
        <v>26</v>
      </c>
      <c r="I1316" s="7" t="s">
        <v>422</v>
      </c>
      <c r="J1316" s="7" t="s">
        <v>775</v>
      </c>
      <c r="K1316" s="7" t="s">
        <v>776</v>
      </c>
      <c r="L1316" s="3" t="str">
        <f>E1316&amp;D1316</f>
        <v>E.SP.IPAEE_MAN_CONF_C_I_SINAL L UNIFO CONT_0060</v>
      </c>
      <c r="M1316" s="3" t="str">
        <f>IFERROR(MID(D1316,SEARCH("S_I_",D1316,1),3),"")</f>
        <v/>
      </c>
      <c r="N1316" s="3" t="str">
        <f>IFERROR(MID(D1316,SEARCH("C_I_",D1316,1),3),"")</f>
        <v>C_I</v>
      </c>
      <c r="O1316" s="3" t="str">
        <f>IF(AND(M1316="",N1316=""),"Extra","")</f>
        <v/>
      </c>
      <c r="P1316" s="3" t="str">
        <f>IF(Q1316=0,"TERCEIRO","MRS")</f>
        <v>MRS</v>
      </c>
      <c r="Q1316" s="8" t="str">
        <f>IFERROR(VLOOKUP(L1316,#REF!,4,0),"0,00")</f>
        <v>0,00</v>
      </c>
      <c r="R1316" s="9" t="s">
        <v>42</v>
      </c>
      <c r="S1316" s="9">
        <f>COUNTIF(D1316,"*_SEG_*")</f>
        <v>0</v>
      </c>
      <c r="T1316" s="9">
        <f>COUNTIF(D1316,"*_MAN_*")</f>
        <v>1</v>
      </c>
      <c r="U1316" s="9">
        <f>(RIGHT(D1316,4))*1</f>
        <v>60</v>
      </c>
      <c r="V1316" s="9" t="str">
        <f>IFERROR(VLOOKUP(I1316,#REF!,2,0),"Sinalização")</f>
        <v>Sinalização</v>
      </c>
    </row>
    <row r="1317" spans="1:22" x14ac:dyDescent="0.25">
      <c r="A1317" s="3" t="s">
        <v>22</v>
      </c>
      <c r="B1317" s="4">
        <v>23409692</v>
      </c>
      <c r="C1317" s="5" t="s">
        <v>23</v>
      </c>
      <c r="D1317" s="6" t="s">
        <v>774</v>
      </c>
      <c r="E1317" s="6" t="s">
        <v>25</v>
      </c>
      <c r="F1317" s="11">
        <v>46158</v>
      </c>
      <c r="G1317" s="6" t="s">
        <v>1079</v>
      </c>
      <c r="H1317" s="7" t="s">
        <v>26</v>
      </c>
      <c r="I1317" s="7" t="s">
        <v>364</v>
      </c>
      <c r="J1317" s="7" t="s">
        <v>775</v>
      </c>
      <c r="K1317" s="7" t="s">
        <v>776</v>
      </c>
      <c r="L1317" s="3" t="str">
        <f>E1317&amp;D1317</f>
        <v>E.SP.IPAEE_MAN_CONF_C_I_SINAL L UNIFO CONT_0060</v>
      </c>
      <c r="M1317" s="3" t="str">
        <f>IFERROR(MID(D1317,SEARCH("S_I_",D1317,1),3),"")</f>
        <v/>
      </c>
      <c r="N1317" s="3" t="str">
        <f>IFERROR(MID(D1317,SEARCH("C_I_",D1317,1),3),"")</f>
        <v>C_I</v>
      </c>
      <c r="O1317" s="3" t="str">
        <f>IF(AND(M1317="",N1317=""),"Extra","")</f>
        <v/>
      </c>
      <c r="P1317" s="3" t="str">
        <f>IF(Q1317=0,"TERCEIRO","MRS")</f>
        <v>MRS</v>
      </c>
      <c r="Q1317" s="8" t="str">
        <f>IFERROR(VLOOKUP(L1317,#REF!,4,0),"0,00")</f>
        <v>0,00</v>
      </c>
      <c r="R1317" s="9" t="s">
        <v>42</v>
      </c>
      <c r="S1317" s="9">
        <f>COUNTIF(D1317,"*_SEG_*")</f>
        <v>0</v>
      </c>
      <c r="T1317" s="9">
        <f>COUNTIF(D1317,"*_MAN_*")</f>
        <v>1</v>
      </c>
      <c r="U1317" s="9">
        <f>(RIGHT(D1317,4))*1</f>
        <v>60</v>
      </c>
      <c r="V1317" s="9" t="str">
        <f>IFERROR(VLOOKUP(I1317,#REF!,2,0),"Sinalização")</f>
        <v>Sinalização</v>
      </c>
    </row>
    <row r="1318" spans="1:22" x14ac:dyDescent="0.25">
      <c r="A1318" s="3" t="s">
        <v>22</v>
      </c>
      <c r="B1318" s="4">
        <v>23409693</v>
      </c>
      <c r="C1318" s="5" t="s">
        <v>23</v>
      </c>
      <c r="D1318" s="6" t="s">
        <v>774</v>
      </c>
      <c r="E1318" s="6" t="s">
        <v>25</v>
      </c>
      <c r="F1318" s="11">
        <v>46158</v>
      </c>
      <c r="G1318" s="6" t="s">
        <v>1079</v>
      </c>
      <c r="H1318" s="7" t="s">
        <v>26</v>
      </c>
      <c r="I1318" s="7" t="s">
        <v>365</v>
      </c>
      <c r="J1318" s="7" t="s">
        <v>775</v>
      </c>
      <c r="K1318" s="7" t="s">
        <v>776</v>
      </c>
      <c r="L1318" s="3" t="str">
        <f>E1318&amp;D1318</f>
        <v>E.SP.IPAEE_MAN_CONF_C_I_SINAL L UNIFO CONT_0060</v>
      </c>
      <c r="M1318" s="3" t="str">
        <f>IFERROR(MID(D1318,SEARCH("S_I_",D1318,1),3),"")</f>
        <v/>
      </c>
      <c r="N1318" s="3" t="str">
        <f>IFERROR(MID(D1318,SEARCH("C_I_",D1318,1),3),"")</f>
        <v>C_I</v>
      </c>
      <c r="O1318" s="3" t="str">
        <f>IF(AND(M1318="",N1318=""),"Extra","")</f>
        <v/>
      </c>
      <c r="P1318" s="3" t="str">
        <f>IF(Q1318=0,"TERCEIRO","MRS")</f>
        <v>MRS</v>
      </c>
      <c r="Q1318" s="8" t="str">
        <f>IFERROR(VLOOKUP(L1318,#REF!,4,0),"0,00")</f>
        <v>0,00</v>
      </c>
      <c r="R1318" s="9" t="s">
        <v>42</v>
      </c>
      <c r="S1318" s="9">
        <f>COUNTIF(D1318,"*_SEG_*")</f>
        <v>0</v>
      </c>
      <c r="T1318" s="9">
        <f>COUNTIF(D1318,"*_MAN_*")</f>
        <v>1</v>
      </c>
      <c r="U1318" s="9">
        <f>(RIGHT(D1318,4))*1</f>
        <v>60</v>
      </c>
      <c r="V1318" s="9" t="str">
        <f>IFERROR(VLOOKUP(I1318,#REF!,2,0),"Sinalização")</f>
        <v>Sinalização</v>
      </c>
    </row>
    <row r="1319" spans="1:22" x14ac:dyDescent="0.25">
      <c r="A1319" s="3" t="s">
        <v>22</v>
      </c>
      <c r="B1319" s="4">
        <v>23409694</v>
      </c>
      <c r="C1319" s="5" t="s">
        <v>23</v>
      </c>
      <c r="D1319" s="6" t="s">
        <v>774</v>
      </c>
      <c r="E1319" s="6" t="s">
        <v>25</v>
      </c>
      <c r="F1319" s="11">
        <v>46158</v>
      </c>
      <c r="G1319" s="6" t="s">
        <v>1079</v>
      </c>
      <c r="H1319" s="7" t="s">
        <v>26</v>
      </c>
      <c r="I1319" s="7" t="s">
        <v>367</v>
      </c>
      <c r="J1319" s="7" t="s">
        <v>775</v>
      </c>
      <c r="K1319" s="7" t="s">
        <v>776</v>
      </c>
      <c r="L1319" s="3" t="str">
        <f>E1319&amp;D1319</f>
        <v>E.SP.IPAEE_MAN_CONF_C_I_SINAL L UNIFO CONT_0060</v>
      </c>
      <c r="M1319" s="3" t="str">
        <f>IFERROR(MID(D1319,SEARCH("S_I_",D1319,1),3),"")</f>
        <v/>
      </c>
      <c r="N1319" s="3" t="str">
        <f>IFERROR(MID(D1319,SEARCH("C_I_",D1319,1),3),"")</f>
        <v>C_I</v>
      </c>
      <c r="O1319" s="3" t="str">
        <f>IF(AND(M1319="",N1319=""),"Extra","")</f>
        <v/>
      </c>
      <c r="P1319" s="3" t="str">
        <f>IF(Q1319=0,"TERCEIRO","MRS")</f>
        <v>MRS</v>
      </c>
      <c r="Q1319" s="8" t="str">
        <f>IFERROR(VLOOKUP(L1319,#REF!,4,0),"0,00")</f>
        <v>0,00</v>
      </c>
      <c r="R1319" s="9" t="s">
        <v>42</v>
      </c>
      <c r="S1319" s="9">
        <f>COUNTIF(D1319,"*_SEG_*")</f>
        <v>0</v>
      </c>
      <c r="T1319" s="9">
        <f>COUNTIF(D1319,"*_MAN_*")</f>
        <v>1</v>
      </c>
      <c r="U1319" s="9">
        <f>(RIGHT(D1319,4))*1</f>
        <v>60</v>
      </c>
      <c r="V1319" s="9" t="str">
        <f>IFERROR(VLOOKUP(I1319,#REF!,2,0),"Sinalização")</f>
        <v>Sinalização</v>
      </c>
    </row>
    <row r="1320" spans="1:22" x14ac:dyDescent="0.25">
      <c r="A1320" s="3" t="s">
        <v>22</v>
      </c>
      <c r="B1320" s="4">
        <v>23409695</v>
      </c>
      <c r="C1320" s="5" t="s">
        <v>23</v>
      </c>
      <c r="D1320" s="6" t="s">
        <v>774</v>
      </c>
      <c r="E1320" s="6" t="s">
        <v>25</v>
      </c>
      <c r="F1320" s="11">
        <v>46158</v>
      </c>
      <c r="G1320" s="6" t="s">
        <v>1079</v>
      </c>
      <c r="H1320" s="7" t="s">
        <v>26</v>
      </c>
      <c r="I1320" s="7" t="s">
        <v>777</v>
      </c>
      <c r="J1320" s="7" t="s">
        <v>775</v>
      </c>
      <c r="K1320" s="7" t="s">
        <v>776</v>
      </c>
      <c r="L1320" s="3" t="str">
        <f>E1320&amp;D1320</f>
        <v>E.SP.IPAEE_MAN_CONF_C_I_SINAL L UNIFO CONT_0060</v>
      </c>
      <c r="M1320" s="3" t="str">
        <f>IFERROR(MID(D1320,SEARCH("S_I_",D1320,1),3),"")</f>
        <v/>
      </c>
      <c r="N1320" s="3" t="str">
        <f>IFERROR(MID(D1320,SEARCH("C_I_",D1320,1),3),"")</f>
        <v>C_I</v>
      </c>
      <c r="O1320" s="3" t="str">
        <f>IF(AND(M1320="",N1320=""),"Extra","")</f>
        <v/>
      </c>
      <c r="P1320" s="3" t="str">
        <f>IF(Q1320=0,"TERCEIRO","MRS")</f>
        <v>MRS</v>
      </c>
      <c r="Q1320" s="8" t="str">
        <f>IFERROR(VLOOKUP(L1320,#REF!,4,0),"0,00")</f>
        <v>0,00</v>
      </c>
      <c r="R1320" s="9" t="s">
        <v>42</v>
      </c>
      <c r="S1320" s="9">
        <f>COUNTIF(D1320,"*_SEG_*")</f>
        <v>0</v>
      </c>
      <c r="T1320" s="9">
        <f>COUNTIF(D1320,"*_MAN_*")</f>
        <v>1</v>
      </c>
      <c r="U1320" s="9">
        <f>(RIGHT(D1320,4))*1</f>
        <v>60</v>
      </c>
      <c r="V1320" s="9" t="str">
        <f>IFERROR(VLOOKUP(I1320,#REF!,2,0),"Sinalização")</f>
        <v>Sinalização</v>
      </c>
    </row>
    <row r="1321" spans="1:22" x14ac:dyDescent="0.25">
      <c r="A1321" s="3" t="s">
        <v>22</v>
      </c>
      <c r="B1321" s="4">
        <v>23409696</v>
      </c>
      <c r="C1321" s="5" t="s">
        <v>23</v>
      </c>
      <c r="D1321" s="6" t="s">
        <v>774</v>
      </c>
      <c r="E1321" s="6" t="s">
        <v>25</v>
      </c>
      <c r="F1321" s="11">
        <v>46158</v>
      </c>
      <c r="G1321" s="6" t="s">
        <v>1079</v>
      </c>
      <c r="H1321" s="7" t="s">
        <v>26</v>
      </c>
      <c r="I1321" s="7" t="s">
        <v>309</v>
      </c>
      <c r="J1321" s="7" t="s">
        <v>775</v>
      </c>
      <c r="K1321" s="7" t="s">
        <v>776</v>
      </c>
      <c r="L1321" s="3" t="str">
        <f>E1321&amp;D1321</f>
        <v>E.SP.IPAEE_MAN_CONF_C_I_SINAL L UNIFO CONT_0060</v>
      </c>
      <c r="M1321" s="3" t="str">
        <f>IFERROR(MID(D1321,SEARCH("S_I_",D1321,1),3),"")</f>
        <v/>
      </c>
      <c r="N1321" s="3" t="str">
        <f>IFERROR(MID(D1321,SEARCH("C_I_",D1321,1),3),"")</f>
        <v>C_I</v>
      </c>
      <c r="O1321" s="3" t="str">
        <f>IF(AND(M1321="",N1321=""),"Extra","")</f>
        <v/>
      </c>
      <c r="P1321" s="3" t="str">
        <f>IF(Q1321=0,"TERCEIRO","MRS")</f>
        <v>MRS</v>
      </c>
      <c r="Q1321" s="8" t="str">
        <f>IFERROR(VLOOKUP(L1321,#REF!,4,0),"0,00")</f>
        <v>0,00</v>
      </c>
      <c r="R1321" s="9" t="s">
        <v>42</v>
      </c>
      <c r="S1321" s="9">
        <f>COUNTIF(D1321,"*_SEG_*")</f>
        <v>0</v>
      </c>
      <c r="T1321" s="9">
        <f>COUNTIF(D1321,"*_MAN_*")</f>
        <v>1</v>
      </c>
      <c r="U1321" s="9">
        <f>(RIGHT(D1321,4))*1</f>
        <v>60</v>
      </c>
      <c r="V1321" s="9" t="str">
        <f>IFERROR(VLOOKUP(I1321,#REF!,2,0),"Sinalização")</f>
        <v>Sinalização</v>
      </c>
    </row>
    <row r="1322" spans="1:22" x14ac:dyDescent="0.25">
      <c r="A1322" s="3" t="s">
        <v>22</v>
      </c>
      <c r="B1322" s="4">
        <v>23409697</v>
      </c>
      <c r="C1322" s="5" t="s">
        <v>23</v>
      </c>
      <c r="D1322" s="6" t="s">
        <v>774</v>
      </c>
      <c r="E1322" s="6" t="s">
        <v>25</v>
      </c>
      <c r="F1322" s="11">
        <v>46158</v>
      </c>
      <c r="G1322" s="6" t="s">
        <v>1079</v>
      </c>
      <c r="H1322" s="7" t="s">
        <v>26</v>
      </c>
      <c r="I1322" s="7" t="s">
        <v>724</v>
      </c>
      <c r="J1322" s="7" t="s">
        <v>775</v>
      </c>
      <c r="K1322" s="7" t="s">
        <v>776</v>
      </c>
      <c r="L1322" s="3" t="str">
        <f>E1322&amp;D1322</f>
        <v>E.SP.IPAEE_MAN_CONF_C_I_SINAL L UNIFO CONT_0060</v>
      </c>
      <c r="M1322" s="3" t="str">
        <f>IFERROR(MID(D1322,SEARCH("S_I_",D1322,1),3),"")</f>
        <v/>
      </c>
      <c r="N1322" s="3" t="str">
        <f>IFERROR(MID(D1322,SEARCH("C_I_",D1322,1),3),"")</f>
        <v>C_I</v>
      </c>
      <c r="O1322" s="3" t="str">
        <f>IF(AND(M1322="",N1322=""),"Extra","")</f>
        <v/>
      </c>
      <c r="P1322" s="3" t="str">
        <f>IF(Q1322=0,"TERCEIRO","MRS")</f>
        <v>MRS</v>
      </c>
      <c r="Q1322" s="8" t="str">
        <f>IFERROR(VLOOKUP(L1322,#REF!,4,0),"0,00")</f>
        <v>0,00</v>
      </c>
      <c r="R1322" s="9" t="s">
        <v>42</v>
      </c>
      <c r="S1322" s="9">
        <f>COUNTIF(D1322,"*_SEG_*")</f>
        <v>0</v>
      </c>
      <c r="T1322" s="9">
        <f>COUNTIF(D1322,"*_MAN_*")</f>
        <v>1</v>
      </c>
      <c r="U1322" s="9">
        <f>(RIGHT(D1322,4))*1</f>
        <v>60</v>
      </c>
      <c r="V1322" s="9" t="str">
        <f>IFERROR(VLOOKUP(I1322,#REF!,2,0),"Sinalização")</f>
        <v>Sinalização</v>
      </c>
    </row>
    <row r="1323" spans="1:22" x14ac:dyDescent="0.25">
      <c r="A1323" s="3" t="s">
        <v>22</v>
      </c>
      <c r="B1323" s="4">
        <v>23409698</v>
      </c>
      <c r="C1323" s="5" t="s">
        <v>23</v>
      </c>
      <c r="D1323" s="6" t="s">
        <v>774</v>
      </c>
      <c r="E1323" s="6" t="s">
        <v>25</v>
      </c>
      <c r="F1323" s="11">
        <v>46158</v>
      </c>
      <c r="G1323" s="6" t="s">
        <v>1079</v>
      </c>
      <c r="H1323" s="7" t="s">
        <v>26</v>
      </c>
      <c r="I1323" s="7" t="s">
        <v>726</v>
      </c>
      <c r="J1323" s="7" t="s">
        <v>775</v>
      </c>
      <c r="K1323" s="7" t="s">
        <v>776</v>
      </c>
      <c r="L1323" s="3" t="str">
        <f>E1323&amp;D1323</f>
        <v>E.SP.IPAEE_MAN_CONF_C_I_SINAL L UNIFO CONT_0060</v>
      </c>
      <c r="M1323" s="3" t="str">
        <f>IFERROR(MID(D1323,SEARCH("S_I_",D1323,1),3),"")</f>
        <v/>
      </c>
      <c r="N1323" s="3" t="str">
        <f>IFERROR(MID(D1323,SEARCH("C_I_",D1323,1),3),"")</f>
        <v>C_I</v>
      </c>
      <c r="O1323" s="3" t="str">
        <f>IF(AND(M1323="",N1323=""),"Extra","")</f>
        <v/>
      </c>
      <c r="P1323" s="3" t="str">
        <f>IF(Q1323=0,"TERCEIRO","MRS")</f>
        <v>MRS</v>
      </c>
      <c r="Q1323" s="8" t="str">
        <f>IFERROR(VLOOKUP(L1323,#REF!,4,0),"0,00")</f>
        <v>0,00</v>
      </c>
      <c r="R1323" s="9" t="s">
        <v>42</v>
      </c>
      <c r="S1323" s="9">
        <f>COUNTIF(D1323,"*_SEG_*")</f>
        <v>0</v>
      </c>
      <c r="T1323" s="9">
        <f>COUNTIF(D1323,"*_MAN_*")</f>
        <v>1</v>
      </c>
      <c r="U1323" s="9">
        <f>(RIGHT(D1323,4))*1</f>
        <v>60</v>
      </c>
      <c r="V1323" s="9" t="str">
        <f>IFERROR(VLOOKUP(I1323,#REF!,2,0),"Sinalização")</f>
        <v>Sinalização</v>
      </c>
    </row>
    <row r="1324" spans="1:22" x14ac:dyDescent="0.25">
      <c r="A1324" s="3" t="s">
        <v>22</v>
      </c>
      <c r="B1324" s="4">
        <v>23409699</v>
      </c>
      <c r="C1324" s="5" t="s">
        <v>23</v>
      </c>
      <c r="D1324" s="6" t="s">
        <v>774</v>
      </c>
      <c r="E1324" s="6" t="s">
        <v>25</v>
      </c>
      <c r="F1324" s="11">
        <v>46158</v>
      </c>
      <c r="G1324" s="6" t="s">
        <v>1079</v>
      </c>
      <c r="H1324" s="7" t="s">
        <v>26</v>
      </c>
      <c r="I1324" s="7" t="s">
        <v>722</v>
      </c>
      <c r="J1324" s="7" t="s">
        <v>775</v>
      </c>
      <c r="K1324" s="7" t="s">
        <v>776</v>
      </c>
      <c r="L1324" s="3" t="str">
        <f>E1324&amp;D1324</f>
        <v>E.SP.IPAEE_MAN_CONF_C_I_SINAL L UNIFO CONT_0060</v>
      </c>
      <c r="M1324" s="3" t="str">
        <f>IFERROR(MID(D1324,SEARCH("S_I_",D1324,1),3),"")</f>
        <v/>
      </c>
      <c r="N1324" s="3" t="str">
        <f>IFERROR(MID(D1324,SEARCH("C_I_",D1324,1),3),"")</f>
        <v>C_I</v>
      </c>
      <c r="O1324" s="3" t="str">
        <f>IF(AND(M1324="",N1324=""),"Extra","")</f>
        <v/>
      </c>
      <c r="P1324" s="3" t="str">
        <f>IF(Q1324=0,"TERCEIRO","MRS")</f>
        <v>MRS</v>
      </c>
      <c r="Q1324" s="8" t="str">
        <f>IFERROR(VLOOKUP(L1324,#REF!,4,0),"0,00")</f>
        <v>0,00</v>
      </c>
      <c r="R1324" s="9" t="s">
        <v>42</v>
      </c>
      <c r="S1324" s="9">
        <f>COUNTIF(D1324,"*_SEG_*")</f>
        <v>0</v>
      </c>
      <c r="T1324" s="9">
        <f>COUNTIF(D1324,"*_MAN_*")</f>
        <v>1</v>
      </c>
      <c r="U1324" s="9">
        <f>(RIGHT(D1324,4))*1</f>
        <v>60</v>
      </c>
      <c r="V1324" s="9" t="str">
        <f>IFERROR(VLOOKUP(I1324,#REF!,2,0),"Sinalização")</f>
        <v>Sinalização</v>
      </c>
    </row>
    <row r="1325" spans="1:22" x14ac:dyDescent="0.25">
      <c r="A1325" s="3" t="s">
        <v>22</v>
      </c>
      <c r="B1325" s="4">
        <v>23410103</v>
      </c>
      <c r="C1325" s="5" t="s">
        <v>23</v>
      </c>
      <c r="D1325" s="6" t="s">
        <v>778</v>
      </c>
      <c r="E1325" s="6" t="s">
        <v>25</v>
      </c>
      <c r="F1325" s="11">
        <v>46158</v>
      </c>
      <c r="G1325" s="6" t="s">
        <v>1079</v>
      </c>
      <c r="H1325" s="7" t="s">
        <v>26</v>
      </c>
      <c r="I1325" s="7" t="s">
        <v>401</v>
      </c>
      <c r="J1325" s="7" t="s">
        <v>775</v>
      </c>
      <c r="K1325" s="7" t="s">
        <v>776</v>
      </c>
      <c r="L1325" s="3" t="str">
        <f>E1325&amp;D1325</f>
        <v>E.SP.IPAEE_MAN_CONF_C_I_SINAL L UNIFO AUT_0060</v>
      </c>
      <c r="M1325" s="3" t="str">
        <f>IFERROR(MID(D1325,SEARCH("S_I_",D1325,1),3),"")</f>
        <v/>
      </c>
      <c r="N1325" s="3" t="str">
        <f>IFERROR(MID(D1325,SEARCH("C_I_",D1325,1),3),"")</f>
        <v>C_I</v>
      </c>
      <c r="O1325" s="3" t="str">
        <f>IF(AND(M1325="",N1325=""),"Extra","")</f>
        <v/>
      </c>
      <c r="P1325" s="3" t="str">
        <f>IF(Q1325=0,"TERCEIRO","MRS")</f>
        <v>MRS</v>
      </c>
      <c r="Q1325" s="8" t="str">
        <f>IFERROR(VLOOKUP(L1325,#REF!,4,0),"0,00")</f>
        <v>0,00</v>
      </c>
      <c r="R1325" s="9" t="s">
        <v>42</v>
      </c>
      <c r="S1325" s="9">
        <f>COUNTIF(D1325,"*_SEG_*")</f>
        <v>0</v>
      </c>
      <c r="T1325" s="9">
        <f>COUNTIF(D1325,"*_MAN_*")</f>
        <v>1</v>
      </c>
      <c r="U1325" s="9">
        <f>(RIGHT(D1325,4))*1</f>
        <v>60</v>
      </c>
      <c r="V1325" s="9" t="str">
        <f>IFERROR(VLOOKUP(I1325,#REF!,2,0),"Sinalização")</f>
        <v>Sinalização</v>
      </c>
    </row>
    <row r="1326" spans="1:22" x14ac:dyDescent="0.25">
      <c r="A1326" s="3" t="s">
        <v>22</v>
      </c>
      <c r="B1326" s="4">
        <v>23410104</v>
      </c>
      <c r="C1326" s="5" t="s">
        <v>23</v>
      </c>
      <c r="D1326" s="6" t="s">
        <v>778</v>
      </c>
      <c r="E1326" s="6" t="s">
        <v>25</v>
      </c>
      <c r="F1326" s="11">
        <v>46158</v>
      </c>
      <c r="G1326" s="6" t="s">
        <v>1079</v>
      </c>
      <c r="H1326" s="7" t="s">
        <v>26</v>
      </c>
      <c r="I1326" s="7" t="s">
        <v>402</v>
      </c>
      <c r="J1326" s="7" t="s">
        <v>775</v>
      </c>
      <c r="K1326" s="7" t="s">
        <v>776</v>
      </c>
      <c r="L1326" s="3" t="str">
        <f>E1326&amp;D1326</f>
        <v>E.SP.IPAEE_MAN_CONF_C_I_SINAL L UNIFO AUT_0060</v>
      </c>
      <c r="M1326" s="3" t="str">
        <f>IFERROR(MID(D1326,SEARCH("S_I_",D1326,1),3),"")</f>
        <v/>
      </c>
      <c r="N1326" s="3" t="str">
        <f>IFERROR(MID(D1326,SEARCH("C_I_",D1326,1),3),"")</f>
        <v>C_I</v>
      </c>
      <c r="O1326" s="3" t="str">
        <f>IF(AND(M1326="",N1326=""),"Extra","")</f>
        <v/>
      </c>
      <c r="P1326" s="3" t="str">
        <f>IF(Q1326=0,"TERCEIRO","MRS")</f>
        <v>MRS</v>
      </c>
      <c r="Q1326" s="8" t="str">
        <f>IFERROR(VLOOKUP(L1326,#REF!,4,0),"0,00")</f>
        <v>0,00</v>
      </c>
      <c r="R1326" s="9" t="s">
        <v>42</v>
      </c>
      <c r="S1326" s="9">
        <f>COUNTIF(D1326,"*_SEG_*")</f>
        <v>0</v>
      </c>
      <c r="T1326" s="9">
        <f>COUNTIF(D1326,"*_MAN_*")</f>
        <v>1</v>
      </c>
      <c r="U1326" s="9">
        <f>(RIGHT(D1326,4))*1</f>
        <v>60</v>
      </c>
      <c r="V1326" s="9" t="str">
        <f>IFERROR(VLOOKUP(I1326,#REF!,2,0),"Sinalização")</f>
        <v>Sinalização</v>
      </c>
    </row>
    <row r="1327" spans="1:22" x14ac:dyDescent="0.25">
      <c r="A1327" s="3" t="s">
        <v>22</v>
      </c>
      <c r="B1327" s="4">
        <v>23410105</v>
      </c>
      <c r="C1327" s="5" t="s">
        <v>23</v>
      </c>
      <c r="D1327" s="6" t="s">
        <v>778</v>
      </c>
      <c r="E1327" s="6" t="s">
        <v>25</v>
      </c>
      <c r="F1327" s="11">
        <v>46158</v>
      </c>
      <c r="G1327" s="6" t="s">
        <v>1079</v>
      </c>
      <c r="H1327" s="7" t="s">
        <v>26</v>
      </c>
      <c r="I1327" s="7" t="s">
        <v>403</v>
      </c>
      <c r="J1327" s="7" t="s">
        <v>775</v>
      </c>
      <c r="K1327" s="7" t="s">
        <v>776</v>
      </c>
      <c r="L1327" s="3" t="str">
        <f>E1327&amp;D1327</f>
        <v>E.SP.IPAEE_MAN_CONF_C_I_SINAL L UNIFO AUT_0060</v>
      </c>
      <c r="M1327" s="3" t="str">
        <f>IFERROR(MID(D1327,SEARCH("S_I_",D1327,1),3),"")</f>
        <v/>
      </c>
      <c r="N1327" s="3" t="str">
        <f>IFERROR(MID(D1327,SEARCH("C_I_",D1327,1),3),"")</f>
        <v>C_I</v>
      </c>
      <c r="O1327" s="3" t="str">
        <f>IF(AND(M1327="",N1327=""),"Extra","")</f>
        <v/>
      </c>
      <c r="P1327" s="3" t="str">
        <f>IF(Q1327=0,"TERCEIRO","MRS")</f>
        <v>MRS</v>
      </c>
      <c r="Q1327" s="8" t="str">
        <f>IFERROR(VLOOKUP(L1327,#REF!,4,0),"0,00")</f>
        <v>0,00</v>
      </c>
      <c r="R1327" s="9" t="s">
        <v>42</v>
      </c>
      <c r="S1327" s="9">
        <f>COUNTIF(D1327,"*_SEG_*")</f>
        <v>0</v>
      </c>
      <c r="T1327" s="9">
        <f>COUNTIF(D1327,"*_MAN_*")</f>
        <v>1</v>
      </c>
      <c r="U1327" s="9">
        <f>(RIGHT(D1327,4))*1</f>
        <v>60</v>
      </c>
      <c r="V1327" s="9" t="str">
        <f>IFERROR(VLOOKUP(I1327,#REF!,2,0),"Sinalização")</f>
        <v>Sinalização</v>
      </c>
    </row>
    <row r="1328" spans="1:22" x14ac:dyDescent="0.25">
      <c r="A1328" s="3" t="s">
        <v>22</v>
      </c>
      <c r="B1328" s="4">
        <v>23410115</v>
      </c>
      <c r="C1328" s="5" t="s">
        <v>23</v>
      </c>
      <c r="D1328" s="6" t="s">
        <v>774</v>
      </c>
      <c r="E1328" s="6" t="s">
        <v>25</v>
      </c>
      <c r="F1328" s="11">
        <v>46158</v>
      </c>
      <c r="G1328" s="6" t="s">
        <v>1079</v>
      </c>
      <c r="H1328" s="7" t="s">
        <v>26</v>
      </c>
      <c r="I1328" s="7" t="s">
        <v>424</v>
      </c>
      <c r="J1328" s="7" t="s">
        <v>775</v>
      </c>
      <c r="K1328" s="7" t="s">
        <v>776</v>
      </c>
      <c r="L1328" s="3" t="str">
        <f>E1328&amp;D1328</f>
        <v>E.SP.IPAEE_MAN_CONF_C_I_SINAL L UNIFO CONT_0060</v>
      </c>
      <c r="M1328" s="3" t="str">
        <f>IFERROR(MID(D1328,SEARCH("S_I_",D1328,1),3),"")</f>
        <v/>
      </c>
      <c r="N1328" s="3" t="str">
        <f>IFERROR(MID(D1328,SEARCH("C_I_",D1328,1),3),"")</f>
        <v>C_I</v>
      </c>
      <c r="O1328" s="3" t="str">
        <f>IF(AND(M1328="",N1328=""),"Extra","")</f>
        <v/>
      </c>
      <c r="P1328" s="3" t="str">
        <f>IF(Q1328=0,"TERCEIRO","MRS")</f>
        <v>MRS</v>
      </c>
      <c r="Q1328" s="8" t="str">
        <f>IFERROR(VLOOKUP(L1328,#REF!,4,0),"0,00")</f>
        <v>0,00</v>
      </c>
      <c r="R1328" s="9" t="s">
        <v>42</v>
      </c>
      <c r="S1328" s="9">
        <f>COUNTIF(D1328,"*_SEG_*")</f>
        <v>0</v>
      </c>
      <c r="T1328" s="9">
        <f>COUNTIF(D1328,"*_MAN_*")</f>
        <v>1</v>
      </c>
      <c r="U1328" s="9">
        <f>(RIGHT(D1328,4))*1</f>
        <v>60</v>
      </c>
      <c r="V1328" s="9" t="str">
        <f>IFERROR(VLOOKUP(I1328,#REF!,2,0),"Sinalização")</f>
        <v>Sinalização</v>
      </c>
    </row>
    <row r="1329" spans="1:22" x14ac:dyDescent="0.25">
      <c r="A1329" s="3" t="s">
        <v>22</v>
      </c>
      <c r="B1329" s="4">
        <v>23410116</v>
      </c>
      <c r="C1329" s="5" t="s">
        <v>23</v>
      </c>
      <c r="D1329" s="6" t="s">
        <v>774</v>
      </c>
      <c r="E1329" s="6" t="s">
        <v>25</v>
      </c>
      <c r="F1329" s="11">
        <v>46158</v>
      </c>
      <c r="G1329" s="6" t="s">
        <v>1079</v>
      </c>
      <c r="H1329" s="7" t="s">
        <v>26</v>
      </c>
      <c r="I1329" s="7" t="s">
        <v>423</v>
      </c>
      <c r="J1329" s="7" t="s">
        <v>775</v>
      </c>
      <c r="K1329" s="7" t="s">
        <v>776</v>
      </c>
      <c r="L1329" s="3" t="str">
        <f>E1329&amp;D1329</f>
        <v>E.SP.IPAEE_MAN_CONF_C_I_SINAL L UNIFO CONT_0060</v>
      </c>
      <c r="M1329" s="3" t="str">
        <f>IFERROR(MID(D1329,SEARCH("S_I_",D1329,1),3),"")</f>
        <v/>
      </c>
      <c r="N1329" s="3" t="str">
        <f>IFERROR(MID(D1329,SEARCH("C_I_",D1329,1),3),"")</f>
        <v>C_I</v>
      </c>
      <c r="O1329" s="3" t="str">
        <f>IF(AND(M1329="",N1329=""),"Extra","")</f>
        <v/>
      </c>
      <c r="P1329" s="3" t="str">
        <f>IF(Q1329=0,"TERCEIRO","MRS")</f>
        <v>MRS</v>
      </c>
      <c r="Q1329" s="8" t="str">
        <f>IFERROR(VLOOKUP(L1329,#REF!,4,0),"0,00")</f>
        <v>0,00</v>
      </c>
      <c r="R1329" s="9" t="s">
        <v>42</v>
      </c>
      <c r="S1329" s="9">
        <f>COUNTIF(D1329,"*_SEG_*")</f>
        <v>0</v>
      </c>
      <c r="T1329" s="9">
        <f>COUNTIF(D1329,"*_MAN_*")</f>
        <v>1</v>
      </c>
      <c r="U1329" s="9">
        <f>(RIGHT(D1329,4))*1</f>
        <v>60</v>
      </c>
      <c r="V1329" s="9" t="str">
        <f>IFERROR(VLOOKUP(I1329,#REF!,2,0),"Sinalização")</f>
        <v>Sinalização</v>
      </c>
    </row>
    <row r="1330" spans="1:22" x14ac:dyDescent="0.25">
      <c r="A1330" s="3" t="s">
        <v>22</v>
      </c>
      <c r="B1330" s="4">
        <v>23410117</v>
      </c>
      <c r="C1330" s="5" t="s">
        <v>23</v>
      </c>
      <c r="D1330" s="6" t="s">
        <v>774</v>
      </c>
      <c r="E1330" s="6" t="s">
        <v>25</v>
      </c>
      <c r="F1330" s="11">
        <v>46158</v>
      </c>
      <c r="G1330" s="6" t="s">
        <v>1079</v>
      </c>
      <c r="H1330" s="7" t="s">
        <v>26</v>
      </c>
      <c r="I1330" s="7" t="s">
        <v>363</v>
      </c>
      <c r="J1330" s="7" t="s">
        <v>775</v>
      </c>
      <c r="K1330" s="7" t="s">
        <v>776</v>
      </c>
      <c r="L1330" s="3" t="str">
        <f>E1330&amp;D1330</f>
        <v>E.SP.IPAEE_MAN_CONF_C_I_SINAL L UNIFO CONT_0060</v>
      </c>
      <c r="M1330" s="3" t="str">
        <f>IFERROR(MID(D1330,SEARCH("S_I_",D1330,1),3),"")</f>
        <v/>
      </c>
      <c r="N1330" s="3" t="str">
        <f>IFERROR(MID(D1330,SEARCH("C_I_",D1330,1),3),"")</f>
        <v>C_I</v>
      </c>
      <c r="O1330" s="3" t="str">
        <f>IF(AND(M1330="",N1330=""),"Extra","")</f>
        <v/>
      </c>
      <c r="P1330" s="3" t="str">
        <f>IF(Q1330=0,"TERCEIRO","MRS")</f>
        <v>MRS</v>
      </c>
      <c r="Q1330" s="8" t="str">
        <f>IFERROR(VLOOKUP(L1330,#REF!,4,0),"0,00")</f>
        <v>0,00</v>
      </c>
      <c r="R1330" s="9" t="s">
        <v>42</v>
      </c>
      <c r="S1330" s="9">
        <f>COUNTIF(D1330,"*_SEG_*")</f>
        <v>0</v>
      </c>
      <c r="T1330" s="9">
        <f>COUNTIF(D1330,"*_MAN_*")</f>
        <v>1</v>
      </c>
      <c r="U1330" s="9">
        <f>(RIGHT(D1330,4))*1</f>
        <v>60</v>
      </c>
      <c r="V1330" s="9" t="str">
        <f>IFERROR(VLOOKUP(I1330,#REF!,2,0),"Sinalização")</f>
        <v>Sinalização</v>
      </c>
    </row>
    <row r="1331" spans="1:22" x14ac:dyDescent="0.25">
      <c r="A1331" s="3" t="s">
        <v>22</v>
      </c>
      <c r="B1331" s="4">
        <v>23410118</v>
      </c>
      <c r="C1331" s="5" t="s">
        <v>23</v>
      </c>
      <c r="D1331" s="6" t="s">
        <v>774</v>
      </c>
      <c r="E1331" s="6" t="s">
        <v>25</v>
      </c>
      <c r="F1331" s="11">
        <v>46158</v>
      </c>
      <c r="G1331" s="6" t="s">
        <v>1079</v>
      </c>
      <c r="H1331" s="7" t="s">
        <v>26</v>
      </c>
      <c r="I1331" s="7" t="s">
        <v>366</v>
      </c>
      <c r="J1331" s="7" t="s">
        <v>775</v>
      </c>
      <c r="K1331" s="7" t="s">
        <v>776</v>
      </c>
      <c r="L1331" s="3" t="str">
        <f>E1331&amp;D1331</f>
        <v>E.SP.IPAEE_MAN_CONF_C_I_SINAL L UNIFO CONT_0060</v>
      </c>
      <c r="M1331" s="3" t="str">
        <f>IFERROR(MID(D1331,SEARCH("S_I_",D1331,1),3),"")</f>
        <v/>
      </c>
      <c r="N1331" s="3" t="str">
        <f>IFERROR(MID(D1331,SEARCH("C_I_",D1331,1),3),"")</f>
        <v>C_I</v>
      </c>
      <c r="O1331" s="3" t="str">
        <f>IF(AND(M1331="",N1331=""),"Extra","")</f>
        <v/>
      </c>
      <c r="P1331" s="3" t="str">
        <f>IF(Q1331=0,"TERCEIRO","MRS")</f>
        <v>MRS</v>
      </c>
      <c r="Q1331" s="8" t="str">
        <f>IFERROR(VLOOKUP(L1331,#REF!,4,0),"0,00")</f>
        <v>0,00</v>
      </c>
      <c r="R1331" s="9" t="s">
        <v>42</v>
      </c>
      <c r="S1331" s="9">
        <f>COUNTIF(D1331,"*_SEG_*")</f>
        <v>0</v>
      </c>
      <c r="T1331" s="9">
        <f>COUNTIF(D1331,"*_MAN_*")</f>
        <v>1</v>
      </c>
      <c r="U1331" s="9">
        <f>(RIGHT(D1331,4))*1</f>
        <v>60</v>
      </c>
      <c r="V1331" s="9" t="str">
        <f>IFERROR(VLOOKUP(I1331,#REF!,2,0),"Sinalização")</f>
        <v>Sinalização</v>
      </c>
    </row>
    <row r="1332" spans="1:22" x14ac:dyDescent="0.25">
      <c r="A1332" s="3" t="s">
        <v>22</v>
      </c>
      <c r="B1332" s="4">
        <v>23410119</v>
      </c>
      <c r="C1332" s="5" t="s">
        <v>23</v>
      </c>
      <c r="D1332" s="6" t="s">
        <v>774</v>
      </c>
      <c r="E1332" s="6" t="s">
        <v>25</v>
      </c>
      <c r="F1332" s="11">
        <v>46158</v>
      </c>
      <c r="G1332" s="6" t="s">
        <v>1079</v>
      </c>
      <c r="H1332" s="7" t="s">
        <v>26</v>
      </c>
      <c r="I1332" s="7" t="s">
        <v>368</v>
      </c>
      <c r="J1332" s="7" t="s">
        <v>775</v>
      </c>
      <c r="K1332" s="7" t="s">
        <v>776</v>
      </c>
      <c r="L1332" s="3" t="str">
        <f>E1332&amp;D1332</f>
        <v>E.SP.IPAEE_MAN_CONF_C_I_SINAL L UNIFO CONT_0060</v>
      </c>
      <c r="M1332" s="3" t="str">
        <f>IFERROR(MID(D1332,SEARCH("S_I_",D1332,1),3),"")</f>
        <v/>
      </c>
      <c r="N1332" s="3" t="str">
        <f>IFERROR(MID(D1332,SEARCH("C_I_",D1332,1),3),"")</f>
        <v>C_I</v>
      </c>
      <c r="O1332" s="3" t="str">
        <f>IF(AND(M1332="",N1332=""),"Extra","")</f>
        <v/>
      </c>
      <c r="P1332" s="3" t="str">
        <f>IF(Q1332=0,"TERCEIRO","MRS")</f>
        <v>MRS</v>
      </c>
      <c r="Q1332" s="8" t="str">
        <f>IFERROR(VLOOKUP(L1332,#REF!,4,0),"0,00")</f>
        <v>0,00</v>
      </c>
      <c r="R1332" s="9" t="s">
        <v>42</v>
      </c>
      <c r="S1332" s="9">
        <f>COUNTIF(D1332,"*_SEG_*")</f>
        <v>0</v>
      </c>
      <c r="T1332" s="9">
        <f>COUNTIF(D1332,"*_MAN_*")</f>
        <v>1</v>
      </c>
      <c r="U1332" s="9">
        <f>(RIGHT(D1332,4))*1</f>
        <v>60</v>
      </c>
      <c r="V1332" s="9" t="str">
        <f>IFERROR(VLOOKUP(I1332,#REF!,2,0),"Sinalização")</f>
        <v>Sinalização</v>
      </c>
    </row>
    <row r="1333" spans="1:22" x14ac:dyDescent="0.25">
      <c r="A1333" s="3" t="s">
        <v>22</v>
      </c>
      <c r="B1333" s="4">
        <v>23410120</v>
      </c>
      <c r="C1333" s="5" t="s">
        <v>23</v>
      </c>
      <c r="D1333" s="6" t="s">
        <v>774</v>
      </c>
      <c r="E1333" s="6" t="s">
        <v>25</v>
      </c>
      <c r="F1333" s="11">
        <v>46158</v>
      </c>
      <c r="G1333" s="6" t="s">
        <v>1079</v>
      </c>
      <c r="H1333" s="7" t="s">
        <v>26</v>
      </c>
      <c r="I1333" s="7" t="s">
        <v>779</v>
      </c>
      <c r="J1333" s="7" t="s">
        <v>775</v>
      </c>
      <c r="K1333" s="7" t="s">
        <v>776</v>
      </c>
      <c r="L1333" s="3" t="str">
        <f>E1333&amp;D1333</f>
        <v>E.SP.IPAEE_MAN_CONF_C_I_SINAL L UNIFO CONT_0060</v>
      </c>
      <c r="M1333" s="3" t="str">
        <f>IFERROR(MID(D1333,SEARCH("S_I_",D1333,1),3),"")</f>
        <v/>
      </c>
      <c r="N1333" s="3" t="str">
        <f>IFERROR(MID(D1333,SEARCH("C_I_",D1333,1),3),"")</f>
        <v>C_I</v>
      </c>
      <c r="O1333" s="3" t="str">
        <f>IF(AND(M1333="",N1333=""),"Extra","")</f>
        <v/>
      </c>
      <c r="P1333" s="3" t="str">
        <f>IF(Q1333=0,"TERCEIRO","MRS")</f>
        <v>MRS</v>
      </c>
      <c r="Q1333" s="8" t="str">
        <f>IFERROR(VLOOKUP(L1333,#REF!,4,0),"0,00")</f>
        <v>0,00</v>
      </c>
      <c r="R1333" s="9" t="s">
        <v>42</v>
      </c>
      <c r="S1333" s="9">
        <f>COUNTIF(D1333,"*_SEG_*")</f>
        <v>0</v>
      </c>
      <c r="T1333" s="9">
        <f>COUNTIF(D1333,"*_MAN_*")</f>
        <v>1</v>
      </c>
      <c r="U1333" s="9">
        <f>(RIGHT(D1333,4))*1</f>
        <v>60</v>
      </c>
      <c r="V1333" s="9" t="str">
        <f>IFERROR(VLOOKUP(I1333,#REF!,2,0),"Sinalização")</f>
        <v>Sinalização</v>
      </c>
    </row>
    <row r="1334" spans="1:22" x14ac:dyDescent="0.25">
      <c r="A1334" s="3" t="s">
        <v>22</v>
      </c>
      <c r="B1334" s="4">
        <v>23410121</v>
      </c>
      <c r="C1334" s="5" t="s">
        <v>23</v>
      </c>
      <c r="D1334" s="6" t="s">
        <v>774</v>
      </c>
      <c r="E1334" s="6" t="s">
        <v>25</v>
      </c>
      <c r="F1334" s="11">
        <v>46158</v>
      </c>
      <c r="G1334" s="6" t="s">
        <v>1079</v>
      </c>
      <c r="H1334" s="7" t="s">
        <v>26</v>
      </c>
      <c r="I1334" s="7" t="s">
        <v>725</v>
      </c>
      <c r="J1334" s="7" t="s">
        <v>775</v>
      </c>
      <c r="K1334" s="7" t="s">
        <v>776</v>
      </c>
      <c r="L1334" s="3" t="str">
        <f>E1334&amp;D1334</f>
        <v>E.SP.IPAEE_MAN_CONF_C_I_SINAL L UNIFO CONT_0060</v>
      </c>
      <c r="M1334" s="3" t="str">
        <f>IFERROR(MID(D1334,SEARCH("S_I_",D1334,1),3),"")</f>
        <v/>
      </c>
      <c r="N1334" s="3" t="str">
        <f>IFERROR(MID(D1334,SEARCH("C_I_",D1334,1),3),"")</f>
        <v>C_I</v>
      </c>
      <c r="O1334" s="3" t="str">
        <f>IF(AND(M1334="",N1334=""),"Extra","")</f>
        <v/>
      </c>
      <c r="P1334" s="3" t="str">
        <f>IF(Q1334=0,"TERCEIRO","MRS")</f>
        <v>MRS</v>
      </c>
      <c r="Q1334" s="8" t="str">
        <f>IFERROR(VLOOKUP(L1334,#REF!,4,0),"0,00")</f>
        <v>0,00</v>
      </c>
      <c r="R1334" s="9" t="s">
        <v>42</v>
      </c>
      <c r="S1334" s="9">
        <f>COUNTIF(D1334,"*_SEG_*")</f>
        <v>0</v>
      </c>
      <c r="T1334" s="9">
        <f>COUNTIF(D1334,"*_MAN_*")</f>
        <v>1</v>
      </c>
      <c r="U1334" s="9">
        <f>(RIGHT(D1334,4))*1</f>
        <v>60</v>
      </c>
      <c r="V1334" s="9" t="str">
        <f>IFERROR(VLOOKUP(I1334,#REF!,2,0),"Sinalização")</f>
        <v>Sinalização</v>
      </c>
    </row>
    <row r="1335" spans="1:22" x14ac:dyDescent="0.25">
      <c r="A1335" s="3" t="s">
        <v>22</v>
      </c>
      <c r="B1335" s="4">
        <v>23410122</v>
      </c>
      <c r="C1335" s="5" t="s">
        <v>23</v>
      </c>
      <c r="D1335" s="6" t="s">
        <v>774</v>
      </c>
      <c r="E1335" s="6" t="s">
        <v>25</v>
      </c>
      <c r="F1335" s="11">
        <v>46158</v>
      </c>
      <c r="G1335" s="6" t="s">
        <v>1079</v>
      </c>
      <c r="H1335" s="7" t="s">
        <v>26</v>
      </c>
      <c r="I1335" s="7" t="s">
        <v>723</v>
      </c>
      <c r="J1335" s="7" t="s">
        <v>775</v>
      </c>
      <c r="K1335" s="7" t="s">
        <v>776</v>
      </c>
      <c r="L1335" s="3" t="str">
        <f>E1335&amp;D1335</f>
        <v>E.SP.IPAEE_MAN_CONF_C_I_SINAL L UNIFO CONT_0060</v>
      </c>
      <c r="M1335" s="3" t="str">
        <f>IFERROR(MID(D1335,SEARCH("S_I_",D1335,1),3),"")</f>
        <v/>
      </c>
      <c r="N1335" s="3" t="str">
        <f>IFERROR(MID(D1335,SEARCH("C_I_",D1335,1),3),"")</f>
        <v>C_I</v>
      </c>
      <c r="O1335" s="3" t="str">
        <f>IF(AND(M1335="",N1335=""),"Extra","")</f>
        <v/>
      </c>
      <c r="P1335" s="3" t="str">
        <f>IF(Q1335=0,"TERCEIRO","MRS")</f>
        <v>MRS</v>
      </c>
      <c r="Q1335" s="8" t="str">
        <f>IFERROR(VLOOKUP(L1335,#REF!,4,0),"0,00")</f>
        <v>0,00</v>
      </c>
      <c r="R1335" s="9" t="s">
        <v>42</v>
      </c>
      <c r="S1335" s="9">
        <f>COUNTIF(D1335,"*_SEG_*")</f>
        <v>0</v>
      </c>
      <c r="T1335" s="9">
        <f>COUNTIF(D1335,"*_MAN_*")</f>
        <v>1</v>
      </c>
      <c r="U1335" s="9">
        <f>(RIGHT(D1335,4))*1</f>
        <v>60</v>
      </c>
      <c r="V1335" s="9" t="str">
        <f>IFERROR(VLOOKUP(I1335,#REF!,2,0),"Sinalização")</f>
        <v>Sinalização</v>
      </c>
    </row>
    <row r="1336" spans="1:22" x14ac:dyDescent="0.25">
      <c r="A1336" s="3" t="s">
        <v>22</v>
      </c>
      <c r="B1336" s="4">
        <v>23410123</v>
      </c>
      <c r="C1336" s="5" t="s">
        <v>23</v>
      </c>
      <c r="D1336" s="6" t="s">
        <v>774</v>
      </c>
      <c r="E1336" s="6" t="s">
        <v>25</v>
      </c>
      <c r="F1336" s="11">
        <v>46158</v>
      </c>
      <c r="G1336" s="6" t="s">
        <v>1079</v>
      </c>
      <c r="H1336" s="7" t="s">
        <v>26</v>
      </c>
      <c r="I1336" s="7" t="s">
        <v>721</v>
      </c>
      <c r="J1336" s="7" t="s">
        <v>775</v>
      </c>
      <c r="K1336" s="7" t="s">
        <v>776</v>
      </c>
      <c r="L1336" s="3" t="str">
        <f>E1336&amp;D1336</f>
        <v>E.SP.IPAEE_MAN_CONF_C_I_SINAL L UNIFO CONT_0060</v>
      </c>
      <c r="M1336" s="3" t="str">
        <f>IFERROR(MID(D1336,SEARCH("S_I_",D1336,1),3),"")</f>
        <v/>
      </c>
      <c r="N1336" s="3" t="str">
        <f>IFERROR(MID(D1336,SEARCH("C_I_",D1336,1),3),"")</f>
        <v>C_I</v>
      </c>
      <c r="O1336" s="3" t="str">
        <f>IF(AND(M1336="",N1336=""),"Extra","")</f>
        <v/>
      </c>
      <c r="P1336" s="3" t="str">
        <f>IF(Q1336=0,"TERCEIRO","MRS")</f>
        <v>MRS</v>
      </c>
      <c r="Q1336" s="8" t="str">
        <f>IFERROR(VLOOKUP(L1336,#REF!,4,0),"0,00")</f>
        <v>0,00</v>
      </c>
      <c r="R1336" s="9" t="s">
        <v>42</v>
      </c>
      <c r="S1336" s="9">
        <f>COUNTIF(D1336,"*_SEG_*")</f>
        <v>0</v>
      </c>
      <c r="T1336" s="9">
        <f>COUNTIF(D1336,"*_MAN_*")</f>
        <v>1</v>
      </c>
      <c r="U1336" s="9">
        <f>(RIGHT(D1336,4))*1</f>
        <v>60</v>
      </c>
      <c r="V1336" s="9" t="str">
        <f>IFERROR(VLOOKUP(I1336,#REF!,2,0),"Sinalização")</f>
        <v>Sinalização</v>
      </c>
    </row>
    <row r="1337" spans="1:22" x14ac:dyDescent="0.25">
      <c r="A1337" s="3" t="s">
        <v>22</v>
      </c>
      <c r="B1337" s="4">
        <v>23410124</v>
      </c>
      <c r="C1337" s="5" t="s">
        <v>23</v>
      </c>
      <c r="D1337" s="6" t="s">
        <v>774</v>
      </c>
      <c r="E1337" s="6" t="s">
        <v>25</v>
      </c>
      <c r="F1337" s="11">
        <v>46158</v>
      </c>
      <c r="G1337" s="6" t="s">
        <v>1079</v>
      </c>
      <c r="H1337" s="7" t="s">
        <v>26</v>
      </c>
      <c r="I1337" s="7" t="s">
        <v>178</v>
      </c>
      <c r="J1337" s="7" t="s">
        <v>775</v>
      </c>
      <c r="K1337" s="7" t="s">
        <v>776</v>
      </c>
      <c r="L1337" s="3" t="str">
        <f>E1337&amp;D1337</f>
        <v>E.SP.IPAEE_MAN_CONF_C_I_SINAL L UNIFO CONT_0060</v>
      </c>
      <c r="M1337" s="3" t="str">
        <f>IFERROR(MID(D1337,SEARCH("S_I_",D1337,1),3),"")</f>
        <v/>
      </c>
      <c r="N1337" s="3" t="str">
        <f>IFERROR(MID(D1337,SEARCH("C_I_",D1337,1),3),"")</f>
        <v>C_I</v>
      </c>
      <c r="O1337" s="3" t="str">
        <f>IF(AND(M1337="",N1337=""),"Extra","")</f>
        <v/>
      </c>
      <c r="P1337" s="3" t="str">
        <f>IF(Q1337=0,"TERCEIRO","MRS")</f>
        <v>MRS</v>
      </c>
      <c r="Q1337" s="8" t="str">
        <f>IFERROR(VLOOKUP(L1337,#REF!,4,0),"0,00")</f>
        <v>0,00</v>
      </c>
      <c r="R1337" s="9" t="s">
        <v>42</v>
      </c>
      <c r="S1337" s="9">
        <f>COUNTIF(D1337,"*_SEG_*")</f>
        <v>0</v>
      </c>
      <c r="T1337" s="9">
        <f>COUNTIF(D1337,"*_MAN_*")</f>
        <v>1</v>
      </c>
      <c r="U1337" s="9">
        <f>(RIGHT(D1337,4))*1</f>
        <v>60</v>
      </c>
      <c r="V1337" s="9" t="str">
        <f>IFERROR(VLOOKUP(I1337,#REF!,2,0),"Sinalização")</f>
        <v>Sinalização</v>
      </c>
    </row>
    <row r="1338" spans="1:22" x14ac:dyDescent="0.25">
      <c r="A1338" s="3" t="s">
        <v>22</v>
      </c>
      <c r="B1338" s="4">
        <v>23410125</v>
      </c>
      <c r="C1338" s="5" t="s">
        <v>23</v>
      </c>
      <c r="D1338" s="6" t="s">
        <v>774</v>
      </c>
      <c r="E1338" s="6" t="s">
        <v>25</v>
      </c>
      <c r="F1338" s="11">
        <v>46158</v>
      </c>
      <c r="G1338" s="6" t="s">
        <v>1079</v>
      </c>
      <c r="H1338" s="7" t="s">
        <v>26</v>
      </c>
      <c r="I1338" s="7" t="s">
        <v>162</v>
      </c>
      <c r="J1338" s="7" t="s">
        <v>775</v>
      </c>
      <c r="K1338" s="7" t="s">
        <v>776</v>
      </c>
      <c r="L1338" s="3" t="str">
        <f>E1338&amp;D1338</f>
        <v>E.SP.IPAEE_MAN_CONF_C_I_SINAL L UNIFO CONT_0060</v>
      </c>
      <c r="M1338" s="3" t="str">
        <f>IFERROR(MID(D1338,SEARCH("S_I_",D1338,1),3),"")</f>
        <v/>
      </c>
      <c r="N1338" s="3" t="str">
        <f>IFERROR(MID(D1338,SEARCH("C_I_",D1338,1),3),"")</f>
        <v>C_I</v>
      </c>
      <c r="O1338" s="3" t="str">
        <f>IF(AND(M1338="",N1338=""),"Extra","")</f>
        <v/>
      </c>
      <c r="P1338" s="3" t="str">
        <f>IF(Q1338=0,"TERCEIRO","MRS")</f>
        <v>MRS</v>
      </c>
      <c r="Q1338" s="8" t="str">
        <f>IFERROR(VLOOKUP(L1338,#REF!,4,0),"0,00")</f>
        <v>0,00</v>
      </c>
      <c r="R1338" s="9" t="s">
        <v>42</v>
      </c>
      <c r="S1338" s="9">
        <f>COUNTIF(D1338,"*_SEG_*")</f>
        <v>0</v>
      </c>
      <c r="T1338" s="9">
        <f>COUNTIF(D1338,"*_MAN_*")</f>
        <v>1</v>
      </c>
      <c r="U1338" s="9">
        <f>(RIGHT(D1338,4))*1</f>
        <v>60</v>
      </c>
      <c r="V1338" s="9" t="str">
        <f>IFERROR(VLOOKUP(I1338,#REF!,2,0),"Sinalização")</f>
        <v>Sinalização</v>
      </c>
    </row>
    <row r="1339" spans="1:22" x14ac:dyDescent="0.25">
      <c r="A1339" s="3" t="s">
        <v>22</v>
      </c>
      <c r="B1339" s="4">
        <v>23410140</v>
      </c>
      <c r="C1339" s="5" t="s">
        <v>23</v>
      </c>
      <c r="D1339" s="6" t="s">
        <v>774</v>
      </c>
      <c r="E1339" s="6" t="s">
        <v>25</v>
      </c>
      <c r="F1339" s="11">
        <v>46158</v>
      </c>
      <c r="G1339" s="6" t="s">
        <v>1079</v>
      </c>
      <c r="H1339" s="7" t="s">
        <v>26</v>
      </c>
      <c r="I1339" s="7" t="s">
        <v>720</v>
      </c>
      <c r="J1339" s="7" t="s">
        <v>775</v>
      </c>
      <c r="K1339" s="7" t="s">
        <v>776</v>
      </c>
      <c r="L1339" s="3" t="str">
        <f>E1339&amp;D1339</f>
        <v>E.SP.IPAEE_MAN_CONF_C_I_SINAL L UNIFO CONT_0060</v>
      </c>
      <c r="M1339" s="3" t="str">
        <f>IFERROR(MID(D1339,SEARCH("S_I_",D1339,1),3),"")</f>
        <v/>
      </c>
      <c r="N1339" s="3" t="str">
        <f>IFERROR(MID(D1339,SEARCH("C_I_",D1339,1),3),"")</f>
        <v>C_I</v>
      </c>
      <c r="O1339" s="3" t="str">
        <f>IF(AND(M1339="",N1339=""),"Extra","")</f>
        <v/>
      </c>
      <c r="P1339" s="3" t="str">
        <f>IF(Q1339=0,"TERCEIRO","MRS")</f>
        <v>MRS</v>
      </c>
      <c r="Q1339" s="8" t="str">
        <f>IFERROR(VLOOKUP(L1339,#REF!,4,0),"0,00")</f>
        <v>0,00</v>
      </c>
      <c r="R1339" s="9" t="s">
        <v>42</v>
      </c>
      <c r="S1339" s="9">
        <f>COUNTIF(D1339,"*_SEG_*")</f>
        <v>0</v>
      </c>
      <c r="T1339" s="9">
        <f>COUNTIF(D1339,"*_MAN_*")</f>
        <v>1</v>
      </c>
      <c r="U1339" s="9">
        <f>(RIGHT(D1339,4))*1</f>
        <v>60</v>
      </c>
      <c r="V1339" s="9" t="str">
        <f>IFERROR(VLOOKUP(I1339,#REF!,2,0),"Sinalização")</f>
        <v>Sinalização</v>
      </c>
    </row>
    <row r="1340" spans="1:22" x14ac:dyDescent="0.25">
      <c r="A1340" s="3" t="s">
        <v>22</v>
      </c>
      <c r="B1340" s="4">
        <v>23410141</v>
      </c>
      <c r="C1340" s="5" t="s">
        <v>23</v>
      </c>
      <c r="D1340" s="6" t="s">
        <v>774</v>
      </c>
      <c r="E1340" s="6" t="s">
        <v>25</v>
      </c>
      <c r="F1340" s="11">
        <v>46158</v>
      </c>
      <c r="G1340" s="6" t="s">
        <v>1079</v>
      </c>
      <c r="H1340" s="7" t="s">
        <v>26</v>
      </c>
      <c r="I1340" s="7" t="s">
        <v>391</v>
      </c>
      <c r="J1340" s="7" t="s">
        <v>775</v>
      </c>
      <c r="K1340" s="7" t="s">
        <v>776</v>
      </c>
      <c r="L1340" s="3" t="str">
        <f>E1340&amp;D1340</f>
        <v>E.SP.IPAEE_MAN_CONF_C_I_SINAL L UNIFO CONT_0060</v>
      </c>
      <c r="M1340" s="3" t="str">
        <f>IFERROR(MID(D1340,SEARCH("S_I_",D1340,1),3),"")</f>
        <v/>
      </c>
      <c r="N1340" s="3" t="str">
        <f>IFERROR(MID(D1340,SEARCH("C_I_",D1340,1),3),"")</f>
        <v>C_I</v>
      </c>
      <c r="O1340" s="3" t="str">
        <f>IF(AND(M1340="",N1340=""),"Extra","")</f>
        <v/>
      </c>
      <c r="P1340" s="3" t="str">
        <f>IF(Q1340=0,"TERCEIRO","MRS")</f>
        <v>MRS</v>
      </c>
      <c r="Q1340" s="8" t="str">
        <f>IFERROR(VLOOKUP(L1340,#REF!,4,0),"0,00")</f>
        <v>0,00</v>
      </c>
      <c r="R1340" s="9" t="s">
        <v>42</v>
      </c>
      <c r="S1340" s="9">
        <f>COUNTIF(D1340,"*_SEG_*")</f>
        <v>0</v>
      </c>
      <c r="T1340" s="9">
        <f>COUNTIF(D1340,"*_MAN_*")</f>
        <v>1</v>
      </c>
      <c r="U1340" s="9">
        <f>(RIGHT(D1340,4))*1</f>
        <v>60</v>
      </c>
      <c r="V1340" s="9" t="str">
        <f>IFERROR(VLOOKUP(I1340,#REF!,2,0),"Sinalização")</f>
        <v>Sinalização</v>
      </c>
    </row>
    <row r="1341" spans="1:22" x14ac:dyDescent="0.25">
      <c r="A1341" s="3" t="s">
        <v>22</v>
      </c>
      <c r="B1341" s="4">
        <v>23410142</v>
      </c>
      <c r="C1341" s="5" t="s">
        <v>23</v>
      </c>
      <c r="D1341" s="6" t="s">
        <v>774</v>
      </c>
      <c r="E1341" s="6" t="s">
        <v>25</v>
      </c>
      <c r="F1341" s="11">
        <v>46158</v>
      </c>
      <c r="G1341" s="6" t="s">
        <v>1079</v>
      </c>
      <c r="H1341" s="7" t="s">
        <v>26</v>
      </c>
      <c r="I1341" s="7" t="s">
        <v>163</v>
      </c>
      <c r="J1341" s="7" t="s">
        <v>775</v>
      </c>
      <c r="K1341" s="7" t="s">
        <v>776</v>
      </c>
      <c r="L1341" s="3" t="str">
        <f>E1341&amp;D1341</f>
        <v>E.SP.IPAEE_MAN_CONF_C_I_SINAL L UNIFO CONT_0060</v>
      </c>
      <c r="M1341" s="3" t="str">
        <f>IFERROR(MID(D1341,SEARCH("S_I_",D1341,1),3),"")</f>
        <v/>
      </c>
      <c r="N1341" s="3" t="str">
        <f>IFERROR(MID(D1341,SEARCH("C_I_",D1341,1),3),"")</f>
        <v>C_I</v>
      </c>
      <c r="O1341" s="3" t="str">
        <f>IF(AND(M1341="",N1341=""),"Extra","")</f>
        <v/>
      </c>
      <c r="P1341" s="3" t="str">
        <f>IF(Q1341=0,"TERCEIRO","MRS")</f>
        <v>MRS</v>
      </c>
      <c r="Q1341" s="8" t="str">
        <f>IFERROR(VLOOKUP(L1341,#REF!,4,0),"0,00")</f>
        <v>0,00</v>
      </c>
      <c r="R1341" s="9" t="s">
        <v>42</v>
      </c>
      <c r="S1341" s="9">
        <f>COUNTIF(D1341,"*_SEG_*")</f>
        <v>0</v>
      </c>
      <c r="T1341" s="9">
        <f>COUNTIF(D1341,"*_MAN_*")</f>
        <v>1</v>
      </c>
      <c r="U1341" s="9">
        <f>(RIGHT(D1341,4))*1</f>
        <v>60</v>
      </c>
      <c r="V1341" s="9" t="str">
        <f>IFERROR(VLOOKUP(I1341,#REF!,2,0),"Sinalização")</f>
        <v>Sinalização</v>
      </c>
    </row>
    <row r="1342" spans="1:22" x14ac:dyDescent="0.25">
      <c r="A1342" s="3" t="s">
        <v>22</v>
      </c>
      <c r="B1342" s="4">
        <v>23324120</v>
      </c>
      <c r="C1342" s="5" t="s">
        <v>23</v>
      </c>
      <c r="D1342" s="6" t="s">
        <v>684</v>
      </c>
      <c r="E1342" s="6" t="s">
        <v>25</v>
      </c>
      <c r="F1342" s="11">
        <v>46155</v>
      </c>
      <c r="G1342" s="6" t="s">
        <v>1079</v>
      </c>
      <c r="H1342" s="7" t="s">
        <v>26</v>
      </c>
      <c r="I1342" s="7" t="s">
        <v>253</v>
      </c>
      <c r="J1342" s="7" t="s">
        <v>680</v>
      </c>
      <c r="K1342" s="7" t="s">
        <v>29</v>
      </c>
      <c r="L1342" s="3" t="str">
        <f>E1342&amp;D1342</f>
        <v>E.SP.IPAEE_INS_CONF_C_I_MCH 110VCC GRS 5C R_0090</v>
      </c>
      <c r="M1342" s="3" t="str">
        <f>IFERROR(MID(D1342,SEARCH("S_I_",D1342,1),3),"")</f>
        <v/>
      </c>
      <c r="N1342" s="3" t="str">
        <f>IFERROR(MID(D1342,SEARCH("C_I_",D1342,1),3),"")</f>
        <v>C_I</v>
      </c>
      <c r="O1342" s="3" t="str">
        <f>IF(AND(M1342="",N1342=""),"Extra","")</f>
        <v/>
      </c>
      <c r="P1342" s="3" t="str">
        <f>IF(Q1342=0,"TERCEIRO","MRS")</f>
        <v>MRS</v>
      </c>
      <c r="Q1342" s="8" t="str">
        <f>IFERROR(VLOOKUP(L1342,#REF!,4,0),"0,00")</f>
        <v>0,00</v>
      </c>
      <c r="R1342" s="9" t="s">
        <v>42</v>
      </c>
      <c r="S1342" s="9">
        <f>COUNTIF(D1342,"*_SEG_*")</f>
        <v>0</v>
      </c>
      <c r="T1342" s="9">
        <f>COUNTIF(D1342,"*_MAN_*")</f>
        <v>0</v>
      </c>
      <c r="U1342" s="9">
        <f>(RIGHT(D1342,4))*1</f>
        <v>90</v>
      </c>
      <c r="V1342" s="9" t="str">
        <f>IFERROR(VLOOKUP(I1342,#REF!,2,0),"Sinalização")</f>
        <v>Sinalização</v>
      </c>
    </row>
    <row r="1343" spans="1:22" x14ac:dyDescent="0.25">
      <c r="A1343" s="3" t="s">
        <v>22</v>
      </c>
      <c r="B1343" s="4">
        <v>23324149</v>
      </c>
      <c r="C1343" s="5" t="s">
        <v>23</v>
      </c>
      <c r="D1343" s="6" t="s">
        <v>539</v>
      </c>
      <c r="E1343" s="6" t="s">
        <v>25</v>
      </c>
      <c r="F1343" s="11">
        <v>46155</v>
      </c>
      <c r="G1343" s="6" t="s">
        <v>1079</v>
      </c>
      <c r="H1343" s="7" t="s">
        <v>26</v>
      </c>
      <c r="I1343" s="7" t="s">
        <v>685</v>
      </c>
      <c r="J1343" s="7" t="s">
        <v>541</v>
      </c>
      <c r="K1343" s="7" t="s">
        <v>29</v>
      </c>
      <c r="L1343" s="3" t="str">
        <f>E1343&amp;D1343</f>
        <v>E.SP.IPAEE_INS_CONF_C_I_TRAFO LOCAL_0090</v>
      </c>
      <c r="M1343" s="3" t="str">
        <f>IFERROR(MID(D1343,SEARCH("S_I_",D1343,1),3),"")</f>
        <v/>
      </c>
      <c r="N1343" s="3" t="str">
        <f>IFERROR(MID(D1343,SEARCH("C_I_",D1343,1),3),"")</f>
        <v>C_I</v>
      </c>
      <c r="O1343" s="3" t="str">
        <f>IF(AND(M1343="",N1343=""),"Extra","")</f>
        <v/>
      </c>
      <c r="P1343" s="3" t="str">
        <f>IF(Q1343=0,"TERCEIRO","MRS")</f>
        <v>MRS</v>
      </c>
      <c r="Q1343" s="8" t="str">
        <f>IFERROR(VLOOKUP(L1343,#REF!,4,0),"0,00")</f>
        <v>0,00</v>
      </c>
      <c r="R1343" s="9" t="s">
        <v>42</v>
      </c>
      <c r="S1343" s="9">
        <f>COUNTIF(D1343,"*_SEG_*")</f>
        <v>0</v>
      </c>
      <c r="T1343" s="9">
        <f>COUNTIF(D1343,"*_MAN_*")</f>
        <v>0</v>
      </c>
      <c r="U1343" s="9">
        <f>(RIGHT(D1343,4))*1</f>
        <v>90</v>
      </c>
      <c r="V1343" s="9" t="str">
        <f>IFERROR(VLOOKUP(I1343,#REF!,2,0),"Sinalização")</f>
        <v>Sinalização</v>
      </c>
    </row>
    <row r="1344" spans="1:22" x14ac:dyDescent="0.25">
      <c r="A1344" s="3" t="s">
        <v>22</v>
      </c>
      <c r="B1344" s="4">
        <v>23324150</v>
      </c>
      <c r="C1344" s="5" t="s">
        <v>23</v>
      </c>
      <c r="D1344" s="6" t="s">
        <v>539</v>
      </c>
      <c r="E1344" s="6" t="s">
        <v>25</v>
      </c>
      <c r="F1344" s="11">
        <v>46155</v>
      </c>
      <c r="G1344" s="6" t="s">
        <v>1079</v>
      </c>
      <c r="H1344" s="7" t="s">
        <v>26</v>
      </c>
      <c r="I1344" s="7" t="s">
        <v>686</v>
      </c>
      <c r="J1344" s="7" t="s">
        <v>541</v>
      </c>
      <c r="K1344" s="7" t="s">
        <v>29</v>
      </c>
      <c r="L1344" s="3" t="str">
        <f>E1344&amp;D1344</f>
        <v>E.SP.IPAEE_INS_CONF_C_I_TRAFO LOCAL_0090</v>
      </c>
      <c r="M1344" s="3" t="str">
        <f>IFERROR(MID(D1344,SEARCH("S_I_",D1344,1),3),"")</f>
        <v/>
      </c>
      <c r="N1344" s="3" t="str">
        <f>IFERROR(MID(D1344,SEARCH("C_I_",D1344,1),3),"")</f>
        <v>C_I</v>
      </c>
      <c r="O1344" s="3" t="str">
        <f>IF(AND(M1344="",N1344=""),"Extra","")</f>
        <v/>
      </c>
      <c r="P1344" s="3" t="str">
        <f>IF(Q1344=0,"TERCEIRO","MRS")</f>
        <v>MRS</v>
      </c>
      <c r="Q1344" s="8" t="str">
        <f>IFERROR(VLOOKUP(L1344,#REF!,4,0),"0,00")</f>
        <v>0,00</v>
      </c>
      <c r="R1344" s="9" t="s">
        <v>42</v>
      </c>
      <c r="S1344" s="9">
        <f>COUNTIF(D1344,"*_SEG_*")</f>
        <v>0</v>
      </c>
      <c r="T1344" s="9">
        <f>COUNTIF(D1344,"*_MAN_*")</f>
        <v>0</v>
      </c>
      <c r="U1344" s="9">
        <f>(RIGHT(D1344,4))*1</f>
        <v>90</v>
      </c>
      <c r="V1344" s="9" t="str">
        <f>IFERROR(VLOOKUP(I1344,#REF!,2,0),"Sinalização")</f>
        <v>Sinalização</v>
      </c>
    </row>
    <row r="1345" spans="1:22" x14ac:dyDescent="0.25">
      <c r="A1345" s="3" t="s">
        <v>22</v>
      </c>
      <c r="B1345" s="4">
        <v>23324151</v>
      </c>
      <c r="C1345" s="5" t="s">
        <v>23</v>
      </c>
      <c r="D1345" s="6" t="s">
        <v>539</v>
      </c>
      <c r="E1345" s="6" t="s">
        <v>25</v>
      </c>
      <c r="F1345" s="11">
        <v>46155</v>
      </c>
      <c r="G1345" s="6" t="s">
        <v>1079</v>
      </c>
      <c r="H1345" s="7" t="s">
        <v>26</v>
      </c>
      <c r="I1345" s="7" t="s">
        <v>687</v>
      </c>
      <c r="J1345" s="7" t="s">
        <v>541</v>
      </c>
      <c r="K1345" s="7" t="s">
        <v>29</v>
      </c>
      <c r="L1345" s="3" t="str">
        <f>E1345&amp;D1345</f>
        <v>E.SP.IPAEE_INS_CONF_C_I_TRAFO LOCAL_0090</v>
      </c>
      <c r="M1345" s="3" t="str">
        <f>IFERROR(MID(D1345,SEARCH("S_I_",D1345,1),3),"")</f>
        <v/>
      </c>
      <c r="N1345" s="3" t="str">
        <f>IFERROR(MID(D1345,SEARCH("C_I_",D1345,1),3),"")</f>
        <v>C_I</v>
      </c>
      <c r="O1345" s="3" t="str">
        <f>IF(AND(M1345="",N1345=""),"Extra","")</f>
        <v/>
      </c>
      <c r="P1345" s="3" t="str">
        <f>IF(Q1345=0,"TERCEIRO","MRS")</f>
        <v>MRS</v>
      </c>
      <c r="Q1345" s="8" t="str">
        <f>IFERROR(VLOOKUP(L1345,#REF!,4,0),"0,00")</f>
        <v>0,00</v>
      </c>
      <c r="R1345" s="9" t="s">
        <v>42</v>
      </c>
      <c r="S1345" s="9">
        <f>COUNTIF(D1345,"*_SEG_*")</f>
        <v>0</v>
      </c>
      <c r="T1345" s="9">
        <f>COUNTIF(D1345,"*_MAN_*")</f>
        <v>0</v>
      </c>
      <c r="U1345" s="9">
        <f>(RIGHT(D1345,4))*1</f>
        <v>90</v>
      </c>
      <c r="V1345" s="9" t="str">
        <f>IFERROR(VLOOKUP(I1345,#REF!,2,0),"Sinalização")</f>
        <v>Sinalização</v>
      </c>
    </row>
    <row r="1346" spans="1:22" x14ac:dyDescent="0.25">
      <c r="A1346" s="3" t="s">
        <v>22</v>
      </c>
      <c r="B1346" s="4">
        <v>23324152</v>
      </c>
      <c r="C1346" s="5" t="s">
        <v>23</v>
      </c>
      <c r="D1346" s="6" t="s">
        <v>539</v>
      </c>
      <c r="E1346" s="6" t="s">
        <v>25</v>
      </c>
      <c r="F1346" s="11">
        <v>46155</v>
      </c>
      <c r="G1346" s="6" t="s">
        <v>1079</v>
      </c>
      <c r="H1346" s="7" t="s">
        <v>26</v>
      </c>
      <c r="I1346" s="7" t="s">
        <v>688</v>
      </c>
      <c r="J1346" s="7" t="s">
        <v>541</v>
      </c>
      <c r="K1346" s="7" t="s">
        <v>29</v>
      </c>
      <c r="L1346" s="3" t="str">
        <f>E1346&amp;D1346</f>
        <v>E.SP.IPAEE_INS_CONF_C_I_TRAFO LOCAL_0090</v>
      </c>
      <c r="M1346" s="3" t="str">
        <f>IFERROR(MID(D1346,SEARCH("S_I_",D1346,1),3),"")</f>
        <v/>
      </c>
      <c r="N1346" s="3" t="str">
        <f>IFERROR(MID(D1346,SEARCH("C_I_",D1346,1),3),"")</f>
        <v>C_I</v>
      </c>
      <c r="O1346" s="3" t="str">
        <f>IF(AND(M1346="",N1346=""),"Extra","")</f>
        <v/>
      </c>
      <c r="P1346" s="3" t="str">
        <f>IF(Q1346=0,"TERCEIRO","MRS")</f>
        <v>MRS</v>
      </c>
      <c r="Q1346" s="8" t="str">
        <f>IFERROR(VLOOKUP(L1346,#REF!,4,0),"0,00")</f>
        <v>0,00</v>
      </c>
      <c r="R1346" s="9" t="s">
        <v>42</v>
      </c>
      <c r="S1346" s="9">
        <f>COUNTIF(D1346,"*_SEG_*")</f>
        <v>0</v>
      </c>
      <c r="T1346" s="9">
        <f>COUNTIF(D1346,"*_MAN_*")</f>
        <v>0</v>
      </c>
      <c r="U1346" s="9">
        <f>(RIGHT(D1346,4))*1</f>
        <v>90</v>
      </c>
      <c r="V1346" s="9" t="str">
        <f>IFERROR(VLOOKUP(I1346,#REF!,2,0),"Sinalização")</f>
        <v>Sinalização</v>
      </c>
    </row>
    <row r="1347" spans="1:22" x14ac:dyDescent="0.25">
      <c r="A1347" s="3" t="s">
        <v>22</v>
      </c>
      <c r="B1347" s="4">
        <v>23324153</v>
      </c>
      <c r="C1347" s="5" t="s">
        <v>23</v>
      </c>
      <c r="D1347" s="6" t="s">
        <v>539</v>
      </c>
      <c r="E1347" s="6" t="s">
        <v>25</v>
      </c>
      <c r="F1347" s="11">
        <v>46155</v>
      </c>
      <c r="G1347" s="6" t="s">
        <v>1079</v>
      </c>
      <c r="H1347" s="7" t="s">
        <v>26</v>
      </c>
      <c r="I1347" s="7" t="s">
        <v>689</v>
      </c>
      <c r="J1347" s="7" t="s">
        <v>541</v>
      </c>
      <c r="K1347" s="7" t="s">
        <v>29</v>
      </c>
      <c r="L1347" s="3" t="str">
        <f>E1347&amp;D1347</f>
        <v>E.SP.IPAEE_INS_CONF_C_I_TRAFO LOCAL_0090</v>
      </c>
      <c r="M1347" s="3" t="str">
        <f>IFERROR(MID(D1347,SEARCH("S_I_",D1347,1),3),"")</f>
        <v/>
      </c>
      <c r="N1347" s="3" t="str">
        <f>IFERROR(MID(D1347,SEARCH("C_I_",D1347,1),3),"")</f>
        <v>C_I</v>
      </c>
      <c r="O1347" s="3" t="str">
        <f>IF(AND(M1347="",N1347=""),"Extra","")</f>
        <v/>
      </c>
      <c r="P1347" s="3" t="str">
        <f>IF(Q1347=0,"TERCEIRO","MRS")</f>
        <v>MRS</v>
      </c>
      <c r="Q1347" s="8" t="str">
        <f>IFERROR(VLOOKUP(L1347,#REF!,4,0),"0,00")</f>
        <v>0,00</v>
      </c>
      <c r="R1347" s="9" t="s">
        <v>42</v>
      </c>
      <c r="S1347" s="9">
        <f>COUNTIF(D1347,"*_SEG_*")</f>
        <v>0</v>
      </c>
      <c r="T1347" s="9">
        <f>COUNTIF(D1347,"*_MAN_*")</f>
        <v>0</v>
      </c>
      <c r="U1347" s="9">
        <f>(RIGHT(D1347,4))*1</f>
        <v>90</v>
      </c>
      <c r="V1347" s="9" t="str">
        <f>IFERROR(VLOOKUP(I1347,#REF!,2,0),"Sinalização")</f>
        <v>Sinalização</v>
      </c>
    </row>
    <row r="1348" spans="1:22" x14ac:dyDescent="0.25">
      <c r="A1348" s="3" t="s">
        <v>22</v>
      </c>
      <c r="B1348" s="4">
        <v>23324154</v>
      </c>
      <c r="C1348" s="5" t="s">
        <v>23</v>
      </c>
      <c r="D1348" s="6" t="s">
        <v>539</v>
      </c>
      <c r="E1348" s="6" t="s">
        <v>25</v>
      </c>
      <c r="F1348" s="11">
        <v>46155</v>
      </c>
      <c r="G1348" s="6" t="s">
        <v>1079</v>
      </c>
      <c r="H1348" s="7" t="s">
        <v>26</v>
      </c>
      <c r="I1348" s="7" t="s">
        <v>690</v>
      </c>
      <c r="J1348" s="7" t="s">
        <v>541</v>
      </c>
      <c r="K1348" s="7" t="s">
        <v>29</v>
      </c>
      <c r="L1348" s="3" t="str">
        <f>E1348&amp;D1348</f>
        <v>E.SP.IPAEE_INS_CONF_C_I_TRAFO LOCAL_0090</v>
      </c>
      <c r="M1348" s="3" t="str">
        <f>IFERROR(MID(D1348,SEARCH("S_I_",D1348,1),3),"")</f>
        <v/>
      </c>
      <c r="N1348" s="3" t="str">
        <f>IFERROR(MID(D1348,SEARCH("C_I_",D1348,1),3),"")</f>
        <v>C_I</v>
      </c>
      <c r="O1348" s="3" t="str">
        <f>IF(AND(M1348="",N1348=""),"Extra","")</f>
        <v/>
      </c>
      <c r="P1348" s="3" t="str">
        <f>IF(Q1348=0,"TERCEIRO","MRS")</f>
        <v>MRS</v>
      </c>
      <c r="Q1348" s="8" t="str">
        <f>IFERROR(VLOOKUP(L1348,#REF!,4,0),"0,00")</f>
        <v>0,00</v>
      </c>
      <c r="R1348" s="9" t="s">
        <v>42</v>
      </c>
      <c r="S1348" s="9">
        <f>COUNTIF(D1348,"*_SEG_*")</f>
        <v>0</v>
      </c>
      <c r="T1348" s="9">
        <f>COUNTIF(D1348,"*_MAN_*")</f>
        <v>0</v>
      </c>
      <c r="U1348" s="9">
        <f>(RIGHT(D1348,4))*1</f>
        <v>90</v>
      </c>
      <c r="V1348" s="9" t="str">
        <f>IFERROR(VLOOKUP(I1348,#REF!,2,0),"Sinalização")</f>
        <v>Sinalização</v>
      </c>
    </row>
    <row r="1349" spans="1:22" x14ac:dyDescent="0.25">
      <c r="A1349" s="3" t="s">
        <v>22</v>
      </c>
      <c r="B1349" s="4">
        <v>23324162</v>
      </c>
      <c r="C1349" s="5" t="s">
        <v>23</v>
      </c>
      <c r="D1349" s="6" t="s">
        <v>556</v>
      </c>
      <c r="E1349" s="6" t="s">
        <v>25</v>
      </c>
      <c r="F1349" s="11">
        <v>46155</v>
      </c>
      <c r="G1349" s="6" t="s">
        <v>1079</v>
      </c>
      <c r="H1349" s="7" t="s">
        <v>26</v>
      </c>
      <c r="I1349" s="7" t="s">
        <v>400</v>
      </c>
      <c r="J1349" s="7" t="s">
        <v>558</v>
      </c>
      <c r="K1349" s="7" t="s">
        <v>29</v>
      </c>
      <c r="L1349" s="3" t="str">
        <f>E1349&amp;D1349</f>
        <v>E.SP.IPAEE_INS_CONF_S_I_CDV DETETORA CA_0090</v>
      </c>
      <c r="M1349" s="3" t="str">
        <f>IFERROR(MID(D1349,SEARCH("S_I_",D1349,1),3),"")</f>
        <v>S_I</v>
      </c>
      <c r="N1349" s="3" t="str">
        <f>IFERROR(MID(D1349,SEARCH("C_I_",D1349,1),3),"")</f>
        <v/>
      </c>
      <c r="O1349" s="3" t="str">
        <f>IF(AND(M1349="",N1349=""),"Extra","")</f>
        <v/>
      </c>
      <c r="P1349" s="3" t="str">
        <f>IF(Q1349=0,"TERCEIRO","MRS")</f>
        <v>MRS</v>
      </c>
      <c r="Q1349" s="8" t="str">
        <f>IFERROR(VLOOKUP(L1349,#REF!,4,0),"0,00")</f>
        <v>0,00</v>
      </c>
      <c r="R1349" s="9" t="s">
        <v>57</v>
      </c>
      <c r="S1349" s="9">
        <f>COUNTIF(D1349,"*_SEG_*")</f>
        <v>0</v>
      </c>
      <c r="T1349" s="9">
        <f>COUNTIF(D1349,"*_MAN_*")</f>
        <v>0</v>
      </c>
      <c r="U1349" s="9">
        <f>(RIGHT(D1349,4))*1</f>
        <v>90</v>
      </c>
      <c r="V1349" s="9" t="str">
        <f>IFERROR(VLOOKUP(I1349,#REF!,2,0),"Sinalização")</f>
        <v>Sinalização</v>
      </c>
    </row>
    <row r="1350" spans="1:22" x14ac:dyDescent="0.25">
      <c r="A1350" s="3" t="s">
        <v>22</v>
      </c>
      <c r="B1350" s="4">
        <v>23324163</v>
      </c>
      <c r="C1350" s="5" t="s">
        <v>23</v>
      </c>
      <c r="D1350" s="6" t="s">
        <v>556</v>
      </c>
      <c r="E1350" s="6" t="s">
        <v>25</v>
      </c>
      <c r="F1350" s="11">
        <v>46155</v>
      </c>
      <c r="G1350" s="6" t="s">
        <v>1079</v>
      </c>
      <c r="H1350" s="7" t="s">
        <v>26</v>
      </c>
      <c r="I1350" s="7" t="s">
        <v>405</v>
      </c>
      <c r="J1350" s="7" t="s">
        <v>558</v>
      </c>
      <c r="K1350" s="7" t="s">
        <v>29</v>
      </c>
      <c r="L1350" s="3" t="str">
        <f>E1350&amp;D1350</f>
        <v>E.SP.IPAEE_INS_CONF_S_I_CDV DETETORA CA_0090</v>
      </c>
      <c r="M1350" s="3" t="str">
        <f>IFERROR(MID(D1350,SEARCH("S_I_",D1350,1),3),"")</f>
        <v>S_I</v>
      </c>
      <c r="N1350" s="3" t="str">
        <f>IFERROR(MID(D1350,SEARCH("C_I_",D1350,1),3),"")</f>
        <v/>
      </c>
      <c r="O1350" s="3" t="str">
        <f>IF(AND(M1350="",N1350=""),"Extra","")</f>
        <v/>
      </c>
      <c r="P1350" s="3" t="str">
        <f>IF(Q1350=0,"TERCEIRO","MRS")</f>
        <v>MRS</v>
      </c>
      <c r="Q1350" s="8" t="str">
        <f>IFERROR(VLOOKUP(L1350,#REF!,4,0),"0,00")</f>
        <v>0,00</v>
      </c>
      <c r="R1350" s="9" t="s">
        <v>57</v>
      </c>
      <c r="S1350" s="9">
        <f>COUNTIF(D1350,"*_SEG_*")</f>
        <v>0</v>
      </c>
      <c r="T1350" s="9">
        <f>COUNTIF(D1350,"*_MAN_*")</f>
        <v>0</v>
      </c>
      <c r="U1350" s="9">
        <f>(RIGHT(D1350,4))*1</f>
        <v>90</v>
      </c>
      <c r="V1350" s="9" t="str">
        <f>IFERROR(VLOOKUP(I1350,#REF!,2,0),"Sinalização")</f>
        <v>Sinalização</v>
      </c>
    </row>
    <row r="1351" spans="1:22" x14ac:dyDescent="0.25">
      <c r="A1351" s="3" t="s">
        <v>22</v>
      </c>
      <c r="B1351" s="4">
        <v>23324164</v>
      </c>
      <c r="C1351" s="5" t="s">
        <v>23</v>
      </c>
      <c r="D1351" s="6" t="s">
        <v>556</v>
      </c>
      <c r="E1351" s="6" t="s">
        <v>25</v>
      </c>
      <c r="F1351" s="11">
        <v>46155</v>
      </c>
      <c r="G1351" s="6" t="s">
        <v>1079</v>
      </c>
      <c r="H1351" s="7" t="s">
        <v>26</v>
      </c>
      <c r="I1351" s="7" t="s">
        <v>691</v>
      </c>
      <c r="J1351" s="7" t="s">
        <v>558</v>
      </c>
      <c r="K1351" s="7" t="s">
        <v>29</v>
      </c>
      <c r="L1351" s="3" t="str">
        <f>E1351&amp;D1351</f>
        <v>E.SP.IPAEE_INS_CONF_S_I_CDV DETETORA CA_0090</v>
      </c>
      <c r="M1351" s="3" t="str">
        <f>IFERROR(MID(D1351,SEARCH("S_I_",D1351,1),3),"")</f>
        <v>S_I</v>
      </c>
      <c r="N1351" s="3" t="str">
        <f>IFERROR(MID(D1351,SEARCH("C_I_",D1351,1),3),"")</f>
        <v/>
      </c>
      <c r="O1351" s="3" t="str">
        <f>IF(AND(M1351="",N1351=""),"Extra","")</f>
        <v/>
      </c>
      <c r="P1351" s="3" t="str">
        <f>IF(Q1351=0,"TERCEIRO","MRS")</f>
        <v>MRS</v>
      </c>
      <c r="Q1351" s="8" t="str">
        <f>IFERROR(VLOOKUP(L1351,#REF!,4,0),"0,00")</f>
        <v>0,00</v>
      </c>
      <c r="R1351" s="9" t="s">
        <v>57</v>
      </c>
      <c r="S1351" s="9">
        <f>COUNTIF(D1351,"*_SEG_*")</f>
        <v>0</v>
      </c>
      <c r="T1351" s="9">
        <f>COUNTIF(D1351,"*_MAN_*")</f>
        <v>0</v>
      </c>
      <c r="U1351" s="9">
        <f>(RIGHT(D1351,4))*1</f>
        <v>90</v>
      </c>
      <c r="V1351" s="9" t="str">
        <f>IFERROR(VLOOKUP(I1351,#REF!,2,0),"Sinalização")</f>
        <v>Sinalização</v>
      </c>
    </row>
    <row r="1352" spans="1:22" x14ac:dyDescent="0.25">
      <c r="A1352" s="3" t="s">
        <v>22</v>
      </c>
      <c r="B1352" s="4">
        <v>23324167</v>
      </c>
      <c r="C1352" s="5" t="s">
        <v>23</v>
      </c>
      <c r="D1352" s="6" t="s">
        <v>556</v>
      </c>
      <c r="E1352" s="6" t="s">
        <v>25</v>
      </c>
      <c r="F1352" s="11">
        <v>46155</v>
      </c>
      <c r="G1352" s="6" t="s">
        <v>1079</v>
      </c>
      <c r="H1352" s="7" t="s">
        <v>26</v>
      </c>
      <c r="I1352" s="7" t="s">
        <v>302</v>
      </c>
      <c r="J1352" s="7" t="s">
        <v>558</v>
      </c>
      <c r="K1352" s="7" t="s">
        <v>29</v>
      </c>
      <c r="L1352" s="3" t="str">
        <f>E1352&amp;D1352</f>
        <v>E.SP.IPAEE_INS_CONF_S_I_CDV DETETORA CA_0090</v>
      </c>
      <c r="M1352" s="3" t="str">
        <f>IFERROR(MID(D1352,SEARCH("S_I_",D1352,1),3),"")</f>
        <v>S_I</v>
      </c>
      <c r="N1352" s="3" t="str">
        <f>IFERROR(MID(D1352,SEARCH("C_I_",D1352,1),3),"")</f>
        <v/>
      </c>
      <c r="O1352" s="3" t="str">
        <f>IF(AND(M1352="",N1352=""),"Extra","")</f>
        <v/>
      </c>
      <c r="P1352" s="3" t="str">
        <f>IF(Q1352=0,"TERCEIRO","MRS")</f>
        <v>MRS</v>
      </c>
      <c r="Q1352" s="8" t="str">
        <f>IFERROR(VLOOKUP(L1352,#REF!,4,0),"0,00")</f>
        <v>0,00</v>
      </c>
      <c r="R1352" s="9" t="s">
        <v>57</v>
      </c>
      <c r="S1352" s="9">
        <f>COUNTIF(D1352,"*_SEG_*")</f>
        <v>0</v>
      </c>
      <c r="T1352" s="9">
        <f>COUNTIF(D1352,"*_MAN_*")</f>
        <v>0</v>
      </c>
      <c r="U1352" s="9">
        <f>(RIGHT(D1352,4))*1</f>
        <v>90</v>
      </c>
      <c r="V1352" s="9" t="str">
        <f>IFERROR(VLOOKUP(I1352,#REF!,2,0),"Sinalização")</f>
        <v>Sinalização</v>
      </c>
    </row>
    <row r="1353" spans="1:22" x14ac:dyDescent="0.25">
      <c r="A1353" s="3" t="s">
        <v>22</v>
      </c>
      <c r="B1353" s="4">
        <v>23324168</v>
      </c>
      <c r="C1353" s="5" t="s">
        <v>23</v>
      </c>
      <c r="D1353" s="6" t="s">
        <v>556</v>
      </c>
      <c r="E1353" s="6" t="s">
        <v>25</v>
      </c>
      <c r="F1353" s="11">
        <v>46155</v>
      </c>
      <c r="G1353" s="6" t="s">
        <v>1079</v>
      </c>
      <c r="H1353" s="7" t="s">
        <v>26</v>
      </c>
      <c r="I1353" s="7" t="s">
        <v>301</v>
      </c>
      <c r="J1353" s="7" t="s">
        <v>558</v>
      </c>
      <c r="K1353" s="7" t="s">
        <v>29</v>
      </c>
      <c r="L1353" s="3" t="str">
        <f>E1353&amp;D1353</f>
        <v>E.SP.IPAEE_INS_CONF_S_I_CDV DETETORA CA_0090</v>
      </c>
      <c r="M1353" s="3" t="str">
        <f>IFERROR(MID(D1353,SEARCH("S_I_",D1353,1),3),"")</f>
        <v>S_I</v>
      </c>
      <c r="N1353" s="3" t="str">
        <f>IFERROR(MID(D1353,SEARCH("C_I_",D1353,1),3),"")</f>
        <v/>
      </c>
      <c r="O1353" s="3" t="str">
        <f>IF(AND(M1353="",N1353=""),"Extra","")</f>
        <v/>
      </c>
      <c r="P1353" s="3" t="str">
        <f>IF(Q1353=0,"TERCEIRO","MRS")</f>
        <v>MRS</v>
      </c>
      <c r="Q1353" s="8" t="str">
        <f>IFERROR(VLOOKUP(L1353,#REF!,4,0),"0,00")</f>
        <v>0,00</v>
      </c>
      <c r="R1353" s="9" t="s">
        <v>57</v>
      </c>
      <c r="S1353" s="9">
        <f>COUNTIF(D1353,"*_SEG_*")</f>
        <v>0</v>
      </c>
      <c r="T1353" s="9">
        <f>COUNTIF(D1353,"*_MAN_*")</f>
        <v>0</v>
      </c>
      <c r="U1353" s="9">
        <f>(RIGHT(D1353,4))*1</f>
        <v>90</v>
      </c>
      <c r="V1353" s="9" t="str">
        <f>IFERROR(VLOOKUP(I1353,#REF!,2,0),"Sinalização")</f>
        <v>Sinalização</v>
      </c>
    </row>
    <row r="1354" spans="1:22" x14ac:dyDescent="0.25">
      <c r="A1354" s="3" t="s">
        <v>22</v>
      </c>
      <c r="B1354" s="4">
        <v>23324228</v>
      </c>
      <c r="C1354" s="5" t="s">
        <v>23</v>
      </c>
      <c r="D1354" s="6" t="s">
        <v>559</v>
      </c>
      <c r="E1354" s="6" t="s">
        <v>25</v>
      </c>
      <c r="F1354" s="11">
        <v>46155</v>
      </c>
      <c r="G1354" s="6" t="s">
        <v>1079</v>
      </c>
      <c r="H1354" s="7" t="s">
        <v>26</v>
      </c>
      <c r="I1354" s="7" t="s">
        <v>691</v>
      </c>
      <c r="J1354" s="7" t="s">
        <v>560</v>
      </c>
      <c r="K1354" s="7" t="s">
        <v>29</v>
      </c>
      <c r="L1354" s="3" t="str">
        <f>E1354&amp;D1354</f>
        <v>E.SP.IPAEE_INS_SEG_S_I_CDV DETETORA CA_0090</v>
      </c>
      <c r="M1354" s="3" t="str">
        <f>IFERROR(MID(D1354,SEARCH("S_I_",D1354,1),3),"")</f>
        <v>S_I</v>
      </c>
      <c r="N1354" s="3" t="str">
        <f>IFERROR(MID(D1354,SEARCH("C_I_",D1354,1),3),"")</f>
        <v/>
      </c>
      <c r="O1354" s="3" t="str">
        <f>IF(AND(M1354="",N1354=""),"Extra","")</f>
        <v/>
      </c>
      <c r="P1354" s="3" t="str">
        <f>IF(Q1354=0,"TERCEIRO","MRS")</f>
        <v>MRS</v>
      </c>
      <c r="Q1354" s="8" t="str">
        <f>IFERROR(VLOOKUP(L1354,#REF!,4,0),"0,00")</f>
        <v>0,00</v>
      </c>
      <c r="R1354" s="9" t="s">
        <v>30</v>
      </c>
      <c r="S1354" s="9">
        <f>COUNTIF(D1354,"*_SEG_*")</f>
        <v>1</v>
      </c>
      <c r="T1354" s="9">
        <f>COUNTIF(D1354,"*_MAN_*")</f>
        <v>0</v>
      </c>
      <c r="U1354" s="9">
        <f>(RIGHT(D1354,4))*1</f>
        <v>90</v>
      </c>
      <c r="V1354" s="9" t="str">
        <f>IFERROR(VLOOKUP(I1354,#REF!,2,0),"Sinalização")</f>
        <v>Sinalização</v>
      </c>
    </row>
    <row r="1355" spans="1:22" x14ac:dyDescent="0.25">
      <c r="A1355" s="3" t="s">
        <v>22</v>
      </c>
      <c r="B1355" s="4">
        <v>23324229</v>
      </c>
      <c r="C1355" s="5" t="s">
        <v>23</v>
      </c>
      <c r="D1355" s="6" t="s">
        <v>559</v>
      </c>
      <c r="E1355" s="6" t="s">
        <v>25</v>
      </c>
      <c r="F1355" s="11">
        <v>46155</v>
      </c>
      <c r="G1355" s="6" t="s">
        <v>1079</v>
      </c>
      <c r="H1355" s="7" t="s">
        <v>26</v>
      </c>
      <c r="I1355" s="7" t="s">
        <v>692</v>
      </c>
      <c r="J1355" s="7" t="s">
        <v>560</v>
      </c>
      <c r="K1355" s="7" t="s">
        <v>29</v>
      </c>
      <c r="L1355" s="3" t="str">
        <f>E1355&amp;D1355</f>
        <v>E.SP.IPAEE_INS_SEG_S_I_CDV DETETORA CA_0090</v>
      </c>
      <c r="M1355" s="3" t="str">
        <f>IFERROR(MID(D1355,SEARCH("S_I_",D1355,1),3),"")</f>
        <v>S_I</v>
      </c>
      <c r="N1355" s="3" t="str">
        <f>IFERROR(MID(D1355,SEARCH("C_I_",D1355,1),3),"")</f>
        <v/>
      </c>
      <c r="O1355" s="3" t="str">
        <f>IF(AND(M1355="",N1355=""),"Extra","")</f>
        <v/>
      </c>
      <c r="P1355" s="3" t="str">
        <f>IF(Q1355=0,"TERCEIRO","MRS")</f>
        <v>MRS</v>
      </c>
      <c r="Q1355" s="8" t="str">
        <f>IFERROR(VLOOKUP(L1355,#REF!,4,0),"0,00")</f>
        <v>0,00</v>
      </c>
      <c r="R1355" s="9" t="s">
        <v>30</v>
      </c>
      <c r="S1355" s="9">
        <f>COUNTIF(D1355,"*_SEG_*")</f>
        <v>1</v>
      </c>
      <c r="T1355" s="9">
        <f>COUNTIF(D1355,"*_MAN_*")</f>
        <v>0</v>
      </c>
      <c r="U1355" s="9">
        <f>(RIGHT(D1355,4))*1</f>
        <v>90</v>
      </c>
      <c r="V1355" s="9" t="str">
        <f>IFERROR(VLOOKUP(I1355,#REF!,2,0),"Sinalização")</f>
        <v>Sinalização</v>
      </c>
    </row>
    <row r="1356" spans="1:22" x14ac:dyDescent="0.25">
      <c r="A1356" s="3" t="s">
        <v>22</v>
      </c>
      <c r="B1356" s="4">
        <v>23324230</v>
      </c>
      <c r="C1356" s="5" t="s">
        <v>23</v>
      </c>
      <c r="D1356" s="6" t="s">
        <v>559</v>
      </c>
      <c r="E1356" s="6" t="s">
        <v>25</v>
      </c>
      <c r="F1356" s="11">
        <v>46155</v>
      </c>
      <c r="G1356" s="6" t="s">
        <v>1079</v>
      </c>
      <c r="H1356" s="7" t="s">
        <v>26</v>
      </c>
      <c r="I1356" s="7" t="s">
        <v>400</v>
      </c>
      <c r="J1356" s="7" t="s">
        <v>560</v>
      </c>
      <c r="K1356" s="7" t="s">
        <v>29</v>
      </c>
      <c r="L1356" s="3" t="str">
        <f>E1356&amp;D1356</f>
        <v>E.SP.IPAEE_INS_SEG_S_I_CDV DETETORA CA_0090</v>
      </c>
      <c r="M1356" s="3" t="str">
        <f>IFERROR(MID(D1356,SEARCH("S_I_",D1356,1),3),"")</f>
        <v>S_I</v>
      </c>
      <c r="N1356" s="3" t="str">
        <f>IFERROR(MID(D1356,SEARCH("C_I_",D1356,1),3),"")</f>
        <v/>
      </c>
      <c r="O1356" s="3" t="str">
        <f>IF(AND(M1356="",N1356=""),"Extra","")</f>
        <v/>
      </c>
      <c r="P1356" s="3" t="str">
        <f>IF(Q1356=0,"TERCEIRO","MRS")</f>
        <v>MRS</v>
      </c>
      <c r="Q1356" s="8" t="str">
        <f>IFERROR(VLOOKUP(L1356,#REF!,4,0),"0,00")</f>
        <v>0,00</v>
      </c>
      <c r="R1356" s="9" t="s">
        <v>30</v>
      </c>
      <c r="S1356" s="9">
        <f>COUNTIF(D1356,"*_SEG_*")</f>
        <v>1</v>
      </c>
      <c r="T1356" s="9">
        <f>COUNTIF(D1356,"*_MAN_*")</f>
        <v>0</v>
      </c>
      <c r="U1356" s="9">
        <f>(RIGHT(D1356,4))*1</f>
        <v>90</v>
      </c>
      <c r="V1356" s="9" t="str">
        <f>IFERROR(VLOOKUP(I1356,#REF!,2,0),"Sinalização")</f>
        <v>Sinalização</v>
      </c>
    </row>
    <row r="1357" spans="1:22" x14ac:dyDescent="0.25">
      <c r="A1357" s="3" t="s">
        <v>22</v>
      </c>
      <c r="B1357" s="4">
        <v>23324231</v>
      </c>
      <c r="C1357" s="5" t="s">
        <v>23</v>
      </c>
      <c r="D1357" s="6" t="s">
        <v>559</v>
      </c>
      <c r="E1357" s="6" t="s">
        <v>25</v>
      </c>
      <c r="F1357" s="11">
        <v>46155</v>
      </c>
      <c r="G1357" s="6" t="s">
        <v>1079</v>
      </c>
      <c r="H1357" s="7" t="s">
        <v>26</v>
      </c>
      <c r="I1357" s="7" t="s">
        <v>405</v>
      </c>
      <c r="J1357" s="7" t="s">
        <v>560</v>
      </c>
      <c r="K1357" s="7" t="s">
        <v>29</v>
      </c>
      <c r="L1357" s="3" t="str">
        <f>E1357&amp;D1357</f>
        <v>E.SP.IPAEE_INS_SEG_S_I_CDV DETETORA CA_0090</v>
      </c>
      <c r="M1357" s="3" t="str">
        <f>IFERROR(MID(D1357,SEARCH("S_I_",D1357,1),3),"")</f>
        <v>S_I</v>
      </c>
      <c r="N1357" s="3" t="str">
        <f>IFERROR(MID(D1357,SEARCH("C_I_",D1357,1),3),"")</f>
        <v/>
      </c>
      <c r="O1357" s="3" t="str">
        <f>IF(AND(M1357="",N1357=""),"Extra","")</f>
        <v/>
      </c>
      <c r="P1357" s="3" t="str">
        <f>IF(Q1357=0,"TERCEIRO","MRS")</f>
        <v>MRS</v>
      </c>
      <c r="Q1357" s="8" t="str">
        <f>IFERROR(VLOOKUP(L1357,#REF!,4,0),"0,00")</f>
        <v>0,00</v>
      </c>
      <c r="R1357" s="9" t="s">
        <v>30</v>
      </c>
      <c r="S1357" s="9">
        <f>COUNTIF(D1357,"*_SEG_*")</f>
        <v>1</v>
      </c>
      <c r="T1357" s="9">
        <f>COUNTIF(D1357,"*_MAN_*")</f>
        <v>0</v>
      </c>
      <c r="U1357" s="9">
        <f>(RIGHT(D1357,4))*1</f>
        <v>90</v>
      </c>
      <c r="V1357" s="9" t="str">
        <f>IFERROR(VLOOKUP(I1357,#REF!,2,0),"Sinalização")</f>
        <v>Sinalização</v>
      </c>
    </row>
    <row r="1358" spans="1:22" x14ac:dyDescent="0.25">
      <c r="A1358" s="3" t="s">
        <v>22</v>
      </c>
      <c r="B1358" s="4">
        <v>23324241</v>
      </c>
      <c r="C1358" s="5" t="s">
        <v>23</v>
      </c>
      <c r="D1358" s="6" t="s">
        <v>561</v>
      </c>
      <c r="E1358" s="6" t="s">
        <v>25</v>
      </c>
      <c r="F1358" s="11">
        <v>46155</v>
      </c>
      <c r="G1358" s="6" t="s">
        <v>1079</v>
      </c>
      <c r="H1358" s="7" t="s">
        <v>26</v>
      </c>
      <c r="I1358" s="7" t="s">
        <v>693</v>
      </c>
      <c r="J1358" s="7" t="s">
        <v>563</v>
      </c>
      <c r="K1358" s="7" t="s">
        <v>29</v>
      </c>
      <c r="L1358" s="3" t="str">
        <f>E1358&amp;D1358</f>
        <v>E.SP.IPAEE_INS_CONF_S_I_MCH MAN C/CONTR_0090</v>
      </c>
      <c r="M1358" s="3" t="str">
        <f>IFERROR(MID(D1358,SEARCH("S_I_",D1358,1),3),"")</f>
        <v>S_I</v>
      </c>
      <c r="N1358" s="3" t="str">
        <f>IFERROR(MID(D1358,SEARCH("C_I_",D1358,1),3),"")</f>
        <v/>
      </c>
      <c r="O1358" s="3" t="str">
        <f>IF(AND(M1358="",N1358=""),"Extra","")</f>
        <v/>
      </c>
      <c r="P1358" s="3" t="str">
        <f>IF(Q1358=0,"TERCEIRO","MRS")</f>
        <v>MRS</v>
      </c>
      <c r="Q1358" s="8" t="str">
        <f>IFERROR(VLOOKUP(L1358,#REF!,4,0),"0,00")</f>
        <v>0,00</v>
      </c>
      <c r="R1358" s="9" t="s">
        <v>42</v>
      </c>
      <c r="S1358" s="9">
        <f>COUNTIF(D1358,"*_SEG_*")</f>
        <v>0</v>
      </c>
      <c r="T1358" s="9">
        <f>COUNTIF(D1358,"*_MAN_*")</f>
        <v>0</v>
      </c>
      <c r="U1358" s="9">
        <f>(RIGHT(D1358,4))*1</f>
        <v>90</v>
      </c>
      <c r="V1358" s="9" t="str">
        <f>IFERROR(VLOOKUP(I1358,#REF!,2,0),"Sinalização")</f>
        <v>Sinalização</v>
      </c>
    </row>
    <row r="1359" spans="1:22" x14ac:dyDescent="0.25">
      <c r="A1359" s="3" t="s">
        <v>22</v>
      </c>
      <c r="B1359" s="4">
        <v>23324261</v>
      </c>
      <c r="C1359" s="5" t="s">
        <v>23</v>
      </c>
      <c r="D1359" s="6" t="s">
        <v>566</v>
      </c>
      <c r="E1359" s="6" t="s">
        <v>25</v>
      </c>
      <c r="F1359" s="11">
        <v>46155</v>
      </c>
      <c r="G1359" s="6" t="s">
        <v>1079</v>
      </c>
      <c r="H1359" s="7" t="s">
        <v>26</v>
      </c>
      <c r="I1359" s="7" t="s">
        <v>299</v>
      </c>
      <c r="J1359" s="7" t="s">
        <v>567</v>
      </c>
      <c r="K1359" s="7" t="s">
        <v>29</v>
      </c>
      <c r="L1359" s="3" t="str">
        <f>E1359&amp;D1359</f>
        <v>E.SP.IPAEE_INS_CONF_C_I_MCH 110VCC GRS 55BR_0090</v>
      </c>
      <c r="M1359" s="3" t="str">
        <f>IFERROR(MID(D1359,SEARCH("S_I_",D1359,1),3),"")</f>
        <v/>
      </c>
      <c r="N1359" s="3" t="str">
        <f>IFERROR(MID(D1359,SEARCH("C_I_",D1359,1),3),"")</f>
        <v>C_I</v>
      </c>
      <c r="O1359" s="3" t="str">
        <f>IF(AND(M1359="",N1359=""),"Extra","")</f>
        <v/>
      </c>
      <c r="P1359" s="3" t="str">
        <f>IF(Q1359=0,"TERCEIRO","MRS")</f>
        <v>MRS</v>
      </c>
      <c r="Q1359" s="8" t="str">
        <f>IFERROR(VLOOKUP(L1359,#REF!,4,0),"0,00")</f>
        <v>0,00</v>
      </c>
      <c r="R1359" s="9" t="s">
        <v>42</v>
      </c>
      <c r="S1359" s="9">
        <f>COUNTIF(D1359,"*_SEG_*")</f>
        <v>0</v>
      </c>
      <c r="T1359" s="9">
        <f>COUNTIF(D1359,"*_MAN_*")</f>
        <v>0</v>
      </c>
      <c r="U1359" s="9">
        <f>(RIGHT(D1359,4))*1</f>
        <v>90</v>
      </c>
      <c r="V1359" s="9" t="str">
        <f>IFERROR(VLOOKUP(I1359,#REF!,2,0),"Sinalização")</f>
        <v>Sinalização</v>
      </c>
    </row>
    <row r="1360" spans="1:22" x14ac:dyDescent="0.25">
      <c r="A1360" s="3" t="s">
        <v>22</v>
      </c>
      <c r="B1360" s="4">
        <v>23324262</v>
      </c>
      <c r="C1360" s="5" t="s">
        <v>23</v>
      </c>
      <c r="D1360" s="6" t="s">
        <v>566</v>
      </c>
      <c r="E1360" s="6" t="s">
        <v>25</v>
      </c>
      <c r="F1360" s="11">
        <v>46155</v>
      </c>
      <c r="G1360" s="6" t="s">
        <v>1079</v>
      </c>
      <c r="H1360" s="7" t="s">
        <v>26</v>
      </c>
      <c r="I1360" s="7" t="s">
        <v>297</v>
      </c>
      <c r="J1360" s="7" t="s">
        <v>567</v>
      </c>
      <c r="K1360" s="7" t="s">
        <v>29</v>
      </c>
      <c r="L1360" s="3" t="str">
        <f>E1360&amp;D1360</f>
        <v>E.SP.IPAEE_INS_CONF_C_I_MCH 110VCC GRS 55BR_0090</v>
      </c>
      <c r="M1360" s="3" t="str">
        <f>IFERROR(MID(D1360,SEARCH("S_I_",D1360,1),3),"")</f>
        <v/>
      </c>
      <c r="N1360" s="3" t="str">
        <f>IFERROR(MID(D1360,SEARCH("C_I_",D1360,1),3),"")</f>
        <v>C_I</v>
      </c>
      <c r="O1360" s="3" t="str">
        <f>IF(AND(M1360="",N1360=""),"Extra","")</f>
        <v/>
      </c>
      <c r="P1360" s="3" t="str">
        <f>IF(Q1360=0,"TERCEIRO","MRS")</f>
        <v>MRS</v>
      </c>
      <c r="Q1360" s="8" t="str">
        <f>IFERROR(VLOOKUP(L1360,#REF!,4,0),"0,00")</f>
        <v>0,00</v>
      </c>
      <c r="R1360" s="9" t="s">
        <v>42</v>
      </c>
      <c r="S1360" s="9">
        <f>COUNTIF(D1360,"*_SEG_*")</f>
        <v>0</v>
      </c>
      <c r="T1360" s="9">
        <f>COUNTIF(D1360,"*_MAN_*")</f>
        <v>0</v>
      </c>
      <c r="U1360" s="9">
        <f>(RIGHT(D1360,4))*1</f>
        <v>90</v>
      </c>
      <c r="V1360" s="9" t="str">
        <f>IFERROR(VLOOKUP(I1360,#REF!,2,0),"Sinalização")</f>
        <v>Sinalização</v>
      </c>
    </row>
    <row r="1361" spans="1:22" x14ac:dyDescent="0.25">
      <c r="A1361" s="3" t="s">
        <v>22</v>
      </c>
      <c r="B1361" s="4">
        <v>23324309</v>
      </c>
      <c r="C1361" s="5" t="s">
        <v>23</v>
      </c>
      <c r="D1361" s="6" t="s">
        <v>694</v>
      </c>
      <c r="E1361" s="6" t="s">
        <v>25</v>
      </c>
      <c r="F1361" s="11">
        <v>46155</v>
      </c>
      <c r="G1361" s="6" t="s">
        <v>1079</v>
      </c>
      <c r="H1361" s="7" t="s">
        <v>26</v>
      </c>
      <c r="I1361" s="7" t="s">
        <v>253</v>
      </c>
      <c r="J1361" s="7" t="s">
        <v>591</v>
      </c>
      <c r="K1361" s="7" t="s">
        <v>29</v>
      </c>
      <c r="L1361" s="3" t="str">
        <f>E1361&amp;D1361</f>
        <v>E.SP.IPAEE_INS_CONF_S_I_MCH 110VCC GRS 5C R_0090</v>
      </c>
      <c r="M1361" s="3" t="str">
        <f>IFERROR(MID(D1361,SEARCH("S_I_",D1361,1),3),"")</f>
        <v>S_I</v>
      </c>
      <c r="N1361" s="3" t="str">
        <f>IFERROR(MID(D1361,SEARCH("C_I_",D1361,1),3),"")</f>
        <v/>
      </c>
      <c r="O1361" s="3" t="str">
        <f>IF(AND(M1361="",N1361=""),"Extra","")</f>
        <v/>
      </c>
      <c r="P1361" s="3" t="str">
        <f>IF(Q1361=0,"TERCEIRO","MRS")</f>
        <v>MRS</v>
      </c>
      <c r="Q1361" s="8" t="str">
        <f>IFERROR(VLOOKUP(L1361,#REF!,4,0),"0,00")</f>
        <v>0,00</v>
      </c>
      <c r="R1361" s="9" t="s">
        <v>42</v>
      </c>
      <c r="S1361" s="9">
        <f>COUNTIF(D1361,"*_SEG_*")</f>
        <v>0</v>
      </c>
      <c r="T1361" s="9">
        <f>COUNTIF(D1361,"*_MAN_*")</f>
        <v>0</v>
      </c>
      <c r="U1361" s="9">
        <f>(RIGHT(D1361,4))*1</f>
        <v>90</v>
      </c>
      <c r="V1361" s="9" t="str">
        <f>IFERROR(VLOOKUP(I1361,#REF!,2,0),"Sinalização")</f>
        <v>Sinalização</v>
      </c>
    </row>
    <row r="1362" spans="1:22" x14ac:dyDescent="0.25">
      <c r="A1362" s="3" t="s">
        <v>22</v>
      </c>
      <c r="B1362" s="4">
        <v>23324326</v>
      </c>
      <c r="C1362" s="5" t="s">
        <v>23</v>
      </c>
      <c r="D1362" s="6" t="s">
        <v>568</v>
      </c>
      <c r="E1362" s="6" t="s">
        <v>25</v>
      </c>
      <c r="F1362" s="11">
        <v>46155</v>
      </c>
      <c r="G1362" s="6" t="s">
        <v>1079</v>
      </c>
      <c r="H1362" s="7" t="s">
        <v>26</v>
      </c>
      <c r="I1362" s="7" t="s">
        <v>320</v>
      </c>
      <c r="J1362" s="7" t="s">
        <v>558</v>
      </c>
      <c r="K1362" s="7" t="s">
        <v>29</v>
      </c>
      <c r="L1362" s="3" t="str">
        <f>E1362&amp;D1362</f>
        <v>E.SP.IPAEE_INS_CONF_S_I_CIRCUITO VIA CA_0090</v>
      </c>
      <c r="M1362" s="3" t="str">
        <f>IFERROR(MID(D1362,SEARCH("S_I_",D1362,1),3),"")</f>
        <v>S_I</v>
      </c>
      <c r="N1362" s="3" t="str">
        <f>IFERROR(MID(D1362,SEARCH("C_I_",D1362,1),3),"")</f>
        <v/>
      </c>
      <c r="O1362" s="3" t="str">
        <f>IF(AND(M1362="",N1362=""),"Extra","")</f>
        <v/>
      </c>
      <c r="P1362" s="3" t="str">
        <f>IF(Q1362=0,"TERCEIRO","MRS")</f>
        <v>MRS</v>
      </c>
      <c r="Q1362" s="8" t="str">
        <f>IFERROR(VLOOKUP(L1362,#REF!,4,0),"0,00")</f>
        <v>0,00</v>
      </c>
      <c r="R1362" s="9" t="s">
        <v>57</v>
      </c>
      <c r="S1362" s="9">
        <f>COUNTIF(D1362,"*_SEG_*")</f>
        <v>0</v>
      </c>
      <c r="T1362" s="9">
        <f>COUNTIF(D1362,"*_MAN_*")</f>
        <v>0</v>
      </c>
      <c r="U1362" s="9">
        <f>(RIGHT(D1362,4))*1</f>
        <v>90</v>
      </c>
      <c r="V1362" s="9" t="str">
        <f>IFERROR(VLOOKUP(I1362,#REF!,2,0),"Sinalização")</f>
        <v>Sinalização</v>
      </c>
    </row>
    <row r="1363" spans="1:22" x14ac:dyDescent="0.25">
      <c r="A1363" s="3" t="s">
        <v>22</v>
      </c>
      <c r="B1363" s="4">
        <v>23324327</v>
      </c>
      <c r="C1363" s="5" t="s">
        <v>23</v>
      </c>
      <c r="D1363" s="6" t="s">
        <v>568</v>
      </c>
      <c r="E1363" s="6" t="s">
        <v>25</v>
      </c>
      <c r="F1363" s="11">
        <v>46155</v>
      </c>
      <c r="G1363" s="6" t="s">
        <v>1079</v>
      </c>
      <c r="H1363" s="7" t="s">
        <v>26</v>
      </c>
      <c r="I1363" s="7" t="s">
        <v>308</v>
      </c>
      <c r="J1363" s="7" t="s">
        <v>558</v>
      </c>
      <c r="K1363" s="7" t="s">
        <v>29</v>
      </c>
      <c r="L1363" s="3" t="str">
        <f>E1363&amp;D1363</f>
        <v>E.SP.IPAEE_INS_CONF_S_I_CIRCUITO VIA CA_0090</v>
      </c>
      <c r="M1363" s="3" t="str">
        <f>IFERROR(MID(D1363,SEARCH("S_I_",D1363,1),3),"")</f>
        <v>S_I</v>
      </c>
      <c r="N1363" s="3" t="str">
        <f>IFERROR(MID(D1363,SEARCH("C_I_",D1363,1),3),"")</f>
        <v/>
      </c>
      <c r="O1363" s="3" t="str">
        <f>IF(AND(M1363="",N1363=""),"Extra","")</f>
        <v/>
      </c>
      <c r="P1363" s="3" t="str">
        <f>IF(Q1363=0,"TERCEIRO","MRS")</f>
        <v>MRS</v>
      </c>
      <c r="Q1363" s="8" t="str">
        <f>IFERROR(VLOOKUP(L1363,#REF!,4,0),"0,00")</f>
        <v>0,00</v>
      </c>
      <c r="R1363" s="9" t="s">
        <v>57</v>
      </c>
      <c r="S1363" s="9">
        <f>COUNTIF(D1363,"*_SEG_*")</f>
        <v>0</v>
      </c>
      <c r="T1363" s="9">
        <f>COUNTIF(D1363,"*_MAN_*")</f>
        <v>0</v>
      </c>
      <c r="U1363" s="9">
        <f>(RIGHT(D1363,4))*1</f>
        <v>90</v>
      </c>
      <c r="V1363" s="9" t="str">
        <f>IFERROR(VLOOKUP(I1363,#REF!,2,0),"Sinalização")</f>
        <v>Sinalização</v>
      </c>
    </row>
    <row r="1364" spans="1:22" x14ac:dyDescent="0.25">
      <c r="A1364" s="3" t="s">
        <v>22</v>
      </c>
      <c r="B1364" s="4">
        <v>23324331</v>
      </c>
      <c r="C1364" s="5" t="s">
        <v>23</v>
      </c>
      <c r="D1364" s="6" t="s">
        <v>573</v>
      </c>
      <c r="E1364" s="6" t="s">
        <v>25</v>
      </c>
      <c r="F1364" s="11">
        <v>46155</v>
      </c>
      <c r="G1364" s="6" t="s">
        <v>1079</v>
      </c>
      <c r="H1364" s="7" t="s">
        <v>26</v>
      </c>
      <c r="I1364" s="7" t="s">
        <v>695</v>
      </c>
      <c r="J1364" s="7" t="s">
        <v>575</v>
      </c>
      <c r="K1364" s="7" t="s">
        <v>29</v>
      </c>
      <c r="L1364" s="3" t="str">
        <f>E1364&amp;D1364</f>
        <v>E.SP.IPAEE_INS_CONF_S_I_AES FIBRA OTICA_0090</v>
      </c>
      <c r="M1364" s="3" t="str">
        <f>IFERROR(MID(D1364,SEARCH("S_I_",D1364,1),3),"")</f>
        <v>S_I</v>
      </c>
      <c r="N1364" s="3" t="str">
        <f>IFERROR(MID(D1364,SEARCH("C_I_",D1364,1),3),"")</f>
        <v/>
      </c>
      <c r="O1364" s="3" t="str">
        <f>IF(AND(M1364="",N1364=""),"Extra","")</f>
        <v/>
      </c>
      <c r="P1364" s="3" t="str">
        <f>IF(Q1364=0,"TERCEIRO","MRS")</f>
        <v>MRS</v>
      </c>
      <c r="Q1364" s="8" t="str">
        <f>IFERROR(VLOOKUP(L1364,#REF!,4,0),"0,00")</f>
        <v>0,00</v>
      </c>
      <c r="R1364" s="9" t="s">
        <v>57</v>
      </c>
      <c r="S1364" s="9">
        <f>COUNTIF(D1364,"*_SEG_*")</f>
        <v>0</v>
      </c>
      <c r="T1364" s="9">
        <f>COUNTIF(D1364,"*_MAN_*")</f>
        <v>0</v>
      </c>
      <c r="U1364" s="9">
        <f>(RIGHT(D1364,4))*1</f>
        <v>90</v>
      </c>
      <c r="V1364" s="9" t="str">
        <f>IFERROR(VLOOKUP(I1364,#REF!,2,0),"Sinalização")</f>
        <v>Sinalização</v>
      </c>
    </row>
    <row r="1365" spans="1:22" x14ac:dyDescent="0.25">
      <c r="A1365" s="3" t="s">
        <v>22</v>
      </c>
      <c r="B1365" s="4">
        <v>23324333</v>
      </c>
      <c r="C1365" s="5" t="s">
        <v>23</v>
      </c>
      <c r="D1365" s="6" t="s">
        <v>576</v>
      </c>
      <c r="E1365" s="6" t="s">
        <v>25</v>
      </c>
      <c r="F1365" s="11">
        <v>46155</v>
      </c>
      <c r="G1365" s="6" t="s">
        <v>1079</v>
      </c>
      <c r="H1365" s="7" t="s">
        <v>26</v>
      </c>
      <c r="I1365" s="7" t="s">
        <v>263</v>
      </c>
      <c r="J1365" s="7" t="s">
        <v>578</v>
      </c>
      <c r="K1365" s="7" t="s">
        <v>29</v>
      </c>
      <c r="L1365" s="3" t="str">
        <f>E1365&amp;D1365</f>
        <v>E.SP.IPAEE_MAN_CONF_S_I_BL INT RELÉ S/ BAT_0090</v>
      </c>
      <c r="M1365" s="3" t="str">
        <f>IFERROR(MID(D1365,SEARCH("S_I_",D1365,1),3),"")</f>
        <v>S_I</v>
      </c>
      <c r="N1365" s="3" t="str">
        <f>IFERROR(MID(D1365,SEARCH("C_I_",D1365,1),3),"")</f>
        <v/>
      </c>
      <c r="O1365" s="3" t="str">
        <f>IF(AND(M1365="",N1365=""),"Extra","")</f>
        <v/>
      </c>
      <c r="P1365" s="3" t="str">
        <f>IF(Q1365=0,"TERCEIRO","MRS")</f>
        <v>MRS</v>
      </c>
      <c r="Q1365" s="8" t="str">
        <f>IFERROR(VLOOKUP(L1365,#REF!,4,0),"0,00")</f>
        <v>0,00</v>
      </c>
      <c r="R1365" s="9" t="s">
        <v>57</v>
      </c>
      <c r="S1365" s="9">
        <f>COUNTIF(D1365,"*_SEG_*")</f>
        <v>0</v>
      </c>
      <c r="T1365" s="9">
        <f>COUNTIF(D1365,"*_MAN_*")</f>
        <v>1</v>
      </c>
      <c r="U1365" s="9">
        <f>(RIGHT(D1365,4))*1</f>
        <v>90</v>
      </c>
      <c r="V1365" s="9" t="str">
        <f>IFERROR(VLOOKUP(I1365,#REF!,2,0),"Sinalização")</f>
        <v>Sinalização</v>
      </c>
    </row>
    <row r="1366" spans="1:22" x14ac:dyDescent="0.25">
      <c r="A1366" s="3" t="s">
        <v>22</v>
      </c>
      <c r="B1366" s="4">
        <v>23324334</v>
      </c>
      <c r="C1366" s="5" t="s">
        <v>23</v>
      </c>
      <c r="D1366" s="6" t="s">
        <v>576</v>
      </c>
      <c r="E1366" s="6" t="s">
        <v>25</v>
      </c>
      <c r="F1366" s="11">
        <v>46155</v>
      </c>
      <c r="G1366" s="6" t="s">
        <v>1079</v>
      </c>
      <c r="H1366" s="7" t="s">
        <v>26</v>
      </c>
      <c r="I1366" s="7" t="s">
        <v>264</v>
      </c>
      <c r="J1366" s="7" t="s">
        <v>578</v>
      </c>
      <c r="K1366" s="7" t="s">
        <v>29</v>
      </c>
      <c r="L1366" s="3" t="str">
        <f>E1366&amp;D1366</f>
        <v>E.SP.IPAEE_MAN_CONF_S_I_BL INT RELÉ S/ BAT_0090</v>
      </c>
      <c r="M1366" s="3" t="str">
        <f>IFERROR(MID(D1366,SEARCH("S_I_",D1366,1),3),"")</f>
        <v>S_I</v>
      </c>
      <c r="N1366" s="3" t="str">
        <f>IFERROR(MID(D1366,SEARCH("C_I_",D1366,1),3),"")</f>
        <v/>
      </c>
      <c r="O1366" s="3" t="str">
        <f>IF(AND(M1366="",N1366=""),"Extra","")</f>
        <v/>
      </c>
      <c r="P1366" s="3" t="str">
        <f>IF(Q1366=0,"TERCEIRO","MRS")</f>
        <v>MRS</v>
      </c>
      <c r="Q1366" s="8" t="str">
        <f>IFERROR(VLOOKUP(L1366,#REF!,4,0),"0,00")</f>
        <v>0,00</v>
      </c>
      <c r="R1366" s="9" t="s">
        <v>57</v>
      </c>
      <c r="S1366" s="9">
        <f>COUNTIF(D1366,"*_SEG_*")</f>
        <v>0</v>
      </c>
      <c r="T1366" s="9">
        <f>COUNTIF(D1366,"*_MAN_*")</f>
        <v>1</v>
      </c>
      <c r="U1366" s="9">
        <f>(RIGHT(D1366,4))*1</f>
        <v>90</v>
      </c>
      <c r="V1366" s="9" t="str">
        <f>IFERROR(VLOOKUP(I1366,#REF!,2,0),"Sinalização")</f>
        <v>Sinalização</v>
      </c>
    </row>
    <row r="1367" spans="1:22" x14ac:dyDescent="0.25">
      <c r="A1367" s="3" t="s">
        <v>22</v>
      </c>
      <c r="B1367" s="4">
        <v>23324335</v>
      </c>
      <c r="C1367" s="5" t="s">
        <v>23</v>
      </c>
      <c r="D1367" s="6" t="s">
        <v>576</v>
      </c>
      <c r="E1367" s="6" t="s">
        <v>25</v>
      </c>
      <c r="F1367" s="11">
        <v>46155</v>
      </c>
      <c r="G1367" s="6" t="s">
        <v>1079</v>
      </c>
      <c r="H1367" s="7" t="s">
        <v>26</v>
      </c>
      <c r="I1367" s="7" t="s">
        <v>262</v>
      </c>
      <c r="J1367" s="7" t="s">
        <v>578</v>
      </c>
      <c r="K1367" s="7" t="s">
        <v>29</v>
      </c>
      <c r="L1367" s="3" t="str">
        <f>E1367&amp;D1367</f>
        <v>E.SP.IPAEE_MAN_CONF_S_I_BL INT RELÉ S/ BAT_0090</v>
      </c>
      <c r="M1367" s="3" t="str">
        <f>IFERROR(MID(D1367,SEARCH("S_I_",D1367,1),3),"")</f>
        <v>S_I</v>
      </c>
      <c r="N1367" s="3" t="str">
        <f>IFERROR(MID(D1367,SEARCH("C_I_",D1367,1),3),"")</f>
        <v/>
      </c>
      <c r="O1367" s="3" t="str">
        <f>IF(AND(M1367="",N1367=""),"Extra","")</f>
        <v/>
      </c>
      <c r="P1367" s="3" t="str">
        <f>IF(Q1367=0,"TERCEIRO","MRS")</f>
        <v>MRS</v>
      </c>
      <c r="Q1367" s="8" t="str">
        <f>IFERROR(VLOOKUP(L1367,#REF!,4,0),"0,00")</f>
        <v>0,00</v>
      </c>
      <c r="R1367" s="9" t="s">
        <v>57</v>
      </c>
      <c r="S1367" s="9">
        <f>COUNTIF(D1367,"*_SEG_*")</f>
        <v>0</v>
      </c>
      <c r="T1367" s="9">
        <f>COUNTIF(D1367,"*_MAN_*")</f>
        <v>1</v>
      </c>
      <c r="U1367" s="9">
        <f>(RIGHT(D1367,4))*1</f>
        <v>90</v>
      </c>
      <c r="V1367" s="9" t="str">
        <f>IFERROR(VLOOKUP(I1367,#REF!,2,0),"Sinalização")</f>
        <v>Sinalização</v>
      </c>
    </row>
    <row r="1368" spans="1:22" x14ac:dyDescent="0.25">
      <c r="A1368" s="3" t="s">
        <v>22</v>
      </c>
      <c r="B1368" s="4">
        <v>23324336</v>
      </c>
      <c r="C1368" s="5" t="s">
        <v>23</v>
      </c>
      <c r="D1368" s="6" t="s">
        <v>582</v>
      </c>
      <c r="E1368" s="6" t="s">
        <v>25</v>
      </c>
      <c r="F1368" s="11">
        <v>46155</v>
      </c>
      <c r="G1368" s="6" t="s">
        <v>1079</v>
      </c>
      <c r="H1368" s="7" t="s">
        <v>26</v>
      </c>
      <c r="I1368" s="7" t="s">
        <v>696</v>
      </c>
      <c r="J1368" s="7" t="s">
        <v>584</v>
      </c>
      <c r="K1368" s="7" t="s">
        <v>29</v>
      </c>
      <c r="L1368" s="3" t="str">
        <f>E1368&amp;D1368</f>
        <v>E.SP.IPAEE_MAN_CONF_S_I_QUADRO DISTR ENER_0090</v>
      </c>
      <c r="M1368" s="3" t="str">
        <f>IFERROR(MID(D1368,SEARCH("S_I_",D1368,1),3),"")</f>
        <v>S_I</v>
      </c>
      <c r="N1368" s="3" t="str">
        <f>IFERROR(MID(D1368,SEARCH("C_I_",D1368,1),3),"")</f>
        <v/>
      </c>
      <c r="O1368" s="3" t="str">
        <f>IF(AND(M1368="",N1368=""),"Extra","")</f>
        <v/>
      </c>
      <c r="P1368" s="3" t="str">
        <f>IF(Q1368=0,"TERCEIRO","MRS")</f>
        <v>MRS</v>
      </c>
      <c r="Q1368" s="8" t="str">
        <f>IFERROR(VLOOKUP(L1368,#REF!,4,0),"0,00")</f>
        <v>0,00</v>
      </c>
      <c r="R1368" s="9" t="s">
        <v>98</v>
      </c>
      <c r="S1368" s="9">
        <f>COUNTIF(D1368,"*_SEG_*")</f>
        <v>0</v>
      </c>
      <c r="T1368" s="9">
        <f>COUNTIF(D1368,"*_MAN_*")</f>
        <v>1</v>
      </c>
      <c r="U1368" s="9">
        <f>(RIGHT(D1368,4))*1</f>
        <v>90</v>
      </c>
      <c r="V1368" s="9" t="str">
        <f>IFERROR(VLOOKUP(I1368,#REF!,2,0),"Sinalização")</f>
        <v>Sinalização</v>
      </c>
    </row>
    <row r="1369" spans="1:22" x14ac:dyDescent="0.25">
      <c r="A1369" s="3" t="s">
        <v>22</v>
      </c>
      <c r="B1369" s="4">
        <v>23324337</v>
      </c>
      <c r="C1369" s="5" t="s">
        <v>23</v>
      </c>
      <c r="D1369" s="6" t="s">
        <v>588</v>
      </c>
      <c r="E1369" s="6" t="s">
        <v>25</v>
      </c>
      <c r="F1369" s="11">
        <v>46155</v>
      </c>
      <c r="G1369" s="6" t="s">
        <v>1079</v>
      </c>
      <c r="H1369" s="7" t="s">
        <v>26</v>
      </c>
      <c r="I1369" s="7" t="s">
        <v>696</v>
      </c>
      <c r="J1369" s="7" t="s">
        <v>589</v>
      </c>
      <c r="K1369" s="7" t="s">
        <v>29</v>
      </c>
      <c r="L1369" s="3" t="str">
        <f>E1369&amp;D1369</f>
        <v>E.SP.IPAEE_INS_CONF_C_I_QUADRO DISTR ENER_0090</v>
      </c>
      <c r="M1369" s="3" t="str">
        <f>IFERROR(MID(D1369,SEARCH("S_I_",D1369,1),3),"")</f>
        <v/>
      </c>
      <c r="N1369" s="3" t="str">
        <f>IFERROR(MID(D1369,SEARCH("C_I_",D1369,1),3),"")</f>
        <v>C_I</v>
      </c>
      <c r="O1369" s="3" t="str">
        <f>IF(AND(M1369="",N1369=""),"Extra","")</f>
        <v/>
      </c>
      <c r="P1369" s="3" t="str">
        <f>IF(Q1369=0,"TERCEIRO","MRS")</f>
        <v>MRS</v>
      </c>
      <c r="Q1369" s="8" t="str">
        <f>IFERROR(VLOOKUP(L1369,#REF!,4,0),"0,00")</f>
        <v>0,00</v>
      </c>
      <c r="R1369" s="9" t="s">
        <v>98</v>
      </c>
      <c r="S1369" s="9">
        <f>COUNTIF(D1369,"*_SEG_*")</f>
        <v>0</v>
      </c>
      <c r="T1369" s="9">
        <f>COUNTIF(D1369,"*_MAN_*")</f>
        <v>0</v>
      </c>
      <c r="U1369" s="9">
        <f>(RIGHT(D1369,4))*1</f>
        <v>90</v>
      </c>
      <c r="V1369" s="9" t="str">
        <f>IFERROR(VLOOKUP(I1369,#REF!,2,0),"Sinalização")</f>
        <v>Sinalização</v>
      </c>
    </row>
    <row r="1370" spans="1:22" x14ac:dyDescent="0.25">
      <c r="A1370" s="3" t="s">
        <v>22</v>
      </c>
      <c r="B1370" s="4">
        <v>23324360</v>
      </c>
      <c r="C1370" s="5" t="s">
        <v>23</v>
      </c>
      <c r="D1370" s="6" t="s">
        <v>590</v>
      </c>
      <c r="E1370" s="6" t="s">
        <v>25</v>
      </c>
      <c r="F1370" s="11">
        <v>46155</v>
      </c>
      <c r="G1370" s="6" t="s">
        <v>1079</v>
      </c>
      <c r="H1370" s="7" t="s">
        <v>26</v>
      </c>
      <c r="I1370" s="7" t="s">
        <v>299</v>
      </c>
      <c r="J1370" s="7" t="s">
        <v>591</v>
      </c>
      <c r="K1370" s="7" t="s">
        <v>29</v>
      </c>
      <c r="L1370" s="3" t="str">
        <f>E1370&amp;D1370</f>
        <v>E.SP.IPAEE_INS_CONF_S_I_MCH 110VCC GRS 55BR_0090</v>
      </c>
      <c r="M1370" s="3" t="str">
        <f>IFERROR(MID(D1370,SEARCH("S_I_",D1370,1),3),"")</f>
        <v>S_I</v>
      </c>
      <c r="N1370" s="3" t="str">
        <f>IFERROR(MID(D1370,SEARCH("C_I_",D1370,1),3),"")</f>
        <v/>
      </c>
      <c r="O1370" s="3" t="str">
        <f>IF(AND(M1370="",N1370=""),"Extra","")</f>
        <v/>
      </c>
      <c r="P1370" s="3" t="str">
        <f>IF(Q1370=0,"TERCEIRO","MRS")</f>
        <v>MRS</v>
      </c>
      <c r="Q1370" s="8" t="str">
        <f>IFERROR(VLOOKUP(L1370,#REF!,4,0),"0,00")</f>
        <v>0,00</v>
      </c>
      <c r="R1370" s="9" t="s">
        <v>42</v>
      </c>
      <c r="S1370" s="9">
        <f>COUNTIF(D1370,"*_SEG_*")</f>
        <v>0</v>
      </c>
      <c r="T1370" s="9">
        <f>COUNTIF(D1370,"*_MAN_*")</f>
        <v>0</v>
      </c>
      <c r="U1370" s="9">
        <f>(RIGHT(D1370,4))*1</f>
        <v>90</v>
      </c>
      <c r="V1370" s="9" t="str">
        <f>IFERROR(VLOOKUP(I1370,#REF!,2,0),"Sinalização")</f>
        <v>Sinalização</v>
      </c>
    </row>
    <row r="1371" spans="1:22" x14ac:dyDescent="0.25">
      <c r="A1371" s="3" t="s">
        <v>22</v>
      </c>
      <c r="B1371" s="4">
        <v>23324361</v>
      </c>
      <c r="C1371" s="5" t="s">
        <v>23</v>
      </c>
      <c r="D1371" s="6" t="s">
        <v>590</v>
      </c>
      <c r="E1371" s="6" t="s">
        <v>25</v>
      </c>
      <c r="F1371" s="11">
        <v>46155</v>
      </c>
      <c r="G1371" s="6" t="s">
        <v>1079</v>
      </c>
      <c r="H1371" s="7" t="s">
        <v>26</v>
      </c>
      <c r="I1371" s="7" t="s">
        <v>297</v>
      </c>
      <c r="J1371" s="7" t="s">
        <v>591</v>
      </c>
      <c r="K1371" s="7" t="s">
        <v>29</v>
      </c>
      <c r="L1371" s="3" t="str">
        <f>E1371&amp;D1371</f>
        <v>E.SP.IPAEE_INS_CONF_S_I_MCH 110VCC GRS 55BR_0090</v>
      </c>
      <c r="M1371" s="3" t="str">
        <f>IFERROR(MID(D1371,SEARCH("S_I_",D1371,1),3),"")</f>
        <v>S_I</v>
      </c>
      <c r="N1371" s="3" t="str">
        <f>IFERROR(MID(D1371,SEARCH("C_I_",D1371,1),3),"")</f>
        <v/>
      </c>
      <c r="O1371" s="3" t="str">
        <f>IF(AND(M1371="",N1371=""),"Extra","")</f>
        <v/>
      </c>
      <c r="P1371" s="3" t="str">
        <f>IF(Q1371=0,"TERCEIRO","MRS")</f>
        <v>MRS</v>
      </c>
      <c r="Q1371" s="8" t="str">
        <f>IFERROR(VLOOKUP(L1371,#REF!,4,0),"0,00")</f>
        <v>0,00</v>
      </c>
      <c r="R1371" s="9" t="s">
        <v>42</v>
      </c>
      <c r="S1371" s="9">
        <f>COUNTIF(D1371,"*_SEG_*")</f>
        <v>0</v>
      </c>
      <c r="T1371" s="9">
        <f>COUNTIF(D1371,"*_MAN_*")</f>
        <v>0</v>
      </c>
      <c r="U1371" s="9">
        <f>(RIGHT(D1371,4))*1</f>
        <v>90</v>
      </c>
      <c r="V1371" s="9" t="str">
        <f>IFERROR(VLOOKUP(I1371,#REF!,2,0),"Sinalização")</f>
        <v>Sinalização</v>
      </c>
    </row>
    <row r="1372" spans="1:22" x14ac:dyDescent="0.25">
      <c r="A1372" s="3" t="s">
        <v>22</v>
      </c>
      <c r="B1372" s="4">
        <v>23324362</v>
      </c>
      <c r="C1372" s="5" t="s">
        <v>23</v>
      </c>
      <c r="D1372" s="6" t="s">
        <v>590</v>
      </c>
      <c r="E1372" s="6" t="s">
        <v>25</v>
      </c>
      <c r="F1372" s="11">
        <v>46155</v>
      </c>
      <c r="G1372" s="6" t="s">
        <v>1079</v>
      </c>
      <c r="H1372" s="7" t="s">
        <v>26</v>
      </c>
      <c r="I1372" s="7" t="s">
        <v>298</v>
      </c>
      <c r="J1372" s="7" t="s">
        <v>591</v>
      </c>
      <c r="K1372" s="7" t="s">
        <v>29</v>
      </c>
      <c r="L1372" s="3" t="str">
        <f>E1372&amp;D1372</f>
        <v>E.SP.IPAEE_INS_CONF_S_I_MCH 110VCC GRS 55BR_0090</v>
      </c>
      <c r="M1372" s="3" t="str">
        <f>IFERROR(MID(D1372,SEARCH("S_I_",D1372,1),3),"")</f>
        <v>S_I</v>
      </c>
      <c r="N1372" s="3" t="str">
        <f>IFERROR(MID(D1372,SEARCH("C_I_",D1372,1),3),"")</f>
        <v/>
      </c>
      <c r="O1372" s="3" t="str">
        <f>IF(AND(M1372="",N1372=""),"Extra","")</f>
        <v/>
      </c>
      <c r="P1372" s="3" t="str">
        <f>IF(Q1372=0,"TERCEIRO","MRS")</f>
        <v>MRS</v>
      </c>
      <c r="Q1372" s="8" t="str">
        <f>IFERROR(VLOOKUP(L1372,#REF!,4,0),"0,00")</f>
        <v>0,00</v>
      </c>
      <c r="R1372" s="9" t="s">
        <v>42</v>
      </c>
      <c r="S1372" s="9">
        <f>COUNTIF(D1372,"*_SEG_*")</f>
        <v>0</v>
      </c>
      <c r="T1372" s="9">
        <f>COUNTIF(D1372,"*_MAN_*")</f>
        <v>0</v>
      </c>
      <c r="U1372" s="9">
        <f>(RIGHT(D1372,4))*1</f>
        <v>90</v>
      </c>
      <c r="V1372" s="9" t="str">
        <f>IFERROR(VLOOKUP(I1372,#REF!,2,0),"Sinalização")</f>
        <v>Sinalização</v>
      </c>
    </row>
    <row r="1373" spans="1:22" x14ac:dyDescent="0.25">
      <c r="A1373" s="3" t="s">
        <v>22</v>
      </c>
      <c r="B1373" s="4">
        <v>23324364</v>
      </c>
      <c r="C1373" s="5" t="s">
        <v>23</v>
      </c>
      <c r="D1373" s="6" t="s">
        <v>697</v>
      </c>
      <c r="E1373" s="6" t="s">
        <v>25</v>
      </c>
      <c r="F1373" s="11">
        <v>46155</v>
      </c>
      <c r="G1373" s="6" t="s">
        <v>1079</v>
      </c>
      <c r="H1373" s="7" t="s">
        <v>26</v>
      </c>
      <c r="I1373" s="7" t="s">
        <v>306</v>
      </c>
      <c r="J1373" s="7" t="s">
        <v>591</v>
      </c>
      <c r="K1373" s="7" t="s">
        <v>29</v>
      </c>
      <c r="L1373" s="3" t="str">
        <f>E1373&amp;D1373</f>
        <v>E.SP.IPAEE_INS_CONF_S_I_MAQ CHAVE M2/M3_0090</v>
      </c>
      <c r="M1373" s="3" t="str">
        <f>IFERROR(MID(D1373,SEARCH("S_I_",D1373,1),3),"")</f>
        <v>S_I</v>
      </c>
      <c r="N1373" s="3" t="str">
        <f>IFERROR(MID(D1373,SEARCH("C_I_",D1373,1),3),"")</f>
        <v/>
      </c>
      <c r="O1373" s="3" t="str">
        <f>IF(AND(M1373="",N1373=""),"Extra","")</f>
        <v/>
      </c>
      <c r="P1373" s="3" t="str">
        <f>IF(Q1373=0,"TERCEIRO","MRS")</f>
        <v>MRS</v>
      </c>
      <c r="Q1373" s="8" t="str">
        <f>IFERROR(VLOOKUP(L1373,#REF!,4,0),"0,00")</f>
        <v>0,00</v>
      </c>
      <c r="R1373" s="9" t="s">
        <v>42</v>
      </c>
      <c r="S1373" s="9">
        <f>COUNTIF(D1373,"*_SEG_*")</f>
        <v>0</v>
      </c>
      <c r="T1373" s="9">
        <f>COUNTIF(D1373,"*_MAN_*")</f>
        <v>0</v>
      </c>
      <c r="U1373" s="9">
        <f>(RIGHT(D1373,4))*1</f>
        <v>90</v>
      </c>
      <c r="V1373" s="9" t="str">
        <f>IFERROR(VLOOKUP(I1373,#REF!,2,0),"Sinalização")</f>
        <v>Sinalização</v>
      </c>
    </row>
    <row r="1374" spans="1:22" x14ac:dyDescent="0.25">
      <c r="A1374" s="3" t="s">
        <v>22</v>
      </c>
      <c r="B1374" s="4">
        <v>23324365</v>
      </c>
      <c r="C1374" s="5" t="s">
        <v>23</v>
      </c>
      <c r="D1374" s="6" t="s">
        <v>697</v>
      </c>
      <c r="E1374" s="6" t="s">
        <v>25</v>
      </c>
      <c r="F1374" s="11">
        <v>46155</v>
      </c>
      <c r="G1374" s="6" t="s">
        <v>1079</v>
      </c>
      <c r="H1374" s="7" t="s">
        <v>26</v>
      </c>
      <c r="I1374" s="7" t="s">
        <v>305</v>
      </c>
      <c r="J1374" s="7" t="s">
        <v>591</v>
      </c>
      <c r="K1374" s="7" t="s">
        <v>29</v>
      </c>
      <c r="L1374" s="3" t="str">
        <f>E1374&amp;D1374</f>
        <v>E.SP.IPAEE_INS_CONF_S_I_MAQ CHAVE M2/M3_0090</v>
      </c>
      <c r="M1374" s="3" t="str">
        <f>IFERROR(MID(D1374,SEARCH("S_I_",D1374,1),3),"")</f>
        <v>S_I</v>
      </c>
      <c r="N1374" s="3" t="str">
        <f>IFERROR(MID(D1374,SEARCH("C_I_",D1374,1),3),"")</f>
        <v/>
      </c>
      <c r="O1374" s="3" t="str">
        <f>IF(AND(M1374="",N1374=""),"Extra","")</f>
        <v/>
      </c>
      <c r="P1374" s="3" t="str">
        <f>IF(Q1374=0,"TERCEIRO","MRS")</f>
        <v>MRS</v>
      </c>
      <c r="Q1374" s="8" t="str">
        <f>IFERROR(VLOOKUP(L1374,#REF!,4,0),"0,00")</f>
        <v>0,00</v>
      </c>
      <c r="R1374" s="9" t="s">
        <v>42</v>
      </c>
      <c r="S1374" s="9">
        <f>COUNTIF(D1374,"*_SEG_*")</f>
        <v>0</v>
      </c>
      <c r="T1374" s="9">
        <f>COUNTIF(D1374,"*_MAN_*")</f>
        <v>0</v>
      </c>
      <c r="U1374" s="9">
        <f>(RIGHT(D1374,4))*1</f>
        <v>90</v>
      </c>
      <c r="V1374" s="9" t="str">
        <f>IFERROR(VLOOKUP(I1374,#REF!,2,0),"Sinalização")</f>
        <v>Sinalização</v>
      </c>
    </row>
    <row r="1375" spans="1:22" x14ac:dyDescent="0.25">
      <c r="A1375" s="3" t="s">
        <v>22</v>
      </c>
      <c r="B1375" s="4">
        <v>23324366</v>
      </c>
      <c r="C1375" s="5" t="s">
        <v>23</v>
      </c>
      <c r="D1375" s="6" t="s">
        <v>697</v>
      </c>
      <c r="E1375" s="6" t="s">
        <v>25</v>
      </c>
      <c r="F1375" s="11">
        <v>46155</v>
      </c>
      <c r="G1375" s="6" t="s">
        <v>1079</v>
      </c>
      <c r="H1375" s="7" t="s">
        <v>26</v>
      </c>
      <c r="I1375" s="7" t="s">
        <v>304</v>
      </c>
      <c r="J1375" s="7" t="s">
        <v>591</v>
      </c>
      <c r="K1375" s="7" t="s">
        <v>29</v>
      </c>
      <c r="L1375" s="3" t="str">
        <f>E1375&amp;D1375</f>
        <v>E.SP.IPAEE_INS_CONF_S_I_MAQ CHAVE M2/M3_0090</v>
      </c>
      <c r="M1375" s="3" t="str">
        <f>IFERROR(MID(D1375,SEARCH("S_I_",D1375,1),3),"")</f>
        <v>S_I</v>
      </c>
      <c r="N1375" s="3" t="str">
        <f>IFERROR(MID(D1375,SEARCH("C_I_",D1375,1),3),"")</f>
        <v/>
      </c>
      <c r="O1375" s="3" t="str">
        <f>IF(AND(M1375="",N1375=""),"Extra","")</f>
        <v/>
      </c>
      <c r="P1375" s="3" t="str">
        <f>IF(Q1375=0,"TERCEIRO","MRS")</f>
        <v>MRS</v>
      </c>
      <c r="Q1375" s="8" t="str">
        <f>IFERROR(VLOOKUP(L1375,#REF!,4,0),"0,00")</f>
        <v>0,00</v>
      </c>
      <c r="R1375" s="9" t="s">
        <v>42</v>
      </c>
      <c r="S1375" s="9">
        <f>COUNTIF(D1375,"*_SEG_*")</f>
        <v>0</v>
      </c>
      <c r="T1375" s="9">
        <f>COUNTIF(D1375,"*_MAN_*")</f>
        <v>0</v>
      </c>
      <c r="U1375" s="9">
        <f>(RIGHT(D1375,4))*1</f>
        <v>90</v>
      </c>
      <c r="V1375" s="9" t="str">
        <f>IFERROR(VLOOKUP(I1375,#REF!,2,0),"Sinalização")</f>
        <v>Sinalização</v>
      </c>
    </row>
    <row r="1376" spans="1:22" x14ac:dyDescent="0.25">
      <c r="A1376" s="3" t="s">
        <v>22</v>
      </c>
      <c r="B1376" s="4">
        <v>23324397</v>
      </c>
      <c r="C1376" s="5" t="s">
        <v>23</v>
      </c>
      <c r="D1376" s="6" t="s">
        <v>592</v>
      </c>
      <c r="E1376" s="6" t="s">
        <v>25</v>
      </c>
      <c r="F1376" s="11">
        <v>46155</v>
      </c>
      <c r="G1376" s="6" t="s">
        <v>1079</v>
      </c>
      <c r="H1376" s="7" t="s">
        <v>26</v>
      </c>
      <c r="I1376" s="7" t="s">
        <v>696</v>
      </c>
      <c r="J1376" s="7" t="s">
        <v>593</v>
      </c>
      <c r="K1376" s="7" t="s">
        <v>29</v>
      </c>
      <c r="L1376" s="3" t="str">
        <f>E1376&amp;D1376</f>
        <v>E.SP.IPAEE_MAN_CONF_C_I_QUADRO DISTR ENER_0090</v>
      </c>
      <c r="M1376" s="3" t="str">
        <f>IFERROR(MID(D1376,SEARCH("S_I_",D1376,1),3),"")</f>
        <v/>
      </c>
      <c r="N1376" s="3" t="str">
        <f>IFERROR(MID(D1376,SEARCH("C_I_",D1376,1),3),"")</f>
        <v>C_I</v>
      </c>
      <c r="O1376" s="3" t="str">
        <f>IF(AND(M1376="",N1376=""),"Extra","")</f>
        <v/>
      </c>
      <c r="P1376" s="3" t="str">
        <f>IF(Q1376=0,"TERCEIRO","MRS")</f>
        <v>MRS</v>
      </c>
      <c r="Q1376" s="8" t="str">
        <f>IFERROR(VLOOKUP(L1376,#REF!,4,0),"0,00")</f>
        <v>0,00</v>
      </c>
      <c r="R1376" s="9" t="s">
        <v>98</v>
      </c>
      <c r="S1376" s="9">
        <f>COUNTIF(D1376,"*_SEG_*")</f>
        <v>0</v>
      </c>
      <c r="T1376" s="9">
        <f>COUNTIF(D1376,"*_MAN_*")</f>
        <v>1</v>
      </c>
      <c r="U1376" s="9">
        <f>(RIGHT(D1376,4))*1</f>
        <v>90</v>
      </c>
      <c r="V1376" s="9" t="str">
        <f>IFERROR(VLOOKUP(I1376,#REF!,2,0),"Sinalização")</f>
        <v>Sinalização</v>
      </c>
    </row>
    <row r="1377" spans="1:22" x14ac:dyDescent="0.25">
      <c r="A1377" s="3" t="s">
        <v>22</v>
      </c>
      <c r="B1377" s="4">
        <v>23324435</v>
      </c>
      <c r="C1377" s="5" t="s">
        <v>23</v>
      </c>
      <c r="D1377" s="6" t="s">
        <v>598</v>
      </c>
      <c r="E1377" s="6" t="s">
        <v>25</v>
      </c>
      <c r="F1377" s="11">
        <v>46155</v>
      </c>
      <c r="G1377" s="6" t="s">
        <v>1079</v>
      </c>
      <c r="H1377" s="7" t="s">
        <v>26</v>
      </c>
      <c r="I1377" s="7" t="s">
        <v>419</v>
      </c>
      <c r="J1377" s="7" t="s">
        <v>591</v>
      </c>
      <c r="K1377" s="7" t="s">
        <v>29</v>
      </c>
      <c r="L1377" s="3" t="str">
        <f>E1377&amp;D1377</f>
        <v>E.SP.IPAEE_INS_CONF_S_I_MCH 110V GRS 55BR R_0090</v>
      </c>
      <c r="M1377" s="3" t="str">
        <f>IFERROR(MID(D1377,SEARCH("S_I_",D1377,1),3),"")</f>
        <v>S_I</v>
      </c>
      <c r="N1377" s="3" t="str">
        <f>IFERROR(MID(D1377,SEARCH("C_I_",D1377,1),3),"")</f>
        <v/>
      </c>
      <c r="O1377" s="3" t="str">
        <f>IF(AND(M1377="",N1377=""),"Extra","")</f>
        <v/>
      </c>
      <c r="P1377" s="3" t="str">
        <f>IF(Q1377=0,"TERCEIRO","MRS")</f>
        <v>MRS</v>
      </c>
      <c r="Q1377" s="8" t="str">
        <f>IFERROR(VLOOKUP(L1377,#REF!,4,0),"0,00")</f>
        <v>0,00</v>
      </c>
      <c r="R1377" s="9" t="s">
        <v>42</v>
      </c>
      <c r="S1377" s="9">
        <f>COUNTIF(D1377,"*_SEG_*")</f>
        <v>0</v>
      </c>
      <c r="T1377" s="9">
        <f>COUNTIF(D1377,"*_MAN_*")</f>
        <v>0</v>
      </c>
      <c r="U1377" s="9">
        <f>(RIGHT(D1377,4))*1</f>
        <v>90</v>
      </c>
      <c r="V1377" s="9" t="str">
        <f>IFERROR(VLOOKUP(I1377,#REF!,2,0),"Sinalização")</f>
        <v>Sinalização</v>
      </c>
    </row>
    <row r="1378" spans="1:22" x14ac:dyDescent="0.25">
      <c r="A1378" s="3" t="s">
        <v>22</v>
      </c>
      <c r="B1378" s="4">
        <v>23324436</v>
      </c>
      <c r="C1378" s="5" t="s">
        <v>23</v>
      </c>
      <c r="D1378" s="6" t="s">
        <v>598</v>
      </c>
      <c r="E1378" s="6" t="s">
        <v>25</v>
      </c>
      <c r="F1378" s="11">
        <v>46155</v>
      </c>
      <c r="G1378" s="6" t="s">
        <v>1079</v>
      </c>
      <c r="H1378" s="7" t="s">
        <v>26</v>
      </c>
      <c r="I1378" s="7" t="s">
        <v>390</v>
      </c>
      <c r="J1378" s="7" t="s">
        <v>591</v>
      </c>
      <c r="K1378" s="7" t="s">
        <v>29</v>
      </c>
      <c r="L1378" s="3" t="str">
        <f>E1378&amp;D1378</f>
        <v>E.SP.IPAEE_INS_CONF_S_I_MCH 110V GRS 55BR R_0090</v>
      </c>
      <c r="M1378" s="3" t="str">
        <f>IFERROR(MID(D1378,SEARCH("S_I_",D1378,1),3),"")</f>
        <v>S_I</v>
      </c>
      <c r="N1378" s="3" t="str">
        <f>IFERROR(MID(D1378,SEARCH("C_I_",D1378,1),3),"")</f>
        <v/>
      </c>
      <c r="O1378" s="3" t="str">
        <f>IF(AND(M1378="",N1378=""),"Extra","")</f>
        <v/>
      </c>
      <c r="P1378" s="3" t="str">
        <f>IF(Q1378=0,"TERCEIRO","MRS")</f>
        <v>MRS</v>
      </c>
      <c r="Q1378" s="8" t="str">
        <f>IFERROR(VLOOKUP(L1378,#REF!,4,0),"0,00")</f>
        <v>0,00</v>
      </c>
      <c r="R1378" s="9" t="s">
        <v>42</v>
      </c>
      <c r="S1378" s="9">
        <f>COUNTIF(D1378,"*_SEG_*")</f>
        <v>0</v>
      </c>
      <c r="T1378" s="9">
        <f>COUNTIF(D1378,"*_MAN_*")</f>
        <v>0</v>
      </c>
      <c r="U1378" s="9">
        <f>(RIGHT(D1378,4))*1</f>
        <v>90</v>
      </c>
      <c r="V1378" s="9" t="str">
        <f>IFERROR(VLOOKUP(I1378,#REF!,2,0),"Sinalização")</f>
        <v>Sinalização</v>
      </c>
    </row>
    <row r="1379" spans="1:22" x14ac:dyDescent="0.25">
      <c r="A1379" s="3" t="s">
        <v>22</v>
      </c>
      <c r="B1379" s="4">
        <v>23324437</v>
      </c>
      <c r="C1379" s="5" t="s">
        <v>23</v>
      </c>
      <c r="D1379" s="6" t="s">
        <v>598</v>
      </c>
      <c r="E1379" s="6" t="s">
        <v>25</v>
      </c>
      <c r="F1379" s="11">
        <v>46155</v>
      </c>
      <c r="G1379" s="6" t="s">
        <v>1079</v>
      </c>
      <c r="H1379" s="7" t="s">
        <v>26</v>
      </c>
      <c r="I1379" s="7" t="s">
        <v>418</v>
      </c>
      <c r="J1379" s="7" t="s">
        <v>591</v>
      </c>
      <c r="K1379" s="7" t="s">
        <v>29</v>
      </c>
      <c r="L1379" s="3" t="str">
        <f>E1379&amp;D1379</f>
        <v>E.SP.IPAEE_INS_CONF_S_I_MCH 110V GRS 55BR R_0090</v>
      </c>
      <c r="M1379" s="3" t="str">
        <f>IFERROR(MID(D1379,SEARCH("S_I_",D1379,1),3),"")</f>
        <v>S_I</v>
      </c>
      <c r="N1379" s="3" t="str">
        <f>IFERROR(MID(D1379,SEARCH("C_I_",D1379,1),3),"")</f>
        <v/>
      </c>
      <c r="O1379" s="3" t="str">
        <f>IF(AND(M1379="",N1379=""),"Extra","")</f>
        <v/>
      </c>
      <c r="P1379" s="3" t="str">
        <f>IF(Q1379=0,"TERCEIRO","MRS")</f>
        <v>MRS</v>
      </c>
      <c r="Q1379" s="8" t="str">
        <f>IFERROR(VLOOKUP(L1379,#REF!,4,0),"0,00")</f>
        <v>0,00</v>
      </c>
      <c r="R1379" s="9" t="s">
        <v>42</v>
      </c>
      <c r="S1379" s="9">
        <f>COUNTIF(D1379,"*_SEG_*")</f>
        <v>0</v>
      </c>
      <c r="T1379" s="9">
        <f>COUNTIF(D1379,"*_MAN_*")</f>
        <v>0</v>
      </c>
      <c r="U1379" s="9">
        <f>(RIGHT(D1379,4))*1</f>
        <v>90</v>
      </c>
      <c r="V1379" s="9" t="str">
        <f>IFERROR(VLOOKUP(I1379,#REF!,2,0),"Sinalização")</f>
        <v>Sinalização</v>
      </c>
    </row>
    <row r="1380" spans="1:22" x14ac:dyDescent="0.25">
      <c r="A1380" s="3" t="s">
        <v>22</v>
      </c>
      <c r="B1380" s="4">
        <v>23324438</v>
      </c>
      <c r="C1380" s="5" t="s">
        <v>23</v>
      </c>
      <c r="D1380" s="6" t="s">
        <v>598</v>
      </c>
      <c r="E1380" s="6" t="s">
        <v>25</v>
      </c>
      <c r="F1380" s="11">
        <v>46155</v>
      </c>
      <c r="G1380" s="6" t="s">
        <v>1079</v>
      </c>
      <c r="H1380" s="7" t="s">
        <v>26</v>
      </c>
      <c r="I1380" s="7" t="s">
        <v>247</v>
      </c>
      <c r="J1380" s="7" t="s">
        <v>591</v>
      </c>
      <c r="K1380" s="7" t="s">
        <v>29</v>
      </c>
      <c r="L1380" s="3" t="str">
        <f>E1380&amp;D1380</f>
        <v>E.SP.IPAEE_INS_CONF_S_I_MCH 110V GRS 55BR R_0090</v>
      </c>
      <c r="M1380" s="3" t="str">
        <f>IFERROR(MID(D1380,SEARCH("S_I_",D1380,1),3),"")</f>
        <v>S_I</v>
      </c>
      <c r="N1380" s="3" t="str">
        <f>IFERROR(MID(D1380,SEARCH("C_I_",D1380,1),3),"")</f>
        <v/>
      </c>
      <c r="O1380" s="3" t="str">
        <f>IF(AND(M1380="",N1380=""),"Extra","")</f>
        <v/>
      </c>
      <c r="P1380" s="3" t="str">
        <f>IF(Q1380=0,"TERCEIRO","MRS")</f>
        <v>MRS</v>
      </c>
      <c r="Q1380" s="8" t="str">
        <f>IFERROR(VLOOKUP(L1380,#REF!,4,0),"0,00")</f>
        <v>0,00</v>
      </c>
      <c r="R1380" s="9" t="s">
        <v>42</v>
      </c>
      <c r="S1380" s="9">
        <f>COUNTIF(D1380,"*_SEG_*")</f>
        <v>0</v>
      </c>
      <c r="T1380" s="9">
        <f>COUNTIF(D1380,"*_MAN_*")</f>
        <v>0</v>
      </c>
      <c r="U1380" s="9">
        <f>(RIGHT(D1380,4))*1</f>
        <v>90</v>
      </c>
      <c r="V1380" s="9" t="str">
        <f>IFERROR(VLOOKUP(I1380,#REF!,2,0),"Sinalização")</f>
        <v>Sinalização</v>
      </c>
    </row>
    <row r="1381" spans="1:22" x14ac:dyDescent="0.25">
      <c r="A1381" s="3" t="s">
        <v>22</v>
      </c>
      <c r="B1381" s="4">
        <v>23324439</v>
      </c>
      <c r="C1381" s="5" t="s">
        <v>23</v>
      </c>
      <c r="D1381" s="6" t="s">
        <v>598</v>
      </c>
      <c r="E1381" s="6" t="s">
        <v>25</v>
      </c>
      <c r="F1381" s="11">
        <v>46155</v>
      </c>
      <c r="G1381" s="6" t="s">
        <v>1079</v>
      </c>
      <c r="H1381" s="7" t="s">
        <v>26</v>
      </c>
      <c r="I1381" s="7" t="s">
        <v>258</v>
      </c>
      <c r="J1381" s="7" t="s">
        <v>591</v>
      </c>
      <c r="K1381" s="7" t="s">
        <v>29</v>
      </c>
      <c r="L1381" s="3" t="str">
        <f>E1381&amp;D1381</f>
        <v>E.SP.IPAEE_INS_CONF_S_I_MCH 110V GRS 55BR R_0090</v>
      </c>
      <c r="M1381" s="3" t="str">
        <f>IFERROR(MID(D1381,SEARCH("S_I_",D1381,1),3),"")</f>
        <v>S_I</v>
      </c>
      <c r="N1381" s="3" t="str">
        <f>IFERROR(MID(D1381,SEARCH("C_I_",D1381,1),3),"")</f>
        <v/>
      </c>
      <c r="O1381" s="3" t="str">
        <f>IF(AND(M1381="",N1381=""),"Extra","")</f>
        <v/>
      </c>
      <c r="P1381" s="3" t="str">
        <f>IF(Q1381=0,"TERCEIRO","MRS")</f>
        <v>MRS</v>
      </c>
      <c r="Q1381" s="8" t="str">
        <f>IFERROR(VLOOKUP(L1381,#REF!,4,0),"0,00")</f>
        <v>0,00</v>
      </c>
      <c r="R1381" s="9" t="s">
        <v>42</v>
      </c>
      <c r="S1381" s="9">
        <f>COUNTIF(D1381,"*_SEG_*")</f>
        <v>0</v>
      </c>
      <c r="T1381" s="9">
        <f>COUNTIF(D1381,"*_MAN_*")</f>
        <v>0</v>
      </c>
      <c r="U1381" s="9">
        <f>(RIGHT(D1381,4))*1</f>
        <v>90</v>
      </c>
      <c r="V1381" s="9" t="str">
        <f>IFERROR(VLOOKUP(I1381,#REF!,2,0),"Sinalização")</f>
        <v>Sinalização</v>
      </c>
    </row>
    <row r="1382" spans="1:22" x14ac:dyDescent="0.25">
      <c r="A1382" s="3" t="s">
        <v>22</v>
      </c>
      <c r="B1382" s="4">
        <v>23324440</v>
      </c>
      <c r="C1382" s="5" t="s">
        <v>23</v>
      </c>
      <c r="D1382" s="6" t="s">
        <v>598</v>
      </c>
      <c r="E1382" s="6" t="s">
        <v>25</v>
      </c>
      <c r="F1382" s="11">
        <v>46155</v>
      </c>
      <c r="G1382" s="6" t="s">
        <v>1079</v>
      </c>
      <c r="H1382" s="7" t="s">
        <v>26</v>
      </c>
      <c r="I1382" s="7" t="s">
        <v>698</v>
      </c>
      <c r="J1382" s="7" t="s">
        <v>591</v>
      </c>
      <c r="K1382" s="7" t="s">
        <v>29</v>
      </c>
      <c r="L1382" s="3" t="str">
        <f>E1382&amp;D1382</f>
        <v>E.SP.IPAEE_INS_CONF_S_I_MCH 110V GRS 55BR R_0090</v>
      </c>
      <c r="M1382" s="3" t="str">
        <f>IFERROR(MID(D1382,SEARCH("S_I_",D1382,1),3),"")</f>
        <v>S_I</v>
      </c>
      <c r="N1382" s="3" t="str">
        <f>IFERROR(MID(D1382,SEARCH("C_I_",D1382,1),3),"")</f>
        <v/>
      </c>
      <c r="O1382" s="3" t="str">
        <f>IF(AND(M1382="",N1382=""),"Extra","")</f>
        <v/>
      </c>
      <c r="P1382" s="3" t="str">
        <f>IF(Q1382=0,"TERCEIRO","MRS")</f>
        <v>MRS</v>
      </c>
      <c r="Q1382" s="8" t="str">
        <f>IFERROR(VLOOKUP(L1382,#REF!,4,0),"0,00")</f>
        <v>0,00</v>
      </c>
      <c r="R1382" s="9" t="s">
        <v>42</v>
      </c>
      <c r="S1382" s="9">
        <f>COUNTIF(D1382,"*_SEG_*")</f>
        <v>0</v>
      </c>
      <c r="T1382" s="9">
        <f>COUNTIF(D1382,"*_MAN_*")</f>
        <v>0</v>
      </c>
      <c r="U1382" s="9">
        <f>(RIGHT(D1382,4))*1</f>
        <v>90</v>
      </c>
      <c r="V1382" s="9" t="str">
        <f>IFERROR(VLOOKUP(I1382,#REF!,2,0),"Sinalização")</f>
        <v>Sinalização</v>
      </c>
    </row>
    <row r="1383" spans="1:22" x14ac:dyDescent="0.25">
      <c r="A1383" s="3" t="s">
        <v>22</v>
      </c>
      <c r="B1383" s="4">
        <v>23324469</v>
      </c>
      <c r="C1383" s="5" t="s">
        <v>23</v>
      </c>
      <c r="D1383" s="6" t="s">
        <v>602</v>
      </c>
      <c r="E1383" s="6" t="s">
        <v>25</v>
      </c>
      <c r="F1383" s="11">
        <v>46155</v>
      </c>
      <c r="G1383" s="6" t="s">
        <v>1079</v>
      </c>
      <c r="H1383" s="7" t="s">
        <v>26</v>
      </c>
      <c r="I1383" s="7" t="s">
        <v>699</v>
      </c>
      <c r="J1383" s="7" t="s">
        <v>604</v>
      </c>
      <c r="K1383" s="7" t="s">
        <v>29</v>
      </c>
      <c r="L1383" s="3" t="str">
        <f>E1383&amp;D1383</f>
        <v>E.SP.IPAEE_MAN_CONF_S_I_COM ENER CHAN OVER_0090</v>
      </c>
      <c r="M1383" s="3" t="str">
        <f>IFERROR(MID(D1383,SEARCH("S_I_",D1383,1),3),"")</f>
        <v>S_I</v>
      </c>
      <c r="N1383" s="3" t="str">
        <f>IFERROR(MID(D1383,SEARCH("C_I_",D1383,1),3),"")</f>
        <v/>
      </c>
      <c r="O1383" s="3" t="str">
        <f>IF(AND(M1383="",N1383=""),"Extra","")</f>
        <v/>
      </c>
      <c r="P1383" s="3" t="str">
        <f>IF(Q1383=0,"TERCEIRO","MRS")</f>
        <v>MRS</v>
      </c>
      <c r="Q1383" s="8" t="str">
        <f>IFERROR(VLOOKUP(L1383,#REF!,4,0),"0,00")</f>
        <v>0,00</v>
      </c>
      <c r="R1383" s="9" t="s">
        <v>98</v>
      </c>
      <c r="S1383" s="9">
        <f>COUNTIF(D1383,"*_SEG_*")</f>
        <v>0</v>
      </c>
      <c r="T1383" s="9">
        <f>COUNTIF(D1383,"*_MAN_*")</f>
        <v>1</v>
      </c>
      <c r="U1383" s="9">
        <f>(RIGHT(D1383,4))*1</f>
        <v>90</v>
      </c>
      <c r="V1383" s="9" t="str">
        <f>IFERROR(VLOOKUP(I1383,#REF!,2,0),"Sinalização")</f>
        <v>Sinalização</v>
      </c>
    </row>
    <row r="1384" spans="1:22" x14ac:dyDescent="0.25">
      <c r="A1384" s="3" t="s">
        <v>22</v>
      </c>
      <c r="B1384" s="4">
        <v>23324518</v>
      </c>
      <c r="C1384" s="5" t="s">
        <v>23</v>
      </c>
      <c r="D1384" s="6" t="s">
        <v>605</v>
      </c>
      <c r="E1384" s="6" t="s">
        <v>25</v>
      </c>
      <c r="F1384" s="11">
        <v>46155</v>
      </c>
      <c r="G1384" s="6" t="s">
        <v>1079</v>
      </c>
      <c r="H1384" s="7" t="s">
        <v>26</v>
      </c>
      <c r="I1384" s="7" t="s">
        <v>451</v>
      </c>
      <c r="J1384" s="7" t="s">
        <v>560</v>
      </c>
      <c r="K1384" s="7" t="s">
        <v>29</v>
      </c>
      <c r="L1384" s="3" t="str">
        <f>E1384&amp;D1384</f>
        <v>E.SP.IPAEE_INS_SEG_S_I_CIRCUITO VIA CA_0090</v>
      </c>
      <c r="M1384" s="3" t="str">
        <f>IFERROR(MID(D1384,SEARCH("S_I_",D1384,1),3),"")</f>
        <v>S_I</v>
      </c>
      <c r="N1384" s="3" t="str">
        <f>IFERROR(MID(D1384,SEARCH("C_I_",D1384,1),3),"")</f>
        <v/>
      </c>
      <c r="O1384" s="3" t="str">
        <f>IF(AND(M1384="",N1384=""),"Extra","")</f>
        <v/>
      </c>
      <c r="P1384" s="3" t="str">
        <f>IF(Q1384=0,"TERCEIRO","MRS")</f>
        <v>MRS</v>
      </c>
      <c r="Q1384" s="8" t="str">
        <f>IFERROR(VLOOKUP(L1384,#REF!,4,0),"0,00")</f>
        <v>0,00</v>
      </c>
      <c r="R1384" s="9" t="s">
        <v>30</v>
      </c>
      <c r="S1384" s="9">
        <f>COUNTIF(D1384,"*_SEG_*")</f>
        <v>1</v>
      </c>
      <c r="T1384" s="9">
        <f>COUNTIF(D1384,"*_MAN_*")</f>
        <v>0</v>
      </c>
      <c r="U1384" s="9">
        <f>(RIGHT(D1384,4))*1</f>
        <v>90</v>
      </c>
      <c r="V1384" s="9" t="str">
        <f>IFERROR(VLOOKUP(I1384,#REF!,2,0),"Sinalização")</f>
        <v>Sinalização</v>
      </c>
    </row>
    <row r="1385" spans="1:22" x14ac:dyDescent="0.25">
      <c r="A1385" s="3" t="s">
        <v>22</v>
      </c>
      <c r="B1385" s="4">
        <v>23324521</v>
      </c>
      <c r="C1385" s="5" t="s">
        <v>23</v>
      </c>
      <c r="D1385" s="6" t="s">
        <v>605</v>
      </c>
      <c r="E1385" s="6" t="s">
        <v>25</v>
      </c>
      <c r="F1385" s="11">
        <v>46155</v>
      </c>
      <c r="G1385" s="6" t="s">
        <v>1079</v>
      </c>
      <c r="H1385" s="7" t="s">
        <v>26</v>
      </c>
      <c r="I1385" s="7" t="s">
        <v>322</v>
      </c>
      <c r="J1385" s="7" t="s">
        <v>560</v>
      </c>
      <c r="K1385" s="7" t="s">
        <v>29</v>
      </c>
      <c r="L1385" s="3" t="str">
        <f>E1385&amp;D1385</f>
        <v>E.SP.IPAEE_INS_SEG_S_I_CIRCUITO VIA CA_0090</v>
      </c>
      <c r="M1385" s="3" t="str">
        <f>IFERROR(MID(D1385,SEARCH("S_I_",D1385,1),3),"")</f>
        <v>S_I</v>
      </c>
      <c r="N1385" s="3" t="str">
        <f>IFERROR(MID(D1385,SEARCH("C_I_",D1385,1),3),"")</f>
        <v/>
      </c>
      <c r="O1385" s="3" t="str">
        <f>IF(AND(M1385="",N1385=""),"Extra","")</f>
        <v/>
      </c>
      <c r="P1385" s="3" t="str">
        <f>IF(Q1385=0,"TERCEIRO","MRS")</f>
        <v>MRS</v>
      </c>
      <c r="Q1385" s="8" t="str">
        <f>IFERROR(VLOOKUP(L1385,#REF!,4,0),"0,00")</f>
        <v>0,00</v>
      </c>
      <c r="R1385" s="9" t="s">
        <v>30</v>
      </c>
      <c r="S1385" s="9">
        <f>COUNTIF(D1385,"*_SEG_*")</f>
        <v>1</v>
      </c>
      <c r="T1385" s="9">
        <f>COUNTIF(D1385,"*_MAN_*")</f>
        <v>0</v>
      </c>
      <c r="U1385" s="9">
        <f>(RIGHT(D1385,4))*1</f>
        <v>90</v>
      </c>
      <c r="V1385" s="9" t="str">
        <f>IFERROR(VLOOKUP(I1385,#REF!,2,0),"Sinalização")</f>
        <v>Sinalização</v>
      </c>
    </row>
    <row r="1386" spans="1:22" x14ac:dyDescent="0.25">
      <c r="A1386" s="3" t="s">
        <v>22</v>
      </c>
      <c r="B1386" s="4">
        <v>23324528</v>
      </c>
      <c r="C1386" s="5" t="s">
        <v>23</v>
      </c>
      <c r="D1386" s="6" t="s">
        <v>700</v>
      </c>
      <c r="E1386" s="6" t="s">
        <v>25</v>
      </c>
      <c r="F1386" s="11">
        <v>46155</v>
      </c>
      <c r="G1386" s="6" t="s">
        <v>1079</v>
      </c>
      <c r="H1386" s="7" t="s">
        <v>26</v>
      </c>
      <c r="I1386" s="7" t="s">
        <v>396</v>
      </c>
      <c r="J1386" s="7" t="s">
        <v>701</v>
      </c>
      <c r="K1386" s="7" t="s">
        <v>29</v>
      </c>
      <c r="L1386" s="3" t="str">
        <f>E1386&amp;D1386</f>
        <v>E.SP.IPAEE_INS_CONF_S_I_SINAL L MULTI AUT_0090</v>
      </c>
      <c r="M1386" s="3" t="str">
        <f>IFERROR(MID(D1386,SEARCH("S_I_",D1386,1),3),"")</f>
        <v>S_I</v>
      </c>
      <c r="N1386" s="3" t="str">
        <f>IFERROR(MID(D1386,SEARCH("C_I_",D1386,1),3),"")</f>
        <v/>
      </c>
      <c r="O1386" s="3" t="str">
        <f>IF(AND(M1386="",N1386=""),"Extra","")</f>
        <v/>
      </c>
      <c r="P1386" s="3" t="str">
        <f>IF(Q1386=0,"TERCEIRO","MRS")</f>
        <v>MRS</v>
      </c>
      <c r="Q1386" s="8" t="str">
        <f>IFERROR(VLOOKUP(L1386,#REF!,4,0),"0,00")</f>
        <v>0,00</v>
      </c>
      <c r="R1386" s="9" t="s">
        <v>42</v>
      </c>
      <c r="S1386" s="9">
        <f>COUNTIF(D1386,"*_SEG_*")</f>
        <v>0</v>
      </c>
      <c r="T1386" s="9">
        <f>COUNTIF(D1386,"*_MAN_*")</f>
        <v>0</v>
      </c>
      <c r="U1386" s="9">
        <f>(RIGHT(D1386,4))*1</f>
        <v>90</v>
      </c>
      <c r="V1386" s="9" t="str">
        <f>IFERROR(VLOOKUP(I1386,#REF!,2,0),"Sinalização")</f>
        <v>Sinalização</v>
      </c>
    </row>
    <row r="1387" spans="1:22" x14ac:dyDescent="0.25">
      <c r="A1387" s="3" t="s">
        <v>22</v>
      </c>
      <c r="B1387" s="4">
        <v>23324529</v>
      </c>
      <c r="C1387" s="5" t="s">
        <v>23</v>
      </c>
      <c r="D1387" s="6" t="s">
        <v>700</v>
      </c>
      <c r="E1387" s="6" t="s">
        <v>25</v>
      </c>
      <c r="F1387" s="11">
        <v>46155</v>
      </c>
      <c r="G1387" s="6" t="s">
        <v>1079</v>
      </c>
      <c r="H1387" s="7" t="s">
        <v>26</v>
      </c>
      <c r="I1387" s="7" t="s">
        <v>702</v>
      </c>
      <c r="J1387" s="7" t="s">
        <v>701</v>
      </c>
      <c r="K1387" s="7" t="s">
        <v>29</v>
      </c>
      <c r="L1387" s="3" t="str">
        <f>E1387&amp;D1387</f>
        <v>E.SP.IPAEE_INS_CONF_S_I_SINAL L MULTI AUT_0090</v>
      </c>
      <c r="M1387" s="3" t="str">
        <f>IFERROR(MID(D1387,SEARCH("S_I_",D1387,1),3),"")</f>
        <v>S_I</v>
      </c>
      <c r="N1387" s="3" t="str">
        <f>IFERROR(MID(D1387,SEARCH("C_I_",D1387,1),3),"")</f>
        <v/>
      </c>
      <c r="O1387" s="3" t="str">
        <f>IF(AND(M1387="",N1387=""),"Extra","")</f>
        <v/>
      </c>
      <c r="P1387" s="3" t="str">
        <f>IF(Q1387=0,"TERCEIRO","MRS")</f>
        <v>MRS</v>
      </c>
      <c r="Q1387" s="8" t="str">
        <f>IFERROR(VLOOKUP(L1387,#REF!,4,0),"0,00")</f>
        <v>0,00</v>
      </c>
      <c r="R1387" s="9" t="s">
        <v>42</v>
      </c>
      <c r="S1387" s="9">
        <f>COUNTIF(D1387,"*_SEG_*")</f>
        <v>0</v>
      </c>
      <c r="T1387" s="9">
        <f>COUNTIF(D1387,"*_MAN_*")</f>
        <v>0</v>
      </c>
      <c r="U1387" s="9">
        <f>(RIGHT(D1387,4))*1</f>
        <v>90</v>
      </c>
      <c r="V1387" s="9" t="str">
        <f>IFERROR(VLOOKUP(I1387,#REF!,2,0),"Sinalização")</f>
        <v>Sinalização</v>
      </c>
    </row>
    <row r="1388" spans="1:22" x14ac:dyDescent="0.25">
      <c r="A1388" s="3" t="s">
        <v>22</v>
      </c>
      <c r="B1388" s="4">
        <v>23324530</v>
      </c>
      <c r="C1388" s="5" t="s">
        <v>23</v>
      </c>
      <c r="D1388" s="6" t="s">
        <v>700</v>
      </c>
      <c r="E1388" s="6" t="s">
        <v>25</v>
      </c>
      <c r="F1388" s="11">
        <v>46155</v>
      </c>
      <c r="G1388" s="6" t="s">
        <v>1079</v>
      </c>
      <c r="H1388" s="7" t="s">
        <v>26</v>
      </c>
      <c r="I1388" s="7" t="s">
        <v>703</v>
      </c>
      <c r="J1388" s="7" t="s">
        <v>701</v>
      </c>
      <c r="K1388" s="7" t="s">
        <v>29</v>
      </c>
      <c r="L1388" s="3" t="str">
        <f>E1388&amp;D1388</f>
        <v>E.SP.IPAEE_INS_CONF_S_I_SINAL L MULTI AUT_0090</v>
      </c>
      <c r="M1388" s="3" t="str">
        <f>IFERROR(MID(D1388,SEARCH("S_I_",D1388,1),3),"")</f>
        <v>S_I</v>
      </c>
      <c r="N1388" s="3" t="str">
        <f>IFERROR(MID(D1388,SEARCH("C_I_",D1388,1),3),"")</f>
        <v/>
      </c>
      <c r="O1388" s="3" t="str">
        <f>IF(AND(M1388="",N1388=""),"Extra","")</f>
        <v/>
      </c>
      <c r="P1388" s="3" t="str">
        <f>IF(Q1388=0,"TERCEIRO","MRS")</f>
        <v>MRS</v>
      </c>
      <c r="Q1388" s="8" t="str">
        <f>IFERROR(VLOOKUP(L1388,#REF!,4,0),"0,00")</f>
        <v>0,00</v>
      </c>
      <c r="R1388" s="9" t="s">
        <v>42</v>
      </c>
      <c r="S1388" s="9">
        <f>COUNTIF(D1388,"*_SEG_*")</f>
        <v>0</v>
      </c>
      <c r="T1388" s="9">
        <f>COUNTIF(D1388,"*_MAN_*")</f>
        <v>0</v>
      </c>
      <c r="U1388" s="9">
        <f>(RIGHT(D1388,4))*1</f>
        <v>90</v>
      </c>
      <c r="V1388" s="9" t="str">
        <f>IFERROR(VLOOKUP(I1388,#REF!,2,0),"Sinalização")</f>
        <v>Sinalização</v>
      </c>
    </row>
    <row r="1389" spans="1:22" x14ac:dyDescent="0.25">
      <c r="A1389" s="3" t="s">
        <v>22</v>
      </c>
      <c r="B1389" s="4">
        <v>23324531</v>
      </c>
      <c r="C1389" s="5" t="s">
        <v>23</v>
      </c>
      <c r="D1389" s="6" t="s">
        <v>606</v>
      </c>
      <c r="E1389" s="6" t="s">
        <v>25</v>
      </c>
      <c r="F1389" s="11">
        <v>46155</v>
      </c>
      <c r="G1389" s="6" t="s">
        <v>1079</v>
      </c>
      <c r="H1389" s="7" t="s">
        <v>26</v>
      </c>
      <c r="I1389" s="7" t="s">
        <v>390</v>
      </c>
      <c r="J1389" s="7" t="s">
        <v>567</v>
      </c>
      <c r="K1389" s="7" t="s">
        <v>29</v>
      </c>
      <c r="L1389" s="3" t="str">
        <f>E1389&amp;D1389</f>
        <v>E.SP.IPAEE_INS_CONF_C_I_MCH 110V GRS 55BR R_0090</v>
      </c>
      <c r="M1389" s="3" t="str">
        <f>IFERROR(MID(D1389,SEARCH("S_I_",D1389,1),3),"")</f>
        <v/>
      </c>
      <c r="N1389" s="3" t="str">
        <f>IFERROR(MID(D1389,SEARCH("C_I_",D1389,1),3),"")</f>
        <v>C_I</v>
      </c>
      <c r="O1389" s="3" t="str">
        <f>IF(AND(M1389="",N1389=""),"Extra","")</f>
        <v/>
      </c>
      <c r="P1389" s="3" t="str">
        <f>IF(Q1389=0,"TERCEIRO","MRS")</f>
        <v>MRS</v>
      </c>
      <c r="Q1389" s="8" t="str">
        <f>IFERROR(VLOOKUP(L1389,#REF!,4,0),"0,00")</f>
        <v>0,00</v>
      </c>
      <c r="R1389" s="9" t="s">
        <v>42</v>
      </c>
      <c r="S1389" s="9">
        <f>COUNTIF(D1389,"*_SEG_*")</f>
        <v>0</v>
      </c>
      <c r="T1389" s="9">
        <f>COUNTIF(D1389,"*_MAN_*")</f>
        <v>0</v>
      </c>
      <c r="U1389" s="9">
        <f>(RIGHT(D1389,4))*1</f>
        <v>90</v>
      </c>
      <c r="V1389" s="9" t="str">
        <f>IFERROR(VLOOKUP(I1389,#REF!,2,0),"Sinalização")</f>
        <v>Sinalização</v>
      </c>
    </row>
    <row r="1390" spans="1:22" x14ac:dyDescent="0.25">
      <c r="A1390" s="3" t="s">
        <v>22</v>
      </c>
      <c r="B1390" s="4">
        <v>23324532</v>
      </c>
      <c r="C1390" s="5" t="s">
        <v>23</v>
      </c>
      <c r="D1390" s="6" t="s">
        <v>606</v>
      </c>
      <c r="E1390" s="6" t="s">
        <v>25</v>
      </c>
      <c r="F1390" s="11">
        <v>46155</v>
      </c>
      <c r="G1390" s="6" t="s">
        <v>1079</v>
      </c>
      <c r="H1390" s="7" t="s">
        <v>26</v>
      </c>
      <c r="I1390" s="7" t="s">
        <v>418</v>
      </c>
      <c r="J1390" s="7" t="s">
        <v>567</v>
      </c>
      <c r="K1390" s="7" t="s">
        <v>29</v>
      </c>
      <c r="L1390" s="3" t="str">
        <f>E1390&amp;D1390</f>
        <v>E.SP.IPAEE_INS_CONF_C_I_MCH 110V GRS 55BR R_0090</v>
      </c>
      <c r="M1390" s="3" t="str">
        <f>IFERROR(MID(D1390,SEARCH("S_I_",D1390,1),3),"")</f>
        <v/>
      </c>
      <c r="N1390" s="3" t="str">
        <f>IFERROR(MID(D1390,SEARCH("C_I_",D1390,1),3),"")</f>
        <v>C_I</v>
      </c>
      <c r="O1390" s="3" t="str">
        <f>IF(AND(M1390="",N1390=""),"Extra","")</f>
        <v/>
      </c>
      <c r="P1390" s="3" t="str">
        <f>IF(Q1390=0,"TERCEIRO","MRS")</f>
        <v>MRS</v>
      </c>
      <c r="Q1390" s="8" t="str">
        <f>IFERROR(VLOOKUP(L1390,#REF!,4,0),"0,00")</f>
        <v>0,00</v>
      </c>
      <c r="R1390" s="9" t="s">
        <v>42</v>
      </c>
      <c r="S1390" s="9">
        <f>COUNTIF(D1390,"*_SEG_*")</f>
        <v>0</v>
      </c>
      <c r="T1390" s="9">
        <f>COUNTIF(D1390,"*_MAN_*")</f>
        <v>0</v>
      </c>
      <c r="U1390" s="9">
        <f>(RIGHT(D1390,4))*1</f>
        <v>90</v>
      </c>
      <c r="V1390" s="9" t="str">
        <f>IFERROR(VLOOKUP(I1390,#REF!,2,0),"Sinalização")</f>
        <v>Sinalização</v>
      </c>
    </row>
    <row r="1391" spans="1:22" x14ac:dyDescent="0.25">
      <c r="A1391" s="3" t="s">
        <v>22</v>
      </c>
      <c r="B1391" s="4">
        <v>23324533</v>
      </c>
      <c r="C1391" s="5" t="s">
        <v>23</v>
      </c>
      <c r="D1391" s="6" t="s">
        <v>606</v>
      </c>
      <c r="E1391" s="6" t="s">
        <v>25</v>
      </c>
      <c r="F1391" s="11">
        <v>46155</v>
      </c>
      <c r="G1391" s="6" t="s">
        <v>1079</v>
      </c>
      <c r="H1391" s="7" t="s">
        <v>26</v>
      </c>
      <c r="I1391" s="7" t="s">
        <v>247</v>
      </c>
      <c r="J1391" s="7" t="s">
        <v>567</v>
      </c>
      <c r="K1391" s="7" t="s">
        <v>29</v>
      </c>
      <c r="L1391" s="3" t="str">
        <f>E1391&amp;D1391</f>
        <v>E.SP.IPAEE_INS_CONF_C_I_MCH 110V GRS 55BR R_0090</v>
      </c>
      <c r="M1391" s="3" t="str">
        <f>IFERROR(MID(D1391,SEARCH("S_I_",D1391,1),3),"")</f>
        <v/>
      </c>
      <c r="N1391" s="3" t="str">
        <f>IFERROR(MID(D1391,SEARCH("C_I_",D1391,1),3),"")</f>
        <v>C_I</v>
      </c>
      <c r="O1391" s="3" t="str">
        <f>IF(AND(M1391="",N1391=""),"Extra","")</f>
        <v/>
      </c>
      <c r="P1391" s="3" t="str">
        <f>IF(Q1391=0,"TERCEIRO","MRS")</f>
        <v>MRS</v>
      </c>
      <c r="Q1391" s="8" t="str">
        <f>IFERROR(VLOOKUP(L1391,#REF!,4,0),"0,00")</f>
        <v>0,00</v>
      </c>
      <c r="R1391" s="9" t="s">
        <v>42</v>
      </c>
      <c r="S1391" s="9">
        <f>COUNTIF(D1391,"*_SEG_*")</f>
        <v>0</v>
      </c>
      <c r="T1391" s="9">
        <f>COUNTIF(D1391,"*_MAN_*")</f>
        <v>0</v>
      </c>
      <c r="U1391" s="9">
        <f>(RIGHT(D1391,4))*1</f>
        <v>90</v>
      </c>
      <c r="V1391" s="9" t="str">
        <f>IFERROR(VLOOKUP(I1391,#REF!,2,0),"Sinalização")</f>
        <v>Sinalização</v>
      </c>
    </row>
    <row r="1392" spans="1:22" x14ac:dyDescent="0.25">
      <c r="A1392" s="3" t="s">
        <v>22</v>
      </c>
      <c r="B1392" s="4">
        <v>23324534</v>
      </c>
      <c r="C1392" s="5" t="s">
        <v>23</v>
      </c>
      <c r="D1392" s="6" t="s">
        <v>606</v>
      </c>
      <c r="E1392" s="6" t="s">
        <v>25</v>
      </c>
      <c r="F1392" s="11">
        <v>46155</v>
      </c>
      <c r="G1392" s="6" t="s">
        <v>1079</v>
      </c>
      <c r="H1392" s="7" t="s">
        <v>26</v>
      </c>
      <c r="I1392" s="7" t="s">
        <v>698</v>
      </c>
      <c r="J1392" s="7" t="s">
        <v>567</v>
      </c>
      <c r="K1392" s="7" t="s">
        <v>29</v>
      </c>
      <c r="L1392" s="3" t="str">
        <f>E1392&amp;D1392</f>
        <v>E.SP.IPAEE_INS_CONF_C_I_MCH 110V GRS 55BR R_0090</v>
      </c>
      <c r="M1392" s="3" t="str">
        <f>IFERROR(MID(D1392,SEARCH("S_I_",D1392,1),3),"")</f>
        <v/>
      </c>
      <c r="N1392" s="3" t="str">
        <f>IFERROR(MID(D1392,SEARCH("C_I_",D1392,1),3),"")</f>
        <v>C_I</v>
      </c>
      <c r="O1392" s="3" t="str">
        <f>IF(AND(M1392="",N1392=""),"Extra","")</f>
        <v/>
      </c>
      <c r="P1392" s="3" t="str">
        <f>IF(Q1392=0,"TERCEIRO","MRS")</f>
        <v>MRS</v>
      </c>
      <c r="Q1392" s="8" t="str">
        <f>IFERROR(VLOOKUP(L1392,#REF!,4,0),"0,00")</f>
        <v>0,00</v>
      </c>
      <c r="R1392" s="9" t="s">
        <v>42</v>
      </c>
      <c r="S1392" s="9">
        <f>COUNTIF(D1392,"*_SEG_*")</f>
        <v>0</v>
      </c>
      <c r="T1392" s="9">
        <f>COUNTIF(D1392,"*_MAN_*")</f>
        <v>0</v>
      </c>
      <c r="U1392" s="9">
        <f>(RIGHT(D1392,4))*1</f>
        <v>90</v>
      </c>
      <c r="V1392" s="9" t="str">
        <f>IFERROR(VLOOKUP(I1392,#REF!,2,0),"Sinalização")</f>
        <v>Sinalização</v>
      </c>
    </row>
    <row r="1393" spans="1:22" x14ac:dyDescent="0.25">
      <c r="A1393" s="3" t="s">
        <v>22</v>
      </c>
      <c r="B1393" s="4">
        <v>23324535</v>
      </c>
      <c r="C1393" s="5" t="s">
        <v>23</v>
      </c>
      <c r="D1393" s="6" t="s">
        <v>606</v>
      </c>
      <c r="E1393" s="6" t="s">
        <v>25</v>
      </c>
      <c r="F1393" s="11">
        <v>46155</v>
      </c>
      <c r="G1393" s="6" t="s">
        <v>1079</v>
      </c>
      <c r="H1393" s="7" t="s">
        <v>26</v>
      </c>
      <c r="I1393" s="7" t="s">
        <v>258</v>
      </c>
      <c r="J1393" s="7" t="s">
        <v>567</v>
      </c>
      <c r="K1393" s="7" t="s">
        <v>29</v>
      </c>
      <c r="L1393" s="3" t="str">
        <f>E1393&amp;D1393</f>
        <v>E.SP.IPAEE_INS_CONF_C_I_MCH 110V GRS 55BR R_0090</v>
      </c>
      <c r="M1393" s="3" t="str">
        <f>IFERROR(MID(D1393,SEARCH("S_I_",D1393,1),3),"")</f>
        <v/>
      </c>
      <c r="N1393" s="3" t="str">
        <f>IFERROR(MID(D1393,SEARCH("C_I_",D1393,1),3),"")</f>
        <v>C_I</v>
      </c>
      <c r="O1393" s="3" t="str">
        <f>IF(AND(M1393="",N1393=""),"Extra","")</f>
        <v/>
      </c>
      <c r="P1393" s="3" t="str">
        <f>IF(Q1393=0,"TERCEIRO","MRS")</f>
        <v>MRS</v>
      </c>
      <c r="Q1393" s="8" t="str">
        <f>IFERROR(VLOOKUP(L1393,#REF!,4,0),"0,00")</f>
        <v>0,00</v>
      </c>
      <c r="R1393" s="9" t="s">
        <v>42</v>
      </c>
      <c r="S1393" s="9">
        <f>COUNTIF(D1393,"*_SEG_*")</f>
        <v>0</v>
      </c>
      <c r="T1393" s="9">
        <f>COUNTIF(D1393,"*_MAN_*")</f>
        <v>0</v>
      </c>
      <c r="U1393" s="9">
        <f>(RIGHT(D1393,4))*1</f>
        <v>90</v>
      </c>
      <c r="V1393" s="9" t="str">
        <f>IFERROR(VLOOKUP(I1393,#REF!,2,0),"Sinalização")</f>
        <v>Sinalização</v>
      </c>
    </row>
    <row r="1394" spans="1:22" x14ac:dyDescent="0.25">
      <c r="A1394" s="3" t="s">
        <v>22</v>
      </c>
      <c r="B1394" s="4">
        <v>23324723</v>
      </c>
      <c r="C1394" s="5" t="s">
        <v>23</v>
      </c>
      <c r="D1394" s="6" t="s">
        <v>611</v>
      </c>
      <c r="E1394" s="6" t="s">
        <v>25</v>
      </c>
      <c r="F1394" s="11">
        <v>46155</v>
      </c>
      <c r="G1394" s="6" t="s">
        <v>1079</v>
      </c>
      <c r="H1394" s="7" t="s">
        <v>26</v>
      </c>
      <c r="I1394" s="7" t="s">
        <v>704</v>
      </c>
      <c r="J1394" s="7" t="s">
        <v>613</v>
      </c>
      <c r="K1394" s="7" t="s">
        <v>29</v>
      </c>
      <c r="L1394" s="3" t="str">
        <f>E1394&amp;D1394</f>
        <v>E.SP.IPAEE_MAN_CONF_S_I_CAIXA DE LOCAÇÃO_0090</v>
      </c>
      <c r="M1394" s="3" t="str">
        <f>IFERROR(MID(D1394,SEARCH("S_I_",D1394,1),3),"")</f>
        <v>S_I</v>
      </c>
      <c r="N1394" s="3" t="str">
        <f>IFERROR(MID(D1394,SEARCH("C_I_",D1394,1),3),"")</f>
        <v/>
      </c>
      <c r="O1394" s="3" t="str">
        <f>IF(AND(M1394="",N1394=""),"Extra","")</f>
        <v/>
      </c>
      <c r="P1394" s="3" t="str">
        <f>IF(Q1394=0,"TERCEIRO","MRS")</f>
        <v>MRS</v>
      </c>
      <c r="Q1394" s="8" t="str">
        <f>IFERROR(VLOOKUP(L1394,#REF!,4,0),"0,00")</f>
        <v>0,00</v>
      </c>
      <c r="R1394" s="9" t="s">
        <v>57</v>
      </c>
      <c r="S1394" s="9">
        <f>COUNTIF(D1394,"*_SEG_*")</f>
        <v>0</v>
      </c>
      <c r="T1394" s="9">
        <f>COUNTIF(D1394,"*_MAN_*")</f>
        <v>1</v>
      </c>
      <c r="U1394" s="9">
        <f>(RIGHT(D1394,4))*1</f>
        <v>90</v>
      </c>
      <c r="V1394" s="9" t="str">
        <f>IFERROR(VLOOKUP(I1394,#REF!,2,0),"Sinalização")</f>
        <v>Sinalização</v>
      </c>
    </row>
    <row r="1395" spans="1:22" x14ac:dyDescent="0.25">
      <c r="A1395" s="3" t="s">
        <v>22</v>
      </c>
      <c r="B1395" s="4">
        <v>23324725</v>
      </c>
      <c r="C1395" s="5" t="s">
        <v>23</v>
      </c>
      <c r="D1395" s="6" t="s">
        <v>611</v>
      </c>
      <c r="E1395" s="6" t="s">
        <v>25</v>
      </c>
      <c r="F1395" s="11">
        <v>46155</v>
      </c>
      <c r="G1395" s="6" t="s">
        <v>1079</v>
      </c>
      <c r="H1395" s="7" t="s">
        <v>26</v>
      </c>
      <c r="I1395" s="7" t="s">
        <v>705</v>
      </c>
      <c r="J1395" s="7" t="s">
        <v>613</v>
      </c>
      <c r="K1395" s="7" t="s">
        <v>29</v>
      </c>
      <c r="L1395" s="3" t="str">
        <f>E1395&amp;D1395</f>
        <v>E.SP.IPAEE_MAN_CONF_S_I_CAIXA DE LOCAÇÃO_0090</v>
      </c>
      <c r="M1395" s="3" t="str">
        <f>IFERROR(MID(D1395,SEARCH("S_I_",D1395,1),3),"")</f>
        <v>S_I</v>
      </c>
      <c r="N1395" s="3" t="str">
        <f>IFERROR(MID(D1395,SEARCH("C_I_",D1395,1),3),"")</f>
        <v/>
      </c>
      <c r="O1395" s="3" t="str">
        <f>IF(AND(M1395="",N1395=""),"Extra","")</f>
        <v/>
      </c>
      <c r="P1395" s="3" t="str">
        <f>IF(Q1395=0,"TERCEIRO","MRS")</f>
        <v>MRS</v>
      </c>
      <c r="Q1395" s="8" t="str">
        <f>IFERROR(VLOOKUP(L1395,#REF!,4,0),"0,00")</f>
        <v>0,00</v>
      </c>
      <c r="R1395" s="9" t="s">
        <v>57</v>
      </c>
      <c r="S1395" s="9">
        <f>COUNTIF(D1395,"*_SEG_*")</f>
        <v>0</v>
      </c>
      <c r="T1395" s="9">
        <f>COUNTIF(D1395,"*_MAN_*")</f>
        <v>1</v>
      </c>
      <c r="U1395" s="9">
        <f>(RIGHT(D1395,4))*1</f>
        <v>90</v>
      </c>
      <c r="V1395" s="9" t="str">
        <f>IFERROR(VLOOKUP(I1395,#REF!,2,0),"Sinalização")</f>
        <v>Sinalização</v>
      </c>
    </row>
    <row r="1396" spans="1:22" x14ac:dyDescent="0.25">
      <c r="A1396" s="3" t="s">
        <v>22</v>
      </c>
      <c r="B1396" s="4">
        <v>23324726</v>
      </c>
      <c r="C1396" s="5" t="s">
        <v>23</v>
      </c>
      <c r="D1396" s="6" t="s">
        <v>611</v>
      </c>
      <c r="E1396" s="6" t="s">
        <v>25</v>
      </c>
      <c r="F1396" s="11">
        <v>46155</v>
      </c>
      <c r="G1396" s="6" t="s">
        <v>1079</v>
      </c>
      <c r="H1396" s="7" t="s">
        <v>26</v>
      </c>
      <c r="I1396" s="7" t="s">
        <v>199</v>
      </c>
      <c r="J1396" s="7" t="s">
        <v>613</v>
      </c>
      <c r="K1396" s="7" t="s">
        <v>29</v>
      </c>
      <c r="L1396" s="3" t="str">
        <f>E1396&amp;D1396</f>
        <v>E.SP.IPAEE_MAN_CONF_S_I_CAIXA DE LOCAÇÃO_0090</v>
      </c>
      <c r="M1396" s="3" t="str">
        <f>IFERROR(MID(D1396,SEARCH("S_I_",D1396,1),3),"")</f>
        <v>S_I</v>
      </c>
      <c r="N1396" s="3" t="str">
        <f>IFERROR(MID(D1396,SEARCH("C_I_",D1396,1),3),"")</f>
        <v/>
      </c>
      <c r="O1396" s="3" t="str">
        <f>IF(AND(M1396="",N1396=""),"Extra","")</f>
        <v/>
      </c>
      <c r="P1396" s="3" t="str">
        <f>IF(Q1396=0,"TERCEIRO","MRS")</f>
        <v>MRS</v>
      </c>
      <c r="Q1396" s="8" t="str">
        <f>IFERROR(VLOOKUP(L1396,#REF!,4,0),"0,00")</f>
        <v>0,00</v>
      </c>
      <c r="R1396" s="9" t="s">
        <v>57</v>
      </c>
      <c r="S1396" s="9">
        <f>COUNTIF(D1396,"*_SEG_*")</f>
        <v>0</v>
      </c>
      <c r="T1396" s="9">
        <f>COUNTIF(D1396,"*_MAN_*")</f>
        <v>1</v>
      </c>
      <c r="U1396" s="9">
        <f>(RIGHT(D1396,4))*1</f>
        <v>90</v>
      </c>
      <c r="V1396" s="9" t="str">
        <f>IFERROR(VLOOKUP(I1396,#REF!,2,0),"Sinalização")</f>
        <v>Sinalização</v>
      </c>
    </row>
    <row r="1397" spans="1:22" x14ac:dyDescent="0.25">
      <c r="A1397" s="3" t="s">
        <v>22</v>
      </c>
      <c r="B1397" s="4">
        <v>23324727</v>
      </c>
      <c r="C1397" s="5" t="s">
        <v>23</v>
      </c>
      <c r="D1397" s="6" t="s">
        <v>611</v>
      </c>
      <c r="E1397" s="6" t="s">
        <v>25</v>
      </c>
      <c r="F1397" s="11">
        <v>46155</v>
      </c>
      <c r="G1397" s="6" t="s">
        <v>1079</v>
      </c>
      <c r="H1397" s="7" t="s">
        <v>26</v>
      </c>
      <c r="I1397" s="7" t="s">
        <v>706</v>
      </c>
      <c r="J1397" s="7" t="s">
        <v>613</v>
      </c>
      <c r="K1397" s="7" t="s">
        <v>29</v>
      </c>
      <c r="L1397" s="3" t="str">
        <f>E1397&amp;D1397</f>
        <v>E.SP.IPAEE_MAN_CONF_S_I_CAIXA DE LOCAÇÃO_0090</v>
      </c>
      <c r="M1397" s="3" t="str">
        <f>IFERROR(MID(D1397,SEARCH("S_I_",D1397,1),3),"")</f>
        <v>S_I</v>
      </c>
      <c r="N1397" s="3" t="str">
        <f>IFERROR(MID(D1397,SEARCH("C_I_",D1397,1),3),"")</f>
        <v/>
      </c>
      <c r="O1397" s="3" t="str">
        <f>IF(AND(M1397="",N1397=""),"Extra","")</f>
        <v/>
      </c>
      <c r="P1397" s="3" t="str">
        <f>IF(Q1397=0,"TERCEIRO","MRS")</f>
        <v>MRS</v>
      </c>
      <c r="Q1397" s="8" t="str">
        <f>IFERROR(VLOOKUP(L1397,#REF!,4,0),"0,00")</f>
        <v>0,00</v>
      </c>
      <c r="R1397" s="9" t="s">
        <v>57</v>
      </c>
      <c r="S1397" s="9">
        <f>COUNTIF(D1397,"*_SEG_*")</f>
        <v>0</v>
      </c>
      <c r="T1397" s="9">
        <f>COUNTIF(D1397,"*_MAN_*")</f>
        <v>1</v>
      </c>
      <c r="U1397" s="9">
        <f>(RIGHT(D1397,4))*1</f>
        <v>90</v>
      </c>
      <c r="V1397" s="9" t="str">
        <f>IFERROR(VLOOKUP(I1397,#REF!,2,0),"Sinalização")</f>
        <v>Sinalização</v>
      </c>
    </row>
    <row r="1398" spans="1:22" x14ac:dyDescent="0.25">
      <c r="A1398" s="3" t="s">
        <v>22</v>
      </c>
      <c r="B1398" s="4">
        <v>23324728</v>
      </c>
      <c r="C1398" s="5" t="s">
        <v>23</v>
      </c>
      <c r="D1398" s="6" t="s">
        <v>611</v>
      </c>
      <c r="E1398" s="6" t="s">
        <v>25</v>
      </c>
      <c r="F1398" s="11">
        <v>46155</v>
      </c>
      <c r="G1398" s="6" t="s">
        <v>1079</v>
      </c>
      <c r="H1398" s="7" t="s">
        <v>26</v>
      </c>
      <c r="I1398" s="7" t="s">
        <v>202</v>
      </c>
      <c r="J1398" s="7" t="s">
        <v>613</v>
      </c>
      <c r="K1398" s="7" t="s">
        <v>29</v>
      </c>
      <c r="L1398" s="3" t="str">
        <f>E1398&amp;D1398</f>
        <v>E.SP.IPAEE_MAN_CONF_S_I_CAIXA DE LOCAÇÃO_0090</v>
      </c>
      <c r="M1398" s="3" t="str">
        <f>IFERROR(MID(D1398,SEARCH("S_I_",D1398,1),3),"")</f>
        <v>S_I</v>
      </c>
      <c r="N1398" s="3" t="str">
        <f>IFERROR(MID(D1398,SEARCH("C_I_",D1398,1),3),"")</f>
        <v/>
      </c>
      <c r="O1398" s="3" t="str">
        <f>IF(AND(M1398="",N1398=""),"Extra","")</f>
        <v/>
      </c>
      <c r="P1398" s="3" t="str">
        <f>IF(Q1398=0,"TERCEIRO","MRS")</f>
        <v>MRS</v>
      </c>
      <c r="Q1398" s="8" t="str">
        <f>IFERROR(VLOOKUP(L1398,#REF!,4,0),"0,00")</f>
        <v>0,00</v>
      </c>
      <c r="R1398" s="9" t="s">
        <v>57</v>
      </c>
      <c r="S1398" s="9">
        <f>COUNTIF(D1398,"*_SEG_*")</f>
        <v>0</v>
      </c>
      <c r="T1398" s="9">
        <f>COUNTIF(D1398,"*_MAN_*")</f>
        <v>1</v>
      </c>
      <c r="U1398" s="9">
        <f>(RIGHT(D1398,4))*1</f>
        <v>90</v>
      </c>
      <c r="V1398" s="9" t="str">
        <f>IFERROR(VLOOKUP(I1398,#REF!,2,0),"Sinalização")</f>
        <v>Sinalização</v>
      </c>
    </row>
    <row r="1399" spans="1:22" x14ac:dyDescent="0.25">
      <c r="A1399" s="3" t="s">
        <v>22</v>
      </c>
      <c r="B1399" s="4">
        <v>23324729</v>
      </c>
      <c r="C1399" s="5" t="s">
        <v>23</v>
      </c>
      <c r="D1399" s="6" t="s">
        <v>611</v>
      </c>
      <c r="E1399" s="6" t="s">
        <v>25</v>
      </c>
      <c r="F1399" s="11">
        <v>46155</v>
      </c>
      <c r="G1399" s="6" t="s">
        <v>1079</v>
      </c>
      <c r="H1399" s="7" t="s">
        <v>26</v>
      </c>
      <c r="I1399" s="7" t="s">
        <v>201</v>
      </c>
      <c r="J1399" s="7" t="s">
        <v>613</v>
      </c>
      <c r="K1399" s="7" t="s">
        <v>29</v>
      </c>
      <c r="L1399" s="3" t="str">
        <f>E1399&amp;D1399</f>
        <v>E.SP.IPAEE_MAN_CONF_S_I_CAIXA DE LOCAÇÃO_0090</v>
      </c>
      <c r="M1399" s="3" t="str">
        <f>IFERROR(MID(D1399,SEARCH("S_I_",D1399,1),3),"")</f>
        <v>S_I</v>
      </c>
      <c r="N1399" s="3" t="str">
        <f>IFERROR(MID(D1399,SEARCH("C_I_",D1399,1),3),"")</f>
        <v/>
      </c>
      <c r="O1399" s="3" t="str">
        <f>IF(AND(M1399="",N1399=""),"Extra","")</f>
        <v/>
      </c>
      <c r="P1399" s="3" t="str">
        <f>IF(Q1399=0,"TERCEIRO","MRS")</f>
        <v>MRS</v>
      </c>
      <c r="Q1399" s="8" t="str">
        <f>IFERROR(VLOOKUP(L1399,#REF!,4,0),"0,00")</f>
        <v>0,00</v>
      </c>
      <c r="R1399" s="9" t="s">
        <v>57</v>
      </c>
      <c r="S1399" s="9">
        <f>COUNTIF(D1399,"*_SEG_*")</f>
        <v>0</v>
      </c>
      <c r="T1399" s="9">
        <f>COUNTIF(D1399,"*_MAN_*")</f>
        <v>1</v>
      </c>
      <c r="U1399" s="9">
        <f>(RIGHT(D1399,4))*1</f>
        <v>90</v>
      </c>
      <c r="V1399" s="9" t="str">
        <f>IFERROR(VLOOKUP(I1399,#REF!,2,0),"Sinalização")</f>
        <v>Sinalização</v>
      </c>
    </row>
    <row r="1400" spans="1:22" x14ac:dyDescent="0.25">
      <c r="A1400" s="3" t="s">
        <v>22</v>
      </c>
      <c r="B1400" s="4">
        <v>23324730</v>
      </c>
      <c r="C1400" s="5" t="s">
        <v>23</v>
      </c>
      <c r="D1400" s="6" t="s">
        <v>611</v>
      </c>
      <c r="E1400" s="6" t="s">
        <v>25</v>
      </c>
      <c r="F1400" s="11">
        <v>46155</v>
      </c>
      <c r="G1400" s="6" t="s">
        <v>1079</v>
      </c>
      <c r="H1400" s="7" t="s">
        <v>26</v>
      </c>
      <c r="I1400" s="7" t="s">
        <v>354</v>
      </c>
      <c r="J1400" s="7" t="s">
        <v>613</v>
      </c>
      <c r="K1400" s="7" t="s">
        <v>29</v>
      </c>
      <c r="L1400" s="3" t="str">
        <f>E1400&amp;D1400</f>
        <v>E.SP.IPAEE_MAN_CONF_S_I_CAIXA DE LOCAÇÃO_0090</v>
      </c>
      <c r="M1400" s="3" t="str">
        <f>IFERROR(MID(D1400,SEARCH("S_I_",D1400,1),3),"")</f>
        <v>S_I</v>
      </c>
      <c r="N1400" s="3" t="str">
        <f>IFERROR(MID(D1400,SEARCH("C_I_",D1400,1),3),"")</f>
        <v/>
      </c>
      <c r="O1400" s="3" t="str">
        <f>IF(AND(M1400="",N1400=""),"Extra","")</f>
        <v/>
      </c>
      <c r="P1400" s="3" t="str">
        <f>IF(Q1400=0,"TERCEIRO","MRS")</f>
        <v>MRS</v>
      </c>
      <c r="Q1400" s="8" t="str">
        <f>IFERROR(VLOOKUP(L1400,#REF!,4,0),"0,00")</f>
        <v>0,00</v>
      </c>
      <c r="R1400" s="9" t="s">
        <v>57</v>
      </c>
      <c r="S1400" s="9">
        <f>COUNTIF(D1400,"*_SEG_*")</f>
        <v>0</v>
      </c>
      <c r="T1400" s="9">
        <f>COUNTIF(D1400,"*_MAN_*")</f>
        <v>1</v>
      </c>
      <c r="U1400" s="9">
        <f>(RIGHT(D1400,4))*1</f>
        <v>90</v>
      </c>
      <c r="V1400" s="9" t="str">
        <f>IFERROR(VLOOKUP(I1400,#REF!,2,0),"Sinalização")</f>
        <v>Sinalização</v>
      </c>
    </row>
    <row r="1401" spans="1:22" x14ac:dyDescent="0.25">
      <c r="A1401" s="3" t="s">
        <v>22</v>
      </c>
      <c r="B1401" s="4">
        <v>23324731</v>
      </c>
      <c r="C1401" s="5" t="s">
        <v>23</v>
      </c>
      <c r="D1401" s="6" t="s">
        <v>611</v>
      </c>
      <c r="E1401" s="6" t="s">
        <v>25</v>
      </c>
      <c r="F1401" s="11">
        <v>46155</v>
      </c>
      <c r="G1401" s="6" t="s">
        <v>1079</v>
      </c>
      <c r="H1401" s="7" t="s">
        <v>26</v>
      </c>
      <c r="I1401" s="7" t="s">
        <v>353</v>
      </c>
      <c r="J1401" s="7" t="s">
        <v>613</v>
      </c>
      <c r="K1401" s="7" t="s">
        <v>29</v>
      </c>
      <c r="L1401" s="3" t="str">
        <f>E1401&amp;D1401</f>
        <v>E.SP.IPAEE_MAN_CONF_S_I_CAIXA DE LOCAÇÃO_0090</v>
      </c>
      <c r="M1401" s="3" t="str">
        <f>IFERROR(MID(D1401,SEARCH("S_I_",D1401,1),3),"")</f>
        <v>S_I</v>
      </c>
      <c r="N1401" s="3" t="str">
        <f>IFERROR(MID(D1401,SEARCH("C_I_",D1401,1),3),"")</f>
        <v/>
      </c>
      <c r="O1401" s="3" t="str">
        <f>IF(AND(M1401="",N1401=""),"Extra","")</f>
        <v/>
      </c>
      <c r="P1401" s="3" t="str">
        <f>IF(Q1401=0,"TERCEIRO","MRS")</f>
        <v>MRS</v>
      </c>
      <c r="Q1401" s="8" t="str">
        <f>IFERROR(VLOOKUP(L1401,#REF!,4,0),"0,00")</f>
        <v>0,00</v>
      </c>
      <c r="R1401" s="9" t="s">
        <v>57</v>
      </c>
      <c r="S1401" s="9">
        <f>COUNTIF(D1401,"*_SEG_*")</f>
        <v>0</v>
      </c>
      <c r="T1401" s="9">
        <f>COUNTIF(D1401,"*_MAN_*")</f>
        <v>1</v>
      </c>
      <c r="U1401" s="9">
        <f>(RIGHT(D1401,4))*1</f>
        <v>90</v>
      </c>
      <c r="V1401" s="9" t="str">
        <f>IFERROR(VLOOKUP(I1401,#REF!,2,0),"Sinalização")</f>
        <v>Sinalização</v>
      </c>
    </row>
    <row r="1402" spans="1:22" x14ac:dyDescent="0.25">
      <c r="A1402" s="3" t="s">
        <v>22</v>
      </c>
      <c r="B1402" s="4">
        <v>23324732</v>
      </c>
      <c r="C1402" s="5" t="s">
        <v>23</v>
      </c>
      <c r="D1402" s="6" t="s">
        <v>630</v>
      </c>
      <c r="E1402" s="6" t="s">
        <v>25</v>
      </c>
      <c r="F1402" s="11">
        <v>46155</v>
      </c>
      <c r="G1402" s="6" t="s">
        <v>1079</v>
      </c>
      <c r="H1402" s="7" t="s">
        <v>26</v>
      </c>
      <c r="I1402" s="7" t="s">
        <v>390</v>
      </c>
      <c r="J1402" s="7" t="s">
        <v>631</v>
      </c>
      <c r="K1402" s="7" t="s">
        <v>29</v>
      </c>
      <c r="L1402" s="3" t="str">
        <f>E1402&amp;D1402</f>
        <v>E.SP.IPAEE_MAN_CONF_C_I_MCH 110V GRS 55BR R_0090</v>
      </c>
      <c r="M1402" s="3" t="str">
        <f>IFERROR(MID(D1402,SEARCH("S_I_",D1402,1),3),"")</f>
        <v/>
      </c>
      <c r="N1402" s="3" t="str">
        <f>IFERROR(MID(D1402,SEARCH("C_I_",D1402,1),3),"")</f>
        <v>C_I</v>
      </c>
      <c r="O1402" s="3" t="str">
        <f>IF(AND(M1402="",N1402=""),"Extra","")</f>
        <v/>
      </c>
      <c r="P1402" s="3" t="str">
        <f>IF(Q1402=0,"TERCEIRO","MRS")</f>
        <v>MRS</v>
      </c>
      <c r="Q1402" s="8" t="str">
        <f>IFERROR(VLOOKUP(L1402,#REF!,4,0),"0,00")</f>
        <v>0,00</v>
      </c>
      <c r="R1402" s="9" t="s">
        <v>42</v>
      </c>
      <c r="S1402" s="9">
        <f>COUNTIF(D1402,"*_SEG_*")</f>
        <v>0</v>
      </c>
      <c r="T1402" s="9">
        <f>COUNTIF(D1402,"*_MAN_*")</f>
        <v>1</v>
      </c>
      <c r="U1402" s="9">
        <f>(RIGHT(D1402,4))*1</f>
        <v>90</v>
      </c>
      <c r="V1402" s="9" t="str">
        <f>IFERROR(VLOOKUP(I1402,#REF!,2,0),"Sinalização")</f>
        <v>Sinalização</v>
      </c>
    </row>
    <row r="1403" spans="1:22" x14ac:dyDescent="0.25">
      <c r="A1403" s="3" t="s">
        <v>22</v>
      </c>
      <c r="B1403" s="4">
        <v>23324733</v>
      </c>
      <c r="C1403" s="5" t="s">
        <v>23</v>
      </c>
      <c r="D1403" s="6" t="s">
        <v>630</v>
      </c>
      <c r="E1403" s="6" t="s">
        <v>25</v>
      </c>
      <c r="F1403" s="11">
        <v>46155</v>
      </c>
      <c r="G1403" s="6" t="s">
        <v>1079</v>
      </c>
      <c r="H1403" s="7" t="s">
        <v>26</v>
      </c>
      <c r="I1403" s="7" t="s">
        <v>418</v>
      </c>
      <c r="J1403" s="7" t="s">
        <v>631</v>
      </c>
      <c r="K1403" s="7" t="s">
        <v>29</v>
      </c>
      <c r="L1403" s="3" t="str">
        <f>E1403&amp;D1403</f>
        <v>E.SP.IPAEE_MAN_CONF_C_I_MCH 110V GRS 55BR R_0090</v>
      </c>
      <c r="M1403" s="3" t="str">
        <f>IFERROR(MID(D1403,SEARCH("S_I_",D1403,1),3),"")</f>
        <v/>
      </c>
      <c r="N1403" s="3" t="str">
        <f>IFERROR(MID(D1403,SEARCH("C_I_",D1403,1),3),"")</f>
        <v>C_I</v>
      </c>
      <c r="O1403" s="3" t="str">
        <f>IF(AND(M1403="",N1403=""),"Extra","")</f>
        <v/>
      </c>
      <c r="P1403" s="3" t="str">
        <f>IF(Q1403=0,"TERCEIRO","MRS")</f>
        <v>MRS</v>
      </c>
      <c r="Q1403" s="8" t="str">
        <f>IFERROR(VLOOKUP(L1403,#REF!,4,0),"0,00")</f>
        <v>0,00</v>
      </c>
      <c r="R1403" s="9" t="s">
        <v>42</v>
      </c>
      <c r="S1403" s="9">
        <f>COUNTIF(D1403,"*_SEG_*")</f>
        <v>0</v>
      </c>
      <c r="T1403" s="9">
        <f>COUNTIF(D1403,"*_MAN_*")</f>
        <v>1</v>
      </c>
      <c r="U1403" s="9">
        <f>(RIGHT(D1403,4))*1</f>
        <v>90</v>
      </c>
      <c r="V1403" s="9" t="str">
        <f>IFERROR(VLOOKUP(I1403,#REF!,2,0),"Sinalização")</f>
        <v>Sinalização</v>
      </c>
    </row>
    <row r="1404" spans="1:22" x14ac:dyDescent="0.25">
      <c r="A1404" s="3" t="s">
        <v>22</v>
      </c>
      <c r="B1404" s="4">
        <v>23324734</v>
      </c>
      <c r="C1404" s="5" t="s">
        <v>23</v>
      </c>
      <c r="D1404" s="6" t="s">
        <v>630</v>
      </c>
      <c r="E1404" s="6" t="s">
        <v>25</v>
      </c>
      <c r="F1404" s="11">
        <v>46155</v>
      </c>
      <c r="G1404" s="6" t="s">
        <v>1079</v>
      </c>
      <c r="H1404" s="7" t="s">
        <v>26</v>
      </c>
      <c r="I1404" s="7" t="s">
        <v>419</v>
      </c>
      <c r="J1404" s="7" t="s">
        <v>631</v>
      </c>
      <c r="K1404" s="7" t="s">
        <v>29</v>
      </c>
      <c r="L1404" s="3" t="str">
        <f>E1404&amp;D1404</f>
        <v>E.SP.IPAEE_MAN_CONF_C_I_MCH 110V GRS 55BR R_0090</v>
      </c>
      <c r="M1404" s="3" t="str">
        <f>IFERROR(MID(D1404,SEARCH("S_I_",D1404,1),3),"")</f>
        <v/>
      </c>
      <c r="N1404" s="3" t="str">
        <f>IFERROR(MID(D1404,SEARCH("C_I_",D1404,1),3),"")</f>
        <v>C_I</v>
      </c>
      <c r="O1404" s="3" t="str">
        <f>IF(AND(M1404="",N1404=""),"Extra","")</f>
        <v/>
      </c>
      <c r="P1404" s="3" t="str">
        <f>IF(Q1404=0,"TERCEIRO","MRS")</f>
        <v>MRS</v>
      </c>
      <c r="Q1404" s="8" t="str">
        <f>IFERROR(VLOOKUP(L1404,#REF!,4,0),"0,00")</f>
        <v>0,00</v>
      </c>
      <c r="R1404" s="9" t="s">
        <v>42</v>
      </c>
      <c r="S1404" s="9">
        <f>COUNTIF(D1404,"*_SEG_*")</f>
        <v>0</v>
      </c>
      <c r="T1404" s="9">
        <f>COUNTIF(D1404,"*_MAN_*")</f>
        <v>1</v>
      </c>
      <c r="U1404" s="9">
        <f>(RIGHT(D1404,4))*1</f>
        <v>90</v>
      </c>
      <c r="V1404" s="9" t="str">
        <f>IFERROR(VLOOKUP(I1404,#REF!,2,0),"Sinalização")</f>
        <v>Sinalização</v>
      </c>
    </row>
    <row r="1405" spans="1:22" x14ac:dyDescent="0.25">
      <c r="A1405" s="3" t="s">
        <v>22</v>
      </c>
      <c r="B1405" s="4">
        <v>23324735</v>
      </c>
      <c r="C1405" s="5" t="s">
        <v>23</v>
      </c>
      <c r="D1405" s="6" t="s">
        <v>630</v>
      </c>
      <c r="E1405" s="6" t="s">
        <v>25</v>
      </c>
      <c r="F1405" s="11">
        <v>46155</v>
      </c>
      <c r="G1405" s="6" t="s">
        <v>1079</v>
      </c>
      <c r="H1405" s="7" t="s">
        <v>26</v>
      </c>
      <c r="I1405" s="7" t="s">
        <v>247</v>
      </c>
      <c r="J1405" s="7" t="s">
        <v>631</v>
      </c>
      <c r="K1405" s="7" t="s">
        <v>29</v>
      </c>
      <c r="L1405" s="3" t="str">
        <f>E1405&amp;D1405</f>
        <v>E.SP.IPAEE_MAN_CONF_C_I_MCH 110V GRS 55BR R_0090</v>
      </c>
      <c r="M1405" s="3" t="str">
        <f>IFERROR(MID(D1405,SEARCH("S_I_",D1405,1),3),"")</f>
        <v/>
      </c>
      <c r="N1405" s="3" t="str">
        <f>IFERROR(MID(D1405,SEARCH("C_I_",D1405,1),3),"")</f>
        <v>C_I</v>
      </c>
      <c r="O1405" s="3" t="str">
        <f>IF(AND(M1405="",N1405=""),"Extra","")</f>
        <v/>
      </c>
      <c r="P1405" s="3" t="str">
        <f>IF(Q1405=0,"TERCEIRO","MRS")</f>
        <v>MRS</v>
      </c>
      <c r="Q1405" s="8" t="str">
        <f>IFERROR(VLOOKUP(L1405,#REF!,4,0),"0,00")</f>
        <v>0,00</v>
      </c>
      <c r="R1405" s="9" t="s">
        <v>42</v>
      </c>
      <c r="S1405" s="9">
        <f>COUNTIF(D1405,"*_SEG_*")</f>
        <v>0</v>
      </c>
      <c r="T1405" s="9">
        <f>COUNTIF(D1405,"*_MAN_*")</f>
        <v>1</v>
      </c>
      <c r="U1405" s="9">
        <f>(RIGHT(D1405,4))*1</f>
        <v>90</v>
      </c>
      <c r="V1405" s="9" t="str">
        <f>IFERROR(VLOOKUP(I1405,#REF!,2,0),"Sinalização")</f>
        <v>Sinalização</v>
      </c>
    </row>
    <row r="1406" spans="1:22" x14ac:dyDescent="0.25">
      <c r="A1406" s="3" t="s">
        <v>22</v>
      </c>
      <c r="B1406" s="4">
        <v>23324801</v>
      </c>
      <c r="C1406" s="5" t="s">
        <v>23</v>
      </c>
      <c r="D1406" s="6" t="s">
        <v>632</v>
      </c>
      <c r="E1406" s="6" t="s">
        <v>25</v>
      </c>
      <c r="F1406" s="11">
        <v>46155</v>
      </c>
      <c r="G1406" s="6" t="s">
        <v>1079</v>
      </c>
      <c r="H1406" s="7" t="s">
        <v>26</v>
      </c>
      <c r="I1406" s="7" t="s">
        <v>306</v>
      </c>
      <c r="J1406" s="7" t="s">
        <v>634</v>
      </c>
      <c r="K1406" s="7" t="s">
        <v>29</v>
      </c>
      <c r="L1406" s="3" t="str">
        <f>E1406&amp;D1406</f>
        <v>E.SP.IPAEE_INS_CONF_C_I_MAQ CHAVE M2/M3_0090</v>
      </c>
      <c r="M1406" s="3" t="str">
        <f>IFERROR(MID(D1406,SEARCH("S_I_",D1406,1),3),"")</f>
        <v/>
      </c>
      <c r="N1406" s="3" t="str">
        <f>IFERROR(MID(D1406,SEARCH("C_I_",D1406,1),3),"")</f>
        <v>C_I</v>
      </c>
      <c r="O1406" s="3" t="str">
        <f>IF(AND(M1406="",N1406=""),"Extra","")</f>
        <v/>
      </c>
      <c r="P1406" s="3" t="str">
        <f>IF(Q1406=0,"TERCEIRO","MRS")</f>
        <v>MRS</v>
      </c>
      <c r="Q1406" s="8" t="str">
        <f>IFERROR(VLOOKUP(L1406,#REF!,4,0),"0,00")</f>
        <v>0,00</v>
      </c>
      <c r="R1406" s="9" t="s">
        <v>42</v>
      </c>
      <c r="S1406" s="9">
        <f>COUNTIF(D1406,"*_SEG_*")</f>
        <v>0</v>
      </c>
      <c r="T1406" s="9">
        <f>COUNTIF(D1406,"*_MAN_*")</f>
        <v>0</v>
      </c>
      <c r="U1406" s="9">
        <f>(RIGHT(D1406,4))*1</f>
        <v>90</v>
      </c>
      <c r="V1406" s="9" t="str">
        <f>IFERROR(VLOOKUP(I1406,#REF!,2,0),"Sinalização")</f>
        <v>Sinalização</v>
      </c>
    </row>
    <row r="1407" spans="1:22" x14ac:dyDescent="0.25">
      <c r="A1407" s="3" t="s">
        <v>22</v>
      </c>
      <c r="B1407" s="4">
        <v>23324802</v>
      </c>
      <c r="C1407" s="5" t="s">
        <v>23</v>
      </c>
      <c r="D1407" s="6" t="s">
        <v>632</v>
      </c>
      <c r="E1407" s="6" t="s">
        <v>25</v>
      </c>
      <c r="F1407" s="11">
        <v>46155</v>
      </c>
      <c r="G1407" s="6" t="s">
        <v>1079</v>
      </c>
      <c r="H1407" s="7" t="s">
        <v>26</v>
      </c>
      <c r="I1407" s="7" t="s">
        <v>305</v>
      </c>
      <c r="J1407" s="7" t="s">
        <v>634</v>
      </c>
      <c r="K1407" s="7" t="s">
        <v>29</v>
      </c>
      <c r="L1407" s="3" t="str">
        <f>E1407&amp;D1407</f>
        <v>E.SP.IPAEE_INS_CONF_C_I_MAQ CHAVE M2/M3_0090</v>
      </c>
      <c r="M1407" s="3" t="str">
        <f>IFERROR(MID(D1407,SEARCH("S_I_",D1407,1),3),"")</f>
        <v/>
      </c>
      <c r="N1407" s="3" t="str">
        <f>IFERROR(MID(D1407,SEARCH("C_I_",D1407,1),3),"")</f>
        <v>C_I</v>
      </c>
      <c r="O1407" s="3" t="str">
        <f>IF(AND(M1407="",N1407=""),"Extra","")</f>
        <v/>
      </c>
      <c r="P1407" s="3" t="str">
        <f>IF(Q1407=0,"TERCEIRO","MRS")</f>
        <v>MRS</v>
      </c>
      <c r="Q1407" s="8" t="str">
        <f>IFERROR(VLOOKUP(L1407,#REF!,4,0),"0,00")</f>
        <v>0,00</v>
      </c>
      <c r="R1407" s="9" t="s">
        <v>42</v>
      </c>
      <c r="S1407" s="9">
        <f>COUNTIF(D1407,"*_SEG_*")</f>
        <v>0</v>
      </c>
      <c r="T1407" s="9">
        <f>COUNTIF(D1407,"*_MAN_*")</f>
        <v>0</v>
      </c>
      <c r="U1407" s="9">
        <f>(RIGHT(D1407,4))*1</f>
        <v>90</v>
      </c>
      <c r="V1407" s="9" t="str">
        <f>IFERROR(VLOOKUP(I1407,#REF!,2,0),"Sinalização")</f>
        <v>Sinalização</v>
      </c>
    </row>
    <row r="1408" spans="1:22" x14ac:dyDescent="0.25">
      <c r="A1408" s="3" t="s">
        <v>22</v>
      </c>
      <c r="B1408" s="4">
        <v>23324803</v>
      </c>
      <c r="C1408" s="5" t="s">
        <v>23</v>
      </c>
      <c r="D1408" s="6" t="s">
        <v>632</v>
      </c>
      <c r="E1408" s="6" t="s">
        <v>25</v>
      </c>
      <c r="F1408" s="11">
        <v>46155</v>
      </c>
      <c r="G1408" s="6" t="s">
        <v>1079</v>
      </c>
      <c r="H1408" s="7" t="s">
        <v>26</v>
      </c>
      <c r="I1408" s="7" t="s">
        <v>304</v>
      </c>
      <c r="J1408" s="7" t="s">
        <v>634</v>
      </c>
      <c r="K1408" s="7" t="s">
        <v>29</v>
      </c>
      <c r="L1408" s="3" t="str">
        <f>E1408&amp;D1408</f>
        <v>E.SP.IPAEE_INS_CONF_C_I_MAQ CHAVE M2/M3_0090</v>
      </c>
      <c r="M1408" s="3" t="str">
        <f>IFERROR(MID(D1408,SEARCH("S_I_",D1408,1),3),"")</f>
        <v/>
      </c>
      <c r="N1408" s="3" t="str">
        <f>IFERROR(MID(D1408,SEARCH("C_I_",D1408,1),3),"")</f>
        <v>C_I</v>
      </c>
      <c r="O1408" s="3" t="str">
        <f>IF(AND(M1408="",N1408=""),"Extra","")</f>
        <v/>
      </c>
      <c r="P1408" s="3" t="str">
        <f>IF(Q1408=0,"TERCEIRO","MRS")</f>
        <v>MRS</v>
      </c>
      <c r="Q1408" s="8" t="str">
        <f>IFERROR(VLOOKUP(L1408,#REF!,4,0),"0,00")</f>
        <v>0,00</v>
      </c>
      <c r="R1408" s="9" t="s">
        <v>42</v>
      </c>
      <c r="S1408" s="9">
        <f>COUNTIF(D1408,"*_SEG_*")</f>
        <v>0</v>
      </c>
      <c r="T1408" s="9">
        <f>COUNTIF(D1408,"*_MAN_*")</f>
        <v>0</v>
      </c>
      <c r="U1408" s="9">
        <f>(RIGHT(D1408,4))*1</f>
        <v>90</v>
      </c>
      <c r="V1408" s="9" t="str">
        <f>IFERROR(VLOOKUP(I1408,#REF!,2,0),"Sinalização")</f>
        <v>Sinalização</v>
      </c>
    </row>
    <row r="1409" spans="1:22" x14ac:dyDescent="0.25">
      <c r="A1409" s="3" t="s">
        <v>22</v>
      </c>
      <c r="B1409" s="4">
        <v>23324896</v>
      </c>
      <c r="C1409" s="5" t="s">
        <v>23</v>
      </c>
      <c r="D1409" s="6" t="s">
        <v>635</v>
      </c>
      <c r="E1409" s="6" t="s">
        <v>25</v>
      </c>
      <c r="F1409" s="11">
        <v>46155</v>
      </c>
      <c r="G1409" s="6" t="s">
        <v>1079</v>
      </c>
      <c r="H1409" s="7" t="s">
        <v>26</v>
      </c>
      <c r="I1409" s="7" t="s">
        <v>419</v>
      </c>
      <c r="J1409" s="7" t="s">
        <v>636</v>
      </c>
      <c r="K1409" s="7" t="s">
        <v>29</v>
      </c>
      <c r="L1409" s="3" t="str">
        <f>E1409&amp;D1409</f>
        <v>E.SP.IPAEE_INS_SEG_S_I_MCH 110V GRS 55BR R_0090</v>
      </c>
      <c r="M1409" s="3" t="str">
        <f>IFERROR(MID(D1409,SEARCH("S_I_",D1409,1),3),"")</f>
        <v>S_I</v>
      </c>
      <c r="N1409" s="3" t="str">
        <f>IFERROR(MID(D1409,SEARCH("C_I_",D1409,1),3),"")</f>
        <v/>
      </c>
      <c r="O1409" s="3" t="str">
        <f>IF(AND(M1409="",N1409=""),"Extra","")</f>
        <v/>
      </c>
      <c r="P1409" s="3" t="str">
        <f>IF(Q1409=0,"TERCEIRO","MRS")</f>
        <v>MRS</v>
      </c>
      <c r="Q1409" s="8" t="str">
        <f>IFERROR(VLOOKUP(L1409,#REF!,4,0),"0,00")</f>
        <v>0,00</v>
      </c>
      <c r="R1409" s="9" t="s">
        <v>30</v>
      </c>
      <c r="S1409" s="9">
        <f>COUNTIF(D1409,"*_SEG_*")</f>
        <v>1</v>
      </c>
      <c r="T1409" s="9">
        <f>COUNTIF(D1409,"*_MAN_*")</f>
        <v>0</v>
      </c>
      <c r="U1409" s="9">
        <f>(RIGHT(D1409,4))*1</f>
        <v>90</v>
      </c>
      <c r="V1409" s="9" t="str">
        <f>IFERROR(VLOOKUP(I1409,#REF!,2,0),"Sinalização")</f>
        <v>Sinalização</v>
      </c>
    </row>
    <row r="1410" spans="1:22" x14ac:dyDescent="0.25">
      <c r="A1410" s="3" t="s">
        <v>22</v>
      </c>
      <c r="B1410" s="4">
        <v>23324897</v>
      </c>
      <c r="C1410" s="5" t="s">
        <v>23</v>
      </c>
      <c r="D1410" s="6" t="s">
        <v>635</v>
      </c>
      <c r="E1410" s="6" t="s">
        <v>25</v>
      </c>
      <c r="F1410" s="11">
        <v>46155</v>
      </c>
      <c r="G1410" s="6" t="s">
        <v>1079</v>
      </c>
      <c r="H1410" s="7" t="s">
        <v>26</v>
      </c>
      <c r="I1410" s="7" t="s">
        <v>390</v>
      </c>
      <c r="J1410" s="7" t="s">
        <v>636</v>
      </c>
      <c r="K1410" s="7" t="s">
        <v>29</v>
      </c>
      <c r="L1410" s="3" t="str">
        <f>E1410&amp;D1410</f>
        <v>E.SP.IPAEE_INS_SEG_S_I_MCH 110V GRS 55BR R_0090</v>
      </c>
      <c r="M1410" s="3" t="str">
        <f>IFERROR(MID(D1410,SEARCH("S_I_",D1410,1),3),"")</f>
        <v>S_I</v>
      </c>
      <c r="N1410" s="3" t="str">
        <f>IFERROR(MID(D1410,SEARCH("C_I_",D1410,1),3),"")</f>
        <v/>
      </c>
      <c r="O1410" s="3" t="str">
        <f>IF(AND(M1410="",N1410=""),"Extra","")</f>
        <v/>
      </c>
      <c r="P1410" s="3" t="str">
        <f>IF(Q1410=0,"TERCEIRO","MRS")</f>
        <v>MRS</v>
      </c>
      <c r="Q1410" s="8" t="str">
        <f>IFERROR(VLOOKUP(L1410,#REF!,4,0),"0,00")</f>
        <v>0,00</v>
      </c>
      <c r="R1410" s="9" t="s">
        <v>30</v>
      </c>
      <c r="S1410" s="9">
        <f>COUNTIF(D1410,"*_SEG_*")</f>
        <v>1</v>
      </c>
      <c r="T1410" s="9">
        <f>COUNTIF(D1410,"*_MAN_*")</f>
        <v>0</v>
      </c>
      <c r="U1410" s="9">
        <f>(RIGHT(D1410,4))*1</f>
        <v>90</v>
      </c>
      <c r="V1410" s="9" t="str">
        <f>IFERROR(VLOOKUP(I1410,#REF!,2,0),"Sinalização")</f>
        <v>Sinalização</v>
      </c>
    </row>
    <row r="1411" spans="1:22" x14ac:dyDescent="0.25">
      <c r="A1411" s="3" t="s">
        <v>22</v>
      </c>
      <c r="B1411" s="4">
        <v>23324898</v>
      </c>
      <c r="C1411" s="5" t="s">
        <v>23</v>
      </c>
      <c r="D1411" s="6" t="s">
        <v>635</v>
      </c>
      <c r="E1411" s="6" t="s">
        <v>25</v>
      </c>
      <c r="F1411" s="11">
        <v>46155</v>
      </c>
      <c r="G1411" s="6" t="s">
        <v>1079</v>
      </c>
      <c r="H1411" s="7" t="s">
        <v>26</v>
      </c>
      <c r="I1411" s="7" t="s">
        <v>418</v>
      </c>
      <c r="J1411" s="7" t="s">
        <v>636</v>
      </c>
      <c r="K1411" s="7" t="s">
        <v>29</v>
      </c>
      <c r="L1411" s="3" t="str">
        <f>E1411&amp;D1411</f>
        <v>E.SP.IPAEE_INS_SEG_S_I_MCH 110V GRS 55BR R_0090</v>
      </c>
      <c r="M1411" s="3" t="str">
        <f>IFERROR(MID(D1411,SEARCH("S_I_",D1411,1),3),"")</f>
        <v>S_I</v>
      </c>
      <c r="N1411" s="3" t="str">
        <f>IFERROR(MID(D1411,SEARCH("C_I_",D1411,1),3),"")</f>
        <v/>
      </c>
      <c r="O1411" s="3" t="str">
        <f>IF(AND(M1411="",N1411=""),"Extra","")</f>
        <v/>
      </c>
      <c r="P1411" s="3" t="str">
        <f>IF(Q1411=0,"TERCEIRO","MRS")</f>
        <v>MRS</v>
      </c>
      <c r="Q1411" s="8" t="str">
        <f>IFERROR(VLOOKUP(L1411,#REF!,4,0),"0,00")</f>
        <v>0,00</v>
      </c>
      <c r="R1411" s="9" t="s">
        <v>30</v>
      </c>
      <c r="S1411" s="9">
        <f>COUNTIF(D1411,"*_SEG_*")</f>
        <v>1</v>
      </c>
      <c r="T1411" s="9">
        <f>COUNTIF(D1411,"*_MAN_*")</f>
        <v>0</v>
      </c>
      <c r="U1411" s="9">
        <f>(RIGHT(D1411,4))*1</f>
        <v>90</v>
      </c>
      <c r="V1411" s="9" t="str">
        <f>IFERROR(VLOOKUP(I1411,#REF!,2,0),"Sinalização")</f>
        <v>Sinalização</v>
      </c>
    </row>
    <row r="1412" spans="1:22" x14ac:dyDescent="0.25">
      <c r="A1412" s="3" t="s">
        <v>22</v>
      </c>
      <c r="B1412" s="4">
        <v>23324921</v>
      </c>
      <c r="C1412" s="5" t="s">
        <v>23</v>
      </c>
      <c r="D1412" s="6" t="s">
        <v>635</v>
      </c>
      <c r="E1412" s="6" t="s">
        <v>25</v>
      </c>
      <c r="F1412" s="11">
        <v>46155</v>
      </c>
      <c r="G1412" s="6" t="s">
        <v>1079</v>
      </c>
      <c r="H1412" s="7" t="s">
        <v>26</v>
      </c>
      <c r="I1412" s="7" t="s">
        <v>698</v>
      </c>
      <c r="J1412" s="7" t="s">
        <v>636</v>
      </c>
      <c r="K1412" s="7" t="s">
        <v>29</v>
      </c>
      <c r="L1412" s="3" t="str">
        <f>E1412&amp;D1412</f>
        <v>E.SP.IPAEE_INS_SEG_S_I_MCH 110V GRS 55BR R_0090</v>
      </c>
      <c r="M1412" s="3" t="str">
        <f>IFERROR(MID(D1412,SEARCH("S_I_",D1412,1),3),"")</f>
        <v>S_I</v>
      </c>
      <c r="N1412" s="3" t="str">
        <f>IFERROR(MID(D1412,SEARCH("C_I_",D1412,1),3),"")</f>
        <v/>
      </c>
      <c r="O1412" s="3" t="str">
        <f>IF(AND(M1412="",N1412=""),"Extra","")</f>
        <v/>
      </c>
      <c r="P1412" s="3" t="str">
        <f>IF(Q1412=0,"TERCEIRO","MRS")</f>
        <v>MRS</v>
      </c>
      <c r="Q1412" s="8" t="str">
        <f>IFERROR(VLOOKUP(L1412,#REF!,4,0),"0,00")</f>
        <v>0,00</v>
      </c>
      <c r="R1412" s="9" t="s">
        <v>30</v>
      </c>
      <c r="S1412" s="9">
        <f>COUNTIF(D1412,"*_SEG_*")</f>
        <v>1</v>
      </c>
      <c r="T1412" s="9">
        <f>COUNTIF(D1412,"*_MAN_*")</f>
        <v>0</v>
      </c>
      <c r="U1412" s="9">
        <f>(RIGHT(D1412,4))*1</f>
        <v>90</v>
      </c>
      <c r="V1412" s="9" t="str">
        <f>IFERROR(VLOOKUP(I1412,#REF!,2,0),"Sinalização")</f>
        <v>Sinalização</v>
      </c>
    </row>
    <row r="1413" spans="1:22" x14ac:dyDescent="0.25">
      <c r="A1413" s="3" t="s">
        <v>22</v>
      </c>
      <c r="B1413" s="4">
        <v>23324922</v>
      </c>
      <c r="C1413" s="5" t="s">
        <v>23</v>
      </c>
      <c r="D1413" s="6" t="s">
        <v>635</v>
      </c>
      <c r="E1413" s="6" t="s">
        <v>25</v>
      </c>
      <c r="F1413" s="11">
        <v>46155</v>
      </c>
      <c r="G1413" s="6" t="s">
        <v>1079</v>
      </c>
      <c r="H1413" s="7" t="s">
        <v>26</v>
      </c>
      <c r="I1413" s="7" t="s">
        <v>247</v>
      </c>
      <c r="J1413" s="7" t="s">
        <v>636</v>
      </c>
      <c r="K1413" s="7" t="s">
        <v>29</v>
      </c>
      <c r="L1413" s="3" t="str">
        <f>E1413&amp;D1413</f>
        <v>E.SP.IPAEE_INS_SEG_S_I_MCH 110V GRS 55BR R_0090</v>
      </c>
      <c r="M1413" s="3" t="str">
        <f>IFERROR(MID(D1413,SEARCH("S_I_",D1413,1),3),"")</f>
        <v>S_I</v>
      </c>
      <c r="N1413" s="3" t="str">
        <f>IFERROR(MID(D1413,SEARCH("C_I_",D1413,1),3),"")</f>
        <v/>
      </c>
      <c r="O1413" s="3" t="str">
        <f>IF(AND(M1413="",N1413=""),"Extra","")</f>
        <v/>
      </c>
      <c r="P1413" s="3" t="str">
        <f>IF(Q1413=0,"TERCEIRO","MRS")</f>
        <v>MRS</v>
      </c>
      <c r="Q1413" s="8" t="str">
        <f>IFERROR(VLOOKUP(L1413,#REF!,4,0),"0,00")</f>
        <v>0,00</v>
      </c>
      <c r="R1413" s="9" t="s">
        <v>30</v>
      </c>
      <c r="S1413" s="9">
        <f>COUNTIF(D1413,"*_SEG_*")</f>
        <v>1</v>
      </c>
      <c r="T1413" s="9">
        <f>COUNTIF(D1413,"*_MAN_*")</f>
        <v>0</v>
      </c>
      <c r="U1413" s="9">
        <f>(RIGHT(D1413,4))*1</f>
        <v>90</v>
      </c>
      <c r="V1413" s="9" t="str">
        <f>IFERROR(VLOOKUP(I1413,#REF!,2,0),"Sinalização")</f>
        <v>Sinalização</v>
      </c>
    </row>
    <row r="1414" spans="1:22" x14ac:dyDescent="0.25">
      <c r="A1414" s="3" t="s">
        <v>22</v>
      </c>
      <c r="B1414" s="4">
        <v>23324960</v>
      </c>
      <c r="C1414" s="5" t="s">
        <v>23</v>
      </c>
      <c r="D1414" s="6" t="s">
        <v>707</v>
      </c>
      <c r="E1414" s="6" t="s">
        <v>25</v>
      </c>
      <c r="F1414" s="11">
        <v>46155</v>
      </c>
      <c r="G1414" s="6" t="s">
        <v>1079</v>
      </c>
      <c r="H1414" s="7" t="s">
        <v>26</v>
      </c>
      <c r="I1414" s="7" t="s">
        <v>253</v>
      </c>
      <c r="J1414" s="7" t="s">
        <v>708</v>
      </c>
      <c r="K1414" s="7" t="s">
        <v>29</v>
      </c>
      <c r="L1414" s="3" t="str">
        <f>E1414&amp;D1414</f>
        <v>E.SP.IPAEE_MAN_CONF_C_I_MCH 110VCC GRS 5C R_0090</v>
      </c>
      <c r="M1414" s="3" t="str">
        <f>IFERROR(MID(D1414,SEARCH("S_I_",D1414,1),3),"")</f>
        <v/>
      </c>
      <c r="N1414" s="3" t="str">
        <f>IFERROR(MID(D1414,SEARCH("C_I_",D1414,1),3),"")</f>
        <v>C_I</v>
      </c>
      <c r="O1414" s="3" t="str">
        <f>IF(AND(M1414="",N1414=""),"Extra","")</f>
        <v/>
      </c>
      <c r="P1414" s="3" t="str">
        <f>IF(Q1414=0,"TERCEIRO","MRS")</f>
        <v>MRS</v>
      </c>
      <c r="Q1414" s="8" t="str">
        <f>IFERROR(VLOOKUP(L1414,#REF!,4,0),"0,00")</f>
        <v>0,00</v>
      </c>
      <c r="R1414" s="9" t="s">
        <v>42</v>
      </c>
      <c r="S1414" s="9">
        <f>COUNTIF(D1414,"*_SEG_*")</f>
        <v>0</v>
      </c>
      <c r="T1414" s="9">
        <f>COUNTIF(D1414,"*_MAN_*")</f>
        <v>1</v>
      </c>
      <c r="U1414" s="9">
        <f>(RIGHT(D1414,4))*1</f>
        <v>90</v>
      </c>
      <c r="V1414" s="9" t="str">
        <f>IFERROR(VLOOKUP(I1414,#REF!,2,0),"Sinalização")</f>
        <v>Sinalização</v>
      </c>
    </row>
    <row r="1415" spans="1:22" x14ac:dyDescent="0.25">
      <c r="A1415" s="3" t="s">
        <v>22</v>
      </c>
      <c r="B1415" s="4">
        <v>23324965</v>
      </c>
      <c r="C1415" s="5" t="s">
        <v>23</v>
      </c>
      <c r="D1415" s="6" t="s">
        <v>709</v>
      </c>
      <c r="E1415" s="6" t="s">
        <v>25</v>
      </c>
      <c r="F1415" s="11">
        <v>46155</v>
      </c>
      <c r="G1415" s="6" t="s">
        <v>1079</v>
      </c>
      <c r="H1415" s="7" t="s">
        <v>26</v>
      </c>
      <c r="I1415" s="7" t="s">
        <v>710</v>
      </c>
      <c r="J1415" s="7" t="s">
        <v>711</v>
      </c>
      <c r="K1415" s="7" t="s">
        <v>29</v>
      </c>
      <c r="L1415" s="3" t="str">
        <f>E1415&amp;D1415</f>
        <v>E.SP.IPAEE_INS_CONF_C_I_COM ENER CHAN OVER_0090</v>
      </c>
      <c r="M1415" s="3" t="str">
        <f>IFERROR(MID(D1415,SEARCH("S_I_",D1415,1),3),"")</f>
        <v/>
      </c>
      <c r="N1415" s="3" t="str">
        <f>IFERROR(MID(D1415,SEARCH("C_I_",D1415,1),3),"")</f>
        <v>C_I</v>
      </c>
      <c r="O1415" s="3" t="str">
        <f>IF(AND(M1415="",N1415=""),"Extra","")</f>
        <v/>
      </c>
      <c r="P1415" s="3" t="str">
        <f>IF(Q1415=0,"TERCEIRO","MRS")</f>
        <v>MRS</v>
      </c>
      <c r="Q1415" s="8" t="str">
        <f>IFERROR(VLOOKUP(L1415,#REF!,4,0),"0,00")</f>
        <v>0,00</v>
      </c>
      <c r="R1415" s="9" t="s">
        <v>98</v>
      </c>
      <c r="S1415" s="9">
        <f>COUNTIF(D1415,"*_SEG_*")</f>
        <v>0</v>
      </c>
      <c r="T1415" s="9">
        <f>COUNTIF(D1415,"*_MAN_*")</f>
        <v>0</v>
      </c>
      <c r="U1415" s="9">
        <f>(RIGHT(D1415,4))*1</f>
        <v>90</v>
      </c>
      <c r="V1415" s="9" t="str">
        <f>IFERROR(VLOOKUP(I1415,#REF!,2,0),"Sinalização")</f>
        <v>Sinalização</v>
      </c>
    </row>
    <row r="1416" spans="1:22" x14ac:dyDescent="0.25">
      <c r="A1416" s="3" t="s">
        <v>22</v>
      </c>
      <c r="B1416" s="4">
        <v>23324967</v>
      </c>
      <c r="C1416" s="5" t="s">
        <v>23</v>
      </c>
      <c r="D1416" s="6" t="s">
        <v>709</v>
      </c>
      <c r="E1416" s="6" t="s">
        <v>25</v>
      </c>
      <c r="F1416" s="11">
        <v>46155</v>
      </c>
      <c r="G1416" s="6" t="s">
        <v>1079</v>
      </c>
      <c r="H1416" s="7" t="s">
        <v>26</v>
      </c>
      <c r="I1416" s="7" t="s">
        <v>699</v>
      </c>
      <c r="J1416" s="7" t="s">
        <v>711</v>
      </c>
      <c r="K1416" s="7" t="s">
        <v>29</v>
      </c>
      <c r="L1416" s="3" t="str">
        <f>E1416&amp;D1416</f>
        <v>E.SP.IPAEE_INS_CONF_C_I_COM ENER CHAN OVER_0090</v>
      </c>
      <c r="M1416" s="3" t="str">
        <f>IFERROR(MID(D1416,SEARCH("S_I_",D1416,1),3),"")</f>
        <v/>
      </c>
      <c r="N1416" s="3" t="str">
        <f>IFERROR(MID(D1416,SEARCH("C_I_",D1416,1),3),"")</f>
        <v>C_I</v>
      </c>
      <c r="O1416" s="3" t="str">
        <f>IF(AND(M1416="",N1416=""),"Extra","")</f>
        <v/>
      </c>
      <c r="P1416" s="3" t="str">
        <f>IF(Q1416=0,"TERCEIRO","MRS")</f>
        <v>MRS</v>
      </c>
      <c r="Q1416" s="8" t="str">
        <f>IFERROR(VLOOKUP(L1416,#REF!,4,0),"0,00")</f>
        <v>0,00</v>
      </c>
      <c r="R1416" s="9" t="s">
        <v>98</v>
      </c>
      <c r="S1416" s="9">
        <f>COUNTIF(D1416,"*_SEG_*")</f>
        <v>0</v>
      </c>
      <c r="T1416" s="9">
        <f>COUNTIF(D1416,"*_MAN_*")</f>
        <v>0</v>
      </c>
      <c r="U1416" s="9">
        <f>(RIGHT(D1416,4))*1</f>
        <v>90</v>
      </c>
      <c r="V1416" s="9" t="str">
        <f>IFERROR(VLOOKUP(I1416,#REF!,2,0),"Sinalização")</f>
        <v>Sinalização</v>
      </c>
    </row>
    <row r="1417" spans="1:22" x14ac:dyDescent="0.25">
      <c r="A1417" s="3" t="s">
        <v>22</v>
      </c>
      <c r="B1417" s="4">
        <v>23324971</v>
      </c>
      <c r="C1417" s="5" t="s">
        <v>23</v>
      </c>
      <c r="D1417" s="6" t="s">
        <v>709</v>
      </c>
      <c r="E1417" s="6" t="s">
        <v>25</v>
      </c>
      <c r="F1417" s="11">
        <v>46155</v>
      </c>
      <c r="G1417" s="6" t="s">
        <v>1079</v>
      </c>
      <c r="H1417" s="7" t="s">
        <v>26</v>
      </c>
      <c r="I1417" s="7" t="s">
        <v>712</v>
      </c>
      <c r="J1417" s="7" t="s">
        <v>711</v>
      </c>
      <c r="K1417" s="7" t="s">
        <v>29</v>
      </c>
      <c r="L1417" s="3" t="str">
        <f>E1417&amp;D1417</f>
        <v>E.SP.IPAEE_INS_CONF_C_I_COM ENER CHAN OVER_0090</v>
      </c>
      <c r="M1417" s="3" t="str">
        <f>IFERROR(MID(D1417,SEARCH("S_I_",D1417,1),3),"")</f>
        <v/>
      </c>
      <c r="N1417" s="3" t="str">
        <f>IFERROR(MID(D1417,SEARCH("C_I_",D1417,1),3),"")</f>
        <v>C_I</v>
      </c>
      <c r="O1417" s="3" t="str">
        <f>IF(AND(M1417="",N1417=""),"Extra","")</f>
        <v/>
      </c>
      <c r="P1417" s="3" t="str">
        <f>IF(Q1417=0,"TERCEIRO","MRS")</f>
        <v>MRS</v>
      </c>
      <c r="Q1417" s="8" t="str">
        <f>IFERROR(VLOOKUP(L1417,#REF!,4,0),"0,00")</f>
        <v>0,00</v>
      </c>
      <c r="R1417" s="9" t="s">
        <v>98</v>
      </c>
      <c r="S1417" s="9">
        <f>COUNTIF(D1417,"*_SEG_*")</f>
        <v>0</v>
      </c>
      <c r="T1417" s="9">
        <f>COUNTIF(D1417,"*_MAN_*")</f>
        <v>0</v>
      </c>
      <c r="U1417" s="9">
        <f>(RIGHT(D1417,4))*1</f>
        <v>90</v>
      </c>
      <c r="V1417" s="9" t="str">
        <f>IFERROR(VLOOKUP(I1417,#REF!,2,0),"Sinalização")</f>
        <v>Sinalização</v>
      </c>
    </row>
    <row r="1418" spans="1:22" x14ac:dyDescent="0.25">
      <c r="A1418" s="3" t="s">
        <v>22</v>
      </c>
      <c r="B1418" s="4">
        <v>23324972</v>
      </c>
      <c r="C1418" s="5" t="s">
        <v>23</v>
      </c>
      <c r="D1418" s="6" t="s">
        <v>709</v>
      </c>
      <c r="E1418" s="6" t="s">
        <v>25</v>
      </c>
      <c r="F1418" s="11">
        <v>46155</v>
      </c>
      <c r="G1418" s="6" t="s">
        <v>1079</v>
      </c>
      <c r="H1418" s="7" t="s">
        <v>26</v>
      </c>
      <c r="I1418" s="7" t="s">
        <v>713</v>
      </c>
      <c r="J1418" s="7" t="s">
        <v>711</v>
      </c>
      <c r="K1418" s="7" t="s">
        <v>29</v>
      </c>
      <c r="L1418" s="3" t="str">
        <f>E1418&amp;D1418</f>
        <v>E.SP.IPAEE_INS_CONF_C_I_COM ENER CHAN OVER_0090</v>
      </c>
      <c r="M1418" s="3" t="str">
        <f>IFERROR(MID(D1418,SEARCH("S_I_",D1418,1),3),"")</f>
        <v/>
      </c>
      <c r="N1418" s="3" t="str">
        <f>IFERROR(MID(D1418,SEARCH("C_I_",D1418,1),3),"")</f>
        <v>C_I</v>
      </c>
      <c r="O1418" s="3" t="str">
        <f>IF(AND(M1418="",N1418=""),"Extra","")</f>
        <v/>
      </c>
      <c r="P1418" s="3" t="str">
        <f>IF(Q1418=0,"TERCEIRO","MRS")</f>
        <v>MRS</v>
      </c>
      <c r="Q1418" s="8" t="str">
        <f>IFERROR(VLOOKUP(L1418,#REF!,4,0),"0,00")</f>
        <v>0,00</v>
      </c>
      <c r="R1418" s="9" t="s">
        <v>98</v>
      </c>
      <c r="S1418" s="9">
        <f>COUNTIF(D1418,"*_SEG_*")</f>
        <v>0</v>
      </c>
      <c r="T1418" s="9">
        <f>COUNTIF(D1418,"*_MAN_*")</f>
        <v>0</v>
      </c>
      <c r="U1418" s="9">
        <f>(RIGHT(D1418,4))*1</f>
        <v>90</v>
      </c>
      <c r="V1418" s="9" t="str">
        <f>IFERROR(VLOOKUP(I1418,#REF!,2,0),"Sinalização")</f>
        <v>Sinalização</v>
      </c>
    </row>
    <row r="1419" spans="1:22" x14ac:dyDescent="0.25">
      <c r="A1419" s="3" t="s">
        <v>22</v>
      </c>
      <c r="B1419" s="4">
        <v>23324973</v>
      </c>
      <c r="C1419" s="5" t="s">
        <v>23</v>
      </c>
      <c r="D1419" s="6" t="s">
        <v>709</v>
      </c>
      <c r="E1419" s="6" t="s">
        <v>25</v>
      </c>
      <c r="F1419" s="11">
        <v>46155</v>
      </c>
      <c r="G1419" s="6" t="s">
        <v>1079</v>
      </c>
      <c r="H1419" s="7" t="s">
        <v>26</v>
      </c>
      <c r="I1419" s="7" t="s">
        <v>714</v>
      </c>
      <c r="J1419" s="7" t="s">
        <v>711</v>
      </c>
      <c r="K1419" s="7" t="s">
        <v>29</v>
      </c>
      <c r="L1419" s="3" t="str">
        <f>E1419&amp;D1419</f>
        <v>E.SP.IPAEE_INS_CONF_C_I_COM ENER CHAN OVER_0090</v>
      </c>
      <c r="M1419" s="3" t="str">
        <f>IFERROR(MID(D1419,SEARCH("S_I_",D1419,1),3),"")</f>
        <v/>
      </c>
      <c r="N1419" s="3" t="str">
        <f>IFERROR(MID(D1419,SEARCH("C_I_",D1419,1),3),"")</f>
        <v>C_I</v>
      </c>
      <c r="O1419" s="3" t="str">
        <f>IF(AND(M1419="",N1419=""),"Extra","")</f>
        <v/>
      </c>
      <c r="P1419" s="3" t="str">
        <f>IF(Q1419=0,"TERCEIRO","MRS")</f>
        <v>MRS</v>
      </c>
      <c r="Q1419" s="8" t="str">
        <f>IFERROR(VLOOKUP(L1419,#REF!,4,0),"0,00")</f>
        <v>0,00</v>
      </c>
      <c r="R1419" s="9" t="s">
        <v>98</v>
      </c>
      <c r="S1419" s="9">
        <f>COUNTIF(D1419,"*_SEG_*")</f>
        <v>0</v>
      </c>
      <c r="T1419" s="9">
        <f>COUNTIF(D1419,"*_MAN_*")</f>
        <v>0</v>
      </c>
      <c r="U1419" s="9">
        <f>(RIGHT(D1419,4))*1</f>
        <v>90</v>
      </c>
      <c r="V1419" s="9" t="str">
        <f>IFERROR(VLOOKUP(I1419,#REF!,2,0),"Sinalização")</f>
        <v>Sinalização</v>
      </c>
    </row>
    <row r="1420" spans="1:22" x14ac:dyDescent="0.25">
      <c r="A1420" s="3" t="s">
        <v>22</v>
      </c>
      <c r="B1420" s="4">
        <v>23325203</v>
      </c>
      <c r="C1420" s="5" t="s">
        <v>23</v>
      </c>
      <c r="D1420" s="6" t="s">
        <v>641</v>
      </c>
      <c r="E1420" s="6" t="s">
        <v>25</v>
      </c>
      <c r="F1420" s="11">
        <v>46155</v>
      </c>
      <c r="G1420" s="6" t="s">
        <v>1079</v>
      </c>
      <c r="H1420" s="7" t="s">
        <v>26</v>
      </c>
      <c r="I1420" s="7" t="s">
        <v>272</v>
      </c>
      <c r="J1420" s="7" t="s">
        <v>642</v>
      </c>
      <c r="K1420" s="7" t="s">
        <v>29</v>
      </c>
      <c r="L1420" s="3" t="str">
        <f>E1420&amp;D1420</f>
        <v>E.SP.IPAEE_INS_CONF_S_I_MAQ CHAVE MOLA_0090</v>
      </c>
      <c r="M1420" s="3" t="str">
        <f>IFERROR(MID(D1420,SEARCH("S_I_",D1420,1),3),"")</f>
        <v>S_I</v>
      </c>
      <c r="N1420" s="3" t="str">
        <f>IFERROR(MID(D1420,SEARCH("C_I_",D1420,1),3),"")</f>
        <v/>
      </c>
      <c r="O1420" s="3" t="str">
        <f>IF(AND(M1420="",N1420=""),"Extra","")</f>
        <v/>
      </c>
      <c r="P1420" s="3" t="str">
        <f>IF(Q1420=0,"TERCEIRO","MRS")</f>
        <v>MRS</v>
      </c>
      <c r="Q1420" s="8" t="str">
        <f>IFERROR(VLOOKUP(L1420,#REF!,4,0),"0,00")</f>
        <v>0,00</v>
      </c>
      <c r="R1420" s="9" t="s">
        <v>42</v>
      </c>
      <c r="S1420" s="9">
        <f>COUNTIF(D1420,"*_SEG_*")</f>
        <v>0</v>
      </c>
      <c r="T1420" s="9">
        <f>COUNTIF(D1420,"*_MAN_*")</f>
        <v>0</v>
      </c>
      <c r="U1420" s="9">
        <f>(RIGHT(D1420,4))*1</f>
        <v>90</v>
      </c>
      <c r="V1420" s="9" t="str">
        <f>IFERROR(VLOOKUP(I1420,#REF!,2,0),"Sinalização")</f>
        <v>Sinalização</v>
      </c>
    </row>
    <row r="1421" spans="1:22" x14ac:dyDescent="0.25">
      <c r="A1421" s="3" t="s">
        <v>22</v>
      </c>
      <c r="B1421" s="4">
        <v>23325215</v>
      </c>
      <c r="C1421" s="5" t="s">
        <v>23</v>
      </c>
      <c r="D1421" s="6" t="s">
        <v>715</v>
      </c>
      <c r="E1421" s="6" t="s">
        <v>25</v>
      </c>
      <c r="F1421" s="11">
        <v>46155</v>
      </c>
      <c r="G1421" s="6" t="s">
        <v>1079</v>
      </c>
      <c r="H1421" s="7" t="s">
        <v>26</v>
      </c>
      <c r="I1421" s="7" t="s">
        <v>703</v>
      </c>
      <c r="J1421" s="7" t="s">
        <v>525</v>
      </c>
      <c r="K1421" s="7" t="s">
        <v>29</v>
      </c>
      <c r="L1421" s="3" t="str">
        <f>E1421&amp;D1421</f>
        <v>E.SP.IPAEE_MAN_CONF_S_I_SINAL L MULTI AUT_0090</v>
      </c>
      <c r="M1421" s="3" t="str">
        <f>IFERROR(MID(D1421,SEARCH("S_I_",D1421,1),3),"")</f>
        <v>S_I</v>
      </c>
      <c r="N1421" s="3" t="str">
        <f>IFERROR(MID(D1421,SEARCH("C_I_",D1421,1),3),"")</f>
        <v/>
      </c>
      <c r="O1421" s="3" t="str">
        <f>IF(AND(M1421="",N1421=""),"Extra","")</f>
        <v/>
      </c>
      <c r="P1421" s="3" t="str">
        <f>IF(Q1421=0,"TERCEIRO","MRS")</f>
        <v>MRS</v>
      </c>
      <c r="Q1421" s="8" t="str">
        <f>IFERROR(VLOOKUP(L1421,#REF!,4,0),"0,00")</f>
        <v>0,00</v>
      </c>
      <c r="R1421" s="9" t="s">
        <v>57</v>
      </c>
      <c r="S1421" s="9">
        <f>COUNTIF(D1421,"*_SEG_*")</f>
        <v>0</v>
      </c>
      <c r="T1421" s="9">
        <f>COUNTIF(D1421,"*_MAN_*")</f>
        <v>1</v>
      </c>
      <c r="U1421" s="9">
        <f>(RIGHT(D1421,4))*1</f>
        <v>90</v>
      </c>
      <c r="V1421" s="9" t="str">
        <f>IFERROR(VLOOKUP(I1421,#REF!,2,0),"Sinalização")</f>
        <v>Sinalização</v>
      </c>
    </row>
    <row r="1422" spans="1:22" x14ac:dyDescent="0.25">
      <c r="A1422" s="3" t="s">
        <v>22</v>
      </c>
      <c r="B1422" s="4">
        <v>23325216</v>
      </c>
      <c r="C1422" s="5" t="s">
        <v>23</v>
      </c>
      <c r="D1422" s="6" t="s">
        <v>715</v>
      </c>
      <c r="E1422" s="6" t="s">
        <v>25</v>
      </c>
      <c r="F1422" s="11">
        <v>46155</v>
      </c>
      <c r="G1422" s="6" t="s">
        <v>1079</v>
      </c>
      <c r="H1422" s="7" t="s">
        <v>26</v>
      </c>
      <c r="I1422" s="7" t="s">
        <v>702</v>
      </c>
      <c r="J1422" s="7" t="s">
        <v>525</v>
      </c>
      <c r="K1422" s="7" t="s">
        <v>29</v>
      </c>
      <c r="L1422" s="3" t="str">
        <f>E1422&amp;D1422</f>
        <v>E.SP.IPAEE_MAN_CONF_S_I_SINAL L MULTI AUT_0090</v>
      </c>
      <c r="M1422" s="3" t="str">
        <f>IFERROR(MID(D1422,SEARCH("S_I_",D1422,1),3),"")</f>
        <v>S_I</v>
      </c>
      <c r="N1422" s="3" t="str">
        <f>IFERROR(MID(D1422,SEARCH("C_I_",D1422,1),3),"")</f>
        <v/>
      </c>
      <c r="O1422" s="3" t="str">
        <f>IF(AND(M1422="",N1422=""),"Extra","")</f>
        <v/>
      </c>
      <c r="P1422" s="3" t="str">
        <f>IF(Q1422=0,"TERCEIRO","MRS")</f>
        <v>MRS</v>
      </c>
      <c r="Q1422" s="8" t="str">
        <f>IFERROR(VLOOKUP(L1422,#REF!,4,0),"0,00")</f>
        <v>0,00</v>
      </c>
      <c r="R1422" s="9" t="s">
        <v>57</v>
      </c>
      <c r="S1422" s="9">
        <f>COUNTIF(D1422,"*_SEG_*")</f>
        <v>0</v>
      </c>
      <c r="T1422" s="9">
        <f>COUNTIF(D1422,"*_MAN_*")</f>
        <v>1</v>
      </c>
      <c r="U1422" s="9">
        <f>(RIGHT(D1422,4))*1</f>
        <v>90</v>
      </c>
      <c r="V1422" s="9" t="str">
        <f>IFERROR(VLOOKUP(I1422,#REF!,2,0),"Sinalização")</f>
        <v>Sinalização</v>
      </c>
    </row>
    <row r="1423" spans="1:22" x14ac:dyDescent="0.25">
      <c r="A1423" s="3" t="s">
        <v>22</v>
      </c>
      <c r="B1423" s="4">
        <v>23325217</v>
      </c>
      <c r="C1423" s="5" t="s">
        <v>23</v>
      </c>
      <c r="D1423" s="6" t="s">
        <v>715</v>
      </c>
      <c r="E1423" s="6" t="s">
        <v>25</v>
      </c>
      <c r="F1423" s="11">
        <v>46155</v>
      </c>
      <c r="G1423" s="6" t="s">
        <v>1079</v>
      </c>
      <c r="H1423" s="7" t="s">
        <v>26</v>
      </c>
      <c r="I1423" s="7" t="s">
        <v>396</v>
      </c>
      <c r="J1423" s="7" t="s">
        <v>525</v>
      </c>
      <c r="K1423" s="7" t="s">
        <v>29</v>
      </c>
      <c r="L1423" s="3" t="str">
        <f>E1423&amp;D1423</f>
        <v>E.SP.IPAEE_MAN_CONF_S_I_SINAL L MULTI AUT_0090</v>
      </c>
      <c r="M1423" s="3" t="str">
        <f>IFERROR(MID(D1423,SEARCH("S_I_",D1423,1),3),"")</f>
        <v>S_I</v>
      </c>
      <c r="N1423" s="3" t="str">
        <f>IFERROR(MID(D1423,SEARCH("C_I_",D1423,1),3),"")</f>
        <v/>
      </c>
      <c r="O1423" s="3" t="str">
        <f>IF(AND(M1423="",N1423=""),"Extra","")</f>
        <v/>
      </c>
      <c r="P1423" s="3" t="str">
        <f>IF(Q1423=0,"TERCEIRO","MRS")</f>
        <v>MRS</v>
      </c>
      <c r="Q1423" s="8" t="str">
        <f>IFERROR(VLOOKUP(L1423,#REF!,4,0),"0,00")</f>
        <v>0,00</v>
      </c>
      <c r="R1423" s="9" t="s">
        <v>57</v>
      </c>
      <c r="S1423" s="9">
        <f>COUNTIF(D1423,"*_SEG_*")</f>
        <v>0</v>
      </c>
      <c r="T1423" s="9">
        <f>COUNTIF(D1423,"*_MAN_*")</f>
        <v>1</v>
      </c>
      <c r="U1423" s="9">
        <f>(RIGHT(D1423,4))*1</f>
        <v>90</v>
      </c>
      <c r="V1423" s="9" t="str">
        <f>IFERROR(VLOOKUP(I1423,#REF!,2,0),"Sinalização")</f>
        <v>Sinalização</v>
      </c>
    </row>
    <row r="1424" spans="1:22" x14ac:dyDescent="0.25">
      <c r="A1424" s="3" t="s">
        <v>22</v>
      </c>
      <c r="B1424" s="4">
        <v>23325428</v>
      </c>
      <c r="C1424" s="5" t="s">
        <v>23</v>
      </c>
      <c r="D1424" s="6" t="s">
        <v>716</v>
      </c>
      <c r="E1424" s="6" t="s">
        <v>25</v>
      </c>
      <c r="F1424" s="11">
        <v>46155</v>
      </c>
      <c r="G1424" s="6" t="s">
        <v>1079</v>
      </c>
      <c r="H1424" s="7" t="s">
        <v>26</v>
      </c>
      <c r="I1424" s="7" t="s">
        <v>253</v>
      </c>
      <c r="J1424" s="7" t="s">
        <v>636</v>
      </c>
      <c r="K1424" s="7" t="s">
        <v>29</v>
      </c>
      <c r="L1424" s="3" t="str">
        <f>E1424&amp;D1424</f>
        <v>E.SP.IPAEE_INS_SEG_S_I_MCH 110VCC GRS 5C R_0090</v>
      </c>
      <c r="M1424" s="3" t="str">
        <f>IFERROR(MID(D1424,SEARCH("S_I_",D1424,1),3),"")</f>
        <v>S_I</v>
      </c>
      <c r="N1424" s="3" t="str">
        <f>IFERROR(MID(D1424,SEARCH("C_I_",D1424,1),3),"")</f>
        <v/>
      </c>
      <c r="O1424" s="3" t="str">
        <f>IF(AND(M1424="",N1424=""),"Extra","")</f>
        <v/>
      </c>
      <c r="P1424" s="3" t="str">
        <f>IF(Q1424=0,"TERCEIRO","MRS")</f>
        <v>MRS</v>
      </c>
      <c r="Q1424" s="8" t="str">
        <f>IFERROR(VLOOKUP(L1424,#REF!,4,0),"0,00")</f>
        <v>0,00</v>
      </c>
      <c r="R1424" s="9" t="s">
        <v>30</v>
      </c>
      <c r="S1424" s="9">
        <f>COUNTIF(D1424,"*_SEG_*")</f>
        <v>1</v>
      </c>
      <c r="T1424" s="9">
        <f>COUNTIF(D1424,"*_MAN_*")</f>
        <v>0</v>
      </c>
      <c r="U1424" s="9">
        <f>(RIGHT(D1424,4))*1</f>
        <v>90</v>
      </c>
      <c r="V1424" s="9" t="str">
        <f>IFERROR(VLOOKUP(I1424,#REF!,2,0),"Sinalização")</f>
        <v>Sinalização</v>
      </c>
    </row>
    <row r="1425" spans="1:22" x14ac:dyDescent="0.25">
      <c r="A1425" s="3" t="s">
        <v>22</v>
      </c>
      <c r="B1425" s="4">
        <v>23325434</v>
      </c>
      <c r="C1425" s="5" t="s">
        <v>23</v>
      </c>
      <c r="D1425" s="6" t="s">
        <v>717</v>
      </c>
      <c r="E1425" s="6" t="s">
        <v>25</v>
      </c>
      <c r="F1425" s="11">
        <v>46155</v>
      </c>
      <c r="G1425" s="6" t="s">
        <v>1079</v>
      </c>
      <c r="H1425" s="7" t="s">
        <v>26</v>
      </c>
      <c r="I1425" s="7" t="s">
        <v>243</v>
      </c>
      <c r="J1425" s="7" t="s">
        <v>718</v>
      </c>
      <c r="K1425" s="7" t="s">
        <v>29</v>
      </c>
      <c r="L1425" s="3" t="str">
        <f>E1425&amp;D1425</f>
        <v>E.SP.IPAEE_INS_CONF_C_I_P.N. AUT MD S BARRE_0090</v>
      </c>
      <c r="M1425" s="3" t="str">
        <f>IFERROR(MID(D1425,SEARCH("S_I_",D1425,1),3),"")</f>
        <v/>
      </c>
      <c r="N1425" s="3" t="str">
        <f>IFERROR(MID(D1425,SEARCH("C_I_",D1425,1),3),"")</f>
        <v>C_I</v>
      </c>
      <c r="O1425" s="3" t="str">
        <f>IF(AND(M1425="",N1425=""),"Extra","")</f>
        <v/>
      </c>
      <c r="P1425" s="3" t="str">
        <f>IF(Q1425=0,"TERCEIRO","MRS")</f>
        <v>MRS</v>
      </c>
      <c r="Q1425" s="8" t="str">
        <f>IFERROR(VLOOKUP(L1425,#REF!,4,0),"0,00")</f>
        <v>0,00</v>
      </c>
      <c r="R1425" s="9" t="s">
        <v>30</v>
      </c>
      <c r="S1425" s="9">
        <f>COUNTIF(D1425,"*_SEG_*")</f>
        <v>0</v>
      </c>
      <c r="T1425" s="9">
        <f>COUNTIF(D1425,"*_MAN_*")</f>
        <v>0</v>
      </c>
      <c r="U1425" s="9">
        <f>(RIGHT(D1425,4))*1</f>
        <v>90</v>
      </c>
      <c r="V1425" s="9" t="str">
        <f>IFERROR(VLOOKUP(I1425,#REF!,2,0),"Sinalização")</f>
        <v>Sinalização</v>
      </c>
    </row>
    <row r="1426" spans="1:22" x14ac:dyDescent="0.25">
      <c r="A1426" s="3" t="s">
        <v>22</v>
      </c>
      <c r="B1426" s="4">
        <v>23325435</v>
      </c>
      <c r="C1426" s="5" t="s">
        <v>23</v>
      </c>
      <c r="D1426" s="6" t="s">
        <v>650</v>
      </c>
      <c r="E1426" s="6" t="s">
        <v>25</v>
      </c>
      <c r="F1426" s="11">
        <v>46155</v>
      </c>
      <c r="G1426" s="6" t="s">
        <v>1079</v>
      </c>
      <c r="H1426" s="7" t="s">
        <v>26</v>
      </c>
      <c r="I1426" s="7" t="s">
        <v>688</v>
      </c>
      <c r="J1426" s="7" t="s">
        <v>651</v>
      </c>
      <c r="K1426" s="7" t="s">
        <v>29</v>
      </c>
      <c r="L1426" s="3" t="str">
        <f>E1426&amp;D1426</f>
        <v>E.SP.IPAEE_INS_CONF_S_I_TRAFO LOCAL_0090</v>
      </c>
      <c r="M1426" s="3" t="str">
        <f>IFERROR(MID(D1426,SEARCH("S_I_",D1426,1),3),"")</f>
        <v>S_I</v>
      </c>
      <c r="N1426" s="3" t="str">
        <f>IFERROR(MID(D1426,SEARCH("C_I_",D1426,1),3),"")</f>
        <v/>
      </c>
      <c r="O1426" s="3" t="str">
        <f>IF(AND(M1426="",N1426=""),"Extra","")</f>
        <v/>
      </c>
      <c r="P1426" s="3" t="str">
        <f>IF(Q1426=0,"TERCEIRO","MRS")</f>
        <v>MRS</v>
      </c>
      <c r="Q1426" s="8" t="str">
        <f>IFERROR(VLOOKUP(L1426,#REF!,4,0),"0,00")</f>
        <v>0,00</v>
      </c>
      <c r="R1426" s="9" t="s">
        <v>42</v>
      </c>
      <c r="S1426" s="9">
        <f>COUNTIF(D1426,"*_SEG_*")</f>
        <v>0</v>
      </c>
      <c r="T1426" s="9">
        <f>COUNTIF(D1426,"*_MAN_*")</f>
        <v>0</v>
      </c>
      <c r="U1426" s="9">
        <f>(RIGHT(D1426,4))*1</f>
        <v>90</v>
      </c>
      <c r="V1426" s="9" t="str">
        <f>IFERROR(VLOOKUP(I1426,#REF!,2,0),"Sinalização")</f>
        <v>Sinalização</v>
      </c>
    </row>
    <row r="1427" spans="1:22" x14ac:dyDescent="0.25">
      <c r="A1427" s="3" t="s">
        <v>22</v>
      </c>
      <c r="B1427" s="4">
        <v>23325436</v>
      </c>
      <c r="C1427" s="5" t="s">
        <v>23</v>
      </c>
      <c r="D1427" s="6" t="s">
        <v>650</v>
      </c>
      <c r="E1427" s="6" t="s">
        <v>25</v>
      </c>
      <c r="F1427" s="11">
        <v>46155</v>
      </c>
      <c r="G1427" s="6" t="s">
        <v>1079</v>
      </c>
      <c r="H1427" s="7" t="s">
        <v>26</v>
      </c>
      <c r="I1427" s="7" t="s">
        <v>687</v>
      </c>
      <c r="J1427" s="7" t="s">
        <v>651</v>
      </c>
      <c r="K1427" s="7" t="s">
        <v>29</v>
      </c>
      <c r="L1427" s="3" t="str">
        <f>E1427&amp;D1427</f>
        <v>E.SP.IPAEE_INS_CONF_S_I_TRAFO LOCAL_0090</v>
      </c>
      <c r="M1427" s="3" t="str">
        <f>IFERROR(MID(D1427,SEARCH("S_I_",D1427,1),3),"")</f>
        <v>S_I</v>
      </c>
      <c r="N1427" s="3" t="str">
        <f>IFERROR(MID(D1427,SEARCH("C_I_",D1427,1),3),"")</f>
        <v/>
      </c>
      <c r="O1427" s="3" t="str">
        <f>IF(AND(M1427="",N1427=""),"Extra","")</f>
        <v/>
      </c>
      <c r="P1427" s="3" t="str">
        <f>IF(Q1427=0,"TERCEIRO","MRS")</f>
        <v>MRS</v>
      </c>
      <c r="Q1427" s="8" t="str">
        <f>IFERROR(VLOOKUP(L1427,#REF!,4,0),"0,00")</f>
        <v>0,00</v>
      </c>
      <c r="R1427" s="9" t="s">
        <v>42</v>
      </c>
      <c r="S1427" s="9">
        <f>COUNTIF(D1427,"*_SEG_*")</f>
        <v>0</v>
      </c>
      <c r="T1427" s="9">
        <f>COUNTIF(D1427,"*_MAN_*")</f>
        <v>0</v>
      </c>
      <c r="U1427" s="9">
        <f>(RIGHT(D1427,4))*1</f>
        <v>90</v>
      </c>
      <c r="V1427" s="9" t="str">
        <f>IFERROR(VLOOKUP(I1427,#REF!,2,0),"Sinalização")</f>
        <v>Sinalização</v>
      </c>
    </row>
    <row r="1428" spans="1:22" x14ac:dyDescent="0.25">
      <c r="A1428" s="3" t="s">
        <v>22</v>
      </c>
      <c r="B1428" s="4">
        <v>23325437</v>
      </c>
      <c r="C1428" s="5" t="s">
        <v>23</v>
      </c>
      <c r="D1428" s="6" t="s">
        <v>650</v>
      </c>
      <c r="E1428" s="6" t="s">
        <v>25</v>
      </c>
      <c r="F1428" s="11">
        <v>46155</v>
      </c>
      <c r="G1428" s="6" t="s">
        <v>1079</v>
      </c>
      <c r="H1428" s="7" t="s">
        <v>26</v>
      </c>
      <c r="I1428" s="7" t="s">
        <v>689</v>
      </c>
      <c r="J1428" s="7" t="s">
        <v>651</v>
      </c>
      <c r="K1428" s="7" t="s">
        <v>29</v>
      </c>
      <c r="L1428" s="3" t="str">
        <f>E1428&amp;D1428</f>
        <v>E.SP.IPAEE_INS_CONF_S_I_TRAFO LOCAL_0090</v>
      </c>
      <c r="M1428" s="3" t="str">
        <f>IFERROR(MID(D1428,SEARCH("S_I_",D1428,1),3),"")</f>
        <v>S_I</v>
      </c>
      <c r="N1428" s="3" t="str">
        <f>IFERROR(MID(D1428,SEARCH("C_I_",D1428,1),3),"")</f>
        <v/>
      </c>
      <c r="O1428" s="3" t="str">
        <f>IF(AND(M1428="",N1428=""),"Extra","")</f>
        <v/>
      </c>
      <c r="P1428" s="3" t="str">
        <f>IF(Q1428=0,"TERCEIRO","MRS")</f>
        <v>MRS</v>
      </c>
      <c r="Q1428" s="8" t="str">
        <f>IFERROR(VLOOKUP(L1428,#REF!,4,0),"0,00")</f>
        <v>0,00</v>
      </c>
      <c r="R1428" s="9" t="s">
        <v>42</v>
      </c>
      <c r="S1428" s="9">
        <f>COUNTIF(D1428,"*_SEG_*")</f>
        <v>0</v>
      </c>
      <c r="T1428" s="9">
        <f>COUNTIF(D1428,"*_MAN_*")</f>
        <v>0</v>
      </c>
      <c r="U1428" s="9">
        <f>(RIGHT(D1428,4))*1</f>
        <v>90</v>
      </c>
      <c r="V1428" s="9" t="str">
        <f>IFERROR(VLOOKUP(I1428,#REF!,2,0),"Sinalização")</f>
        <v>Sinalização</v>
      </c>
    </row>
    <row r="1429" spans="1:22" x14ac:dyDescent="0.25">
      <c r="A1429" s="3" t="s">
        <v>22</v>
      </c>
      <c r="B1429" s="4">
        <v>23325438</v>
      </c>
      <c r="C1429" s="5" t="s">
        <v>23</v>
      </c>
      <c r="D1429" s="6" t="s">
        <v>650</v>
      </c>
      <c r="E1429" s="6" t="s">
        <v>25</v>
      </c>
      <c r="F1429" s="11">
        <v>46155</v>
      </c>
      <c r="G1429" s="6" t="s">
        <v>1079</v>
      </c>
      <c r="H1429" s="7" t="s">
        <v>26</v>
      </c>
      <c r="I1429" s="7" t="s">
        <v>690</v>
      </c>
      <c r="J1429" s="7" t="s">
        <v>651</v>
      </c>
      <c r="K1429" s="7" t="s">
        <v>29</v>
      </c>
      <c r="L1429" s="3" t="str">
        <f>E1429&amp;D1429</f>
        <v>E.SP.IPAEE_INS_CONF_S_I_TRAFO LOCAL_0090</v>
      </c>
      <c r="M1429" s="3" t="str">
        <f>IFERROR(MID(D1429,SEARCH("S_I_",D1429,1),3),"")</f>
        <v>S_I</v>
      </c>
      <c r="N1429" s="3" t="str">
        <f>IFERROR(MID(D1429,SEARCH("C_I_",D1429,1),3),"")</f>
        <v/>
      </c>
      <c r="O1429" s="3" t="str">
        <f>IF(AND(M1429="",N1429=""),"Extra","")</f>
        <v/>
      </c>
      <c r="P1429" s="3" t="str">
        <f>IF(Q1429=0,"TERCEIRO","MRS")</f>
        <v>MRS</v>
      </c>
      <c r="Q1429" s="8" t="str">
        <f>IFERROR(VLOOKUP(L1429,#REF!,4,0),"0,00")</f>
        <v>0,00</v>
      </c>
      <c r="R1429" s="9" t="s">
        <v>42</v>
      </c>
      <c r="S1429" s="9">
        <f>COUNTIF(D1429,"*_SEG_*")</f>
        <v>0</v>
      </c>
      <c r="T1429" s="9">
        <f>COUNTIF(D1429,"*_MAN_*")</f>
        <v>0</v>
      </c>
      <c r="U1429" s="9">
        <f>(RIGHT(D1429,4))*1</f>
        <v>90</v>
      </c>
      <c r="V1429" s="9" t="str">
        <f>IFERROR(VLOOKUP(I1429,#REF!,2,0),"Sinalização")</f>
        <v>Sinalização</v>
      </c>
    </row>
    <row r="1430" spans="1:22" x14ac:dyDescent="0.25">
      <c r="A1430" s="3" t="s">
        <v>22</v>
      </c>
      <c r="B1430" s="4">
        <v>23325439</v>
      </c>
      <c r="C1430" s="5" t="s">
        <v>23</v>
      </c>
      <c r="D1430" s="6" t="s">
        <v>650</v>
      </c>
      <c r="E1430" s="6" t="s">
        <v>25</v>
      </c>
      <c r="F1430" s="11">
        <v>46155</v>
      </c>
      <c r="G1430" s="6" t="s">
        <v>1079</v>
      </c>
      <c r="H1430" s="7" t="s">
        <v>26</v>
      </c>
      <c r="I1430" s="7" t="s">
        <v>685</v>
      </c>
      <c r="J1430" s="7" t="s">
        <v>651</v>
      </c>
      <c r="K1430" s="7" t="s">
        <v>29</v>
      </c>
      <c r="L1430" s="3" t="str">
        <f>E1430&amp;D1430</f>
        <v>E.SP.IPAEE_INS_CONF_S_I_TRAFO LOCAL_0090</v>
      </c>
      <c r="M1430" s="3" t="str">
        <f>IFERROR(MID(D1430,SEARCH("S_I_",D1430,1),3),"")</f>
        <v>S_I</v>
      </c>
      <c r="N1430" s="3" t="str">
        <f>IFERROR(MID(D1430,SEARCH("C_I_",D1430,1),3),"")</f>
        <v/>
      </c>
      <c r="O1430" s="3" t="str">
        <f>IF(AND(M1430="",N1430=""),"Extra","")</f>
        <v/>
      </c>
      <c r="P1430" s="3" t="str">
        <f>IF(Q1430=0,"TERCEIRO","MRS")</f>
        <v>MRS</v>
      </c>
      <c r="Q1430" s="8" t="str">
        <f>IFERROR(VLOOKUP(L1430,#REF!,4,0),"0,00")</f>
        <v>0,00</v>
      </c>
      <c r="R1430" s="9" t="s">
        <v>42</v>
      </c>
      <c r="S1430" s="9">
        <f>COUNTIF(D1430,"*_SEG_*")</f>
        <v>0</v>
      </c>
      <c r="T1430" s="9">
        <f>COUNTIF(D1430,"*_MAN_*")</f>
        <v>0</v>
      </c>
      <c r="U1430" s="9">
        <f>(RIGHT(D1430,4))*1</f>
        <v>90</v>
      </c>
      <c r="V1430" s="9" t="str">
        <f>IFERROR(VLOOKUP(I1430,#REF!,2,0),"Sinalização")</f>
        <v>Sinalização</v>
      </c>
    </row>
    <row r="1431" spans="1:22" x14ac:dyDescent="0.25">
      <c r="A1431" s="3" t="s">
        <v>22</v>
      </c>
      <c r="B1431" s="4">
        <v>23325440</v>
      </c>
      <c r="C1431" s="5" t="s">
        <v>23</v>
      </c>
      <c r="D1431" s="6" t="s">
        <v>650</v>
      </c>
      <c r="E1431" s="6" t="s">
        <v>25</v>
      </c>
      <c r="F1431" s="11">
        <v>46155</v>
      </c>
      <c r="G1431" s="6" t="s">
        <v>1079</v>
      </c>
      <c r="H1431" s="7" t="s">
        <v>26</v>
      </c>
      <c r="I1431" s="7" t="s">
        <v>686</v>
      </c>
      <c r="J1431" s="7" t="s">
        <v>651</v>
      </c>
      <c r="K1431" s="7" t="s">
        <v>29</v>
      </c>
      <c r="L1431" s="3" t="str">
        <f>E1431&amp;D1431</f>
        <v>E.SP.IPAEE_INS_CONF_S_I_TRAFO LOCAL_0090</v>
      </c>
      <c r="M1431" s="3" t="str">
        <f>IFERROR(MID(D1431,SEARCH("S_I_",D1431,1),3),"")</f>
        <v>S_I</v>
      </c>
      <c r="N1431" s="3" t="str">
        <f>IFERROR(MID(D1431,SEARCH("C_I_",D1431,1),3),"")</f>
        <v/>
      </c>
      <c r="O1431" s="3" t="str">
        <f>IF(AND(M1431="",N1431=""),"Extra","")</f>
        <v/>
      </c>
      <c r="P1431" s="3" t="str">
        <f>IF(Q1431=0,"TERCEIRO","MRS")</f>
        <v>MRS</v>
      </c>
      <c r="Q1431" s="8" t="str">
        <f>IFERROR(VLOOKUP(L1431,#REF!,4,0),"0,00")</f>
        <v>0,00</v>
      </c>
      <c r="R1431" s="9" t="s">
        <v>42</v>
      </c>
      <c r="S1431" s="9">
        <f>COUNTIF(D1431,"*_SEG_*")</f>
        <v>0</v>
      </c>
      <c r="T1431" s="9">
        <f>COUNTIF(D1431,"*_MAN_*")</f>
        <v>0</v>
      </c>
      <c r="U1431" s="9">
        <f>(RIGHT(D1431,4))*1</f>
        <v>90</v>
      </c>
      <c r="V1431" s="9" t="str">
        <f>IFERROR(VLOOKUP(I1431,#REF!,2,0),"Sinalização")</f>
        <v>Sinalização</v>
      </c>
    </row>
    <row r="1432" spans="1:22" x14ac:dyDescent="0.25">
      <c r="A1432" s="3" t="s">
        <v>22</v>
      </c>
      <c r="B1432" s="4">
        <v>23325441</v>
      </c>
      <c r="C1432" s="5" t="s">
        <v>23</v>
      </c>
      <c r="D1432" s="6" t="s">
        <v>656</v>
      </c>
      <c r="E1432" s="6" t="s">
        <v>25</v>
      </c>
      <c r="F1432" s="11">
        <v>46155</v>
      </c>
      <c r="G1432" s="6" t="s">
        <v>1079</v>
      </c>
      <c r="H1432" s="7" t="s">
        <v>26</v>
      </c>
      <c r="I1432" s="7" t="s">
        <v>228</v>
      </c>
      <c r="J1432" s="7" t="s">
        <v>525</v>
      </c>
      <c r="K1432" s="7" t="s">
        <v>29</v>
      </c>
      <c r="L1432" s="3" t="str">
        <f>E1432&amp;D1432</f>
        <v>E.SP.IPAEE_MAN_CONF_S_I_SINAL L UNIFO CONT_0090</v>
      </c>
      <c r="M1432" s="3" t="str">
        <f>IFERROR(MID(D1432,SEARCH("S_I_",D1432,1),3),"")</f>
        <v>S_I</v>
      </c>
      <c r="N1432" s="3" t="str">
        <f>IFERROR(MID(D1432,SEARCH("C_I_",D1432,1),3),"")</f>
        <v/>
      </c>
      <c r="O1432" s="3" t="str">
        <f>IF(AND(M1432="",N1432=""),"Extra","")</f>
        <v/>
      </c>
      <c r="P1432" s="3" t="str">
        <f>IF(Q1432=0,"TERCEIRO","MRS")</f>
        <v>MRS</v>
      </c>
      <c r="Q1432" s="8" t="str">
        <f>IFERROR(VLOOKUP(L1432,#REF!,4,0),"0,00")</f>
        <v>0,00</v>
      </c>
      <c r="R1432" s="9" t="s">
        <v>57</v>
      </c>
      <c r="S1432" s="9">
        <f>COUNTIF(D1432,"*_SEG_*")</f>
        <v>0</v>
      </c>
      <c r="T1432" s="9">
        <f>COUNTIF(D1432,"*_MAN_*")</f>
        <v>1</v>
      </c>
      <c r="U1432" s="9">
        <f>(RIGHT(D1432,4))*1</f>
        <v>90</v>
      </c>
      <c r="V1432" s="9" t="str">
        <f>IFERROR(VLOOKUP(I1432,#REF!,2,0),"Sinalização")</f>
        <v>Sinalização</v>
      </c>
    </row>
    <row r="1433" spans="1:22" x14ac:dyDescent="0.25">
      <c r="A1433" s="3" t="s">
        <v>22</v>
      </c>
      <c r="B1433" s="4">
        <v>23325442</v>
      </c>
      <c r="C1433" s="5" t="s">
        <v>23</v>
      </c>
      <c r="D1433" s="6" t="s">
        <v>656</v>
      </c>
      <c r="E1433" s="6" t="s">
        <v>25</v>
      </c>
      <c r="F1433" s="11">
        <v>46155</v>
      </c>
      <c r="G1433" s="6" t="s">
        <v>1079</v>
      </c>
      <c r="H1433" s="7" t="s">
        <v>26</v>
      </c>
      <c r="I1433" s="7" t="s">
        <v>719</v>
      </c>
      <c r="J1433" s="7" t="s">
        <v>525</v>
      </c>
      <c r="K1433" s="7" t="s">
        <v>29</v>
      </c>
      <c r="L1433" s="3" t="str">
        <f>E1433&amp;D1433</f>
        <v>E.SP.IPAEE_MAN_CONF_S_I_SINAL L UNIFO CONT_0090</v>
      </c>
      <c r="M1433" s="3" t="str">
        <f>IFERROR(MID(D1433,SEARCH("S_I_",D1433,1),3),"")</f>
        <v>S_I</v>
      </c>
      <c r="N1433" s="3" t="str">
        <f>IFERROR(MID(D1433,SEARCH("C_I_",D1433,1),3),"")</f>
        <v/>
      </c>
      <c r="O1433" s="3" t="str">
        <f>IF(AND(M1433="",N1433=""),"Extra","")</f>
        <v/>
      </c>
      <c r="P1433" s="3" t="str">
        <f>IF(Q1433=0,"TERCEIRO","MRS")</f>
        <v>MRS</v>
      </c>
      <c r="Q1433" s="8" t="str">
        <f>IFERROR(VLOOKUP(L1433,#REF!,4,0),"0,00")</f>
        <v>0,00</v>
      </c>
      <c r="R1433" s="9" t="s">
        <v>57</v>
      </c>
      <c r="S1433" s="9">
        <f>COUNTIF(D1433,"*_SEG_*")</f>
        <v>0</v>
      </c>
      <c r="T1433" s="9">
        <f>COUNTIF(D1433,"*_MAN_*")</f>
        <v>1</v>
      </c>
      <c r="U1433" s="9">
        <f>(RIGHT(D1433,4))*1</f>
        <v>90</v>
      </c>
      <c r="V1433" s="9" t="str">
        <f>IFERROR(VLOOKUP(I1433,#REF!,2,0),"Sinalização")</f>
        <v>Sinalização</v>
      </c>
    </row>
    <row r="1434" spans="1:22" x14ac:dyDescent="0.25">
      <c r="A1434" s="3" t="s">
        <v>22</v>
      </c>
      <c r="B1434" s="4">
        <v>23325443</v>
      </c>
      <c r="C1434" s="5" t="s">
        <v>23</v>
      </c>
      <c r="D1434" s="6" t="s">
        <v>656</v>
      </c>
      <c r="E1434" s="6" t="s">
        <v>25</v>
      </c>
      <c r="F1434" s="11">
        <v>46155</v>
      </c>
      <c r="G1434" s="6" t="s">
        <v>1079</v>
      </c>
      <c r="H1434" s="7" t="s">
        <v>26</v>
      </c>
      <c r="I1434" s="7" t="s">
        <v>71</v>
      </c>
      <c r="J1434" s="7" t="s">
        <v>525</v>
      </c>
      <c r="K1434" s="7" t="s">
        <v>29</v>
      </c>
      <c r="L1434" s="3" t="str">
        <f>E1434&amp;D1434</f>
        <v>E.SP.IPAEE_MAN_CONF_S_I_SINAL L UNIFO CONT_0090</v>
      </c>
      <c r="M1434" s="3" t="str">
        <f>IFERROR(MID(D1434,SEARCH("S_I_",D1434,1),3),"")</f>
        <v>S_I</v>
      </c>
      <c r="N1434" s="3" t="str">
        <f>IFERROR(MID(D1434,SEARCH("C_I_",D1434,1),3),"")</f>
        <v/>
      </c>
      <c r="O1434" s="3" t="str">
        <f>IF(AND(M1434="",N1434=""),"Extra","")</f>
        <v/>
      </c>
      <c r="P1434" s="3" t="str">
        <f>IF(Q1434=0,"TERCEIRO","MRS")</f>
        <v>MRS</v>
      </c>
      <c r="Q1434" s="8" t="str">
        <f>IFERROR(VLOOKUP(L1434,#REF!,4,0),"0,00")</f>
        <v>0,00</v>
      </c>
      <c r="R1434" s="9" t="s">
        <v>57</v>
      </c>
      <c r="S1434" s="9">
        <f>COUNTIF(D1434,"*_SEG_*")</f>
        <v>0</v>
      </c>
      <c r="T1434" s="9">
        <f>COUNTIF(D1434,"*_MAN_*")</f>
        <v>1</v>
      </c>
      <c r="U1434" s="9">
        <f>(RIGHT(D1434,4))*1</f>
        <v>90</v>
      </c>
      <c r="V1434" s="9" t="str">
        <f>IFERROR(VLOOKUP(I1434,#REF!,2,0),"Sinalização")</f>
        <v>Sinalização</v>
      </c>
    </row>
    <row r="1435" spans="1:22" x14ac:dyDescent="0.25">
      <c r="A1435" s="3" t="s">
        <v>22</v>
      </c>
      <c r="B1435" s="4">
        <v>23325444</v>
      </c>
      <c r="C1435" s="5" t="s">
        <v>23</v>
      </c>
      <c r="D1435" s="6" t="s">
        <v>656</v>
      </c>
      <c r="E1435" s="6" t="s">
        <v>25</v>
      </c>
      <c r="F1435" s="11">
        <v>46155</v>
      </c>
      <c r="G1435" s="6" t="s">
        <v>1079</v>
      </c>
      <c r="H1435" s="7" t="s">
        <v>26</v>
      </c>
      <c r="I1435" s="7" t="s">
        <v>720</v>
      </c>
      <c r="J1435" s="7" t="s">
        <v>525</v>
      </c>
      <c r="K1435" s="7" t="s">
        <v>29</v>
      </c>
      <c r="L1435" s="3" t="str">
        <f>E1435&amp;D1435</f>
        <v>E.SP.IPAEE_MAN_CONF_S_I_SINAL L UNIFO CONT_0090</v>
      </c>
      <c r="M1435" s="3" t="str">
        <f>IFERROR(MID(D1435,SEARCH("S_I_",D1435,1),3),"")</f>
        <v>S_I</v>
      </c>
      <c r="N1435" s="3" t="str">
        <f>IFERROR(MID(D1435,SEARCH("C_I_",D1435,1),3),"")</f>
        <v/>
      </c>
      <c r="O1435" s="3" t="str">
        <f>IF(AND(M1435="",N1435=""),"Extra","")</f>
        <v/>
      </c>
      <c r="P1435" s="3" t="str">
        <f>IF(Q1435=0,"TERCEIRO","MRS")</f>
        <v>MRS</v>
      </c>
      <c r="Q1435" s="8" t="str">
        <f>IFERROR(VLOOKUP(L1435,#REF!,4,0),"0,00")</f>
        <v>0,00</v>
      </c>
      <c r="R1435" s="9" t="s">
        <v>57</v>
      </c>
      <c r="S1435" s="9">
        <f>COUNTIF(D1435,"*_SEG_*")</f>
        <v>0</v>
      </c>
      <c r="T1435" s="9">
        <f>COUNTIF(D1435,"*_MAN_*")</f>
        <v>1</v>
      </c>
      <c r="U1435" s="9">
        <f>(RIGHT(D1435,4))*1</f>
        <v>90</v>
      </c>
      <c r="V1435" s="9" t="str">
        <f>IFERROR(VLOOKUP(I1435,#REF!,2,0),"Sinalização")</f>
        <v>Sinalização</v>
      </c>
    </row>
    <row r="1436" spans="1:22" x14ac:dyDescent="0.25">
      <c r="A1436" s="3" t="s">
        <v>22</v>
      </c>
      <c r="B1436" s="4">
        <v>23325445</v>
      </c>
      <c r="C1436" s="5" t="s">
        <v>23</v>
      </c>
      <c r="D1436" s="6" t="s">
        <v>656</v>
      </c>
      <c r="E1436" s="6" t="s">
        <v>25</v>
      </c>
      <c r="F1436" s="11">
        <v>46155</v>
      </c>
      <c r="G1436" s="6" t="s">
        <v>1079</v>
      </c>
      <c r="H1436" s="7" t="s">
        <v>26</v>
      </c>
      <c r="I1436" s="7" t="s">
        <v>178</v>
      </c>
      <c r="J1436" s="7" t="s">
        <v>525</v>
      </c>
      <c r="K1436" s="7" t="s">
        <v>29</v>
      </c>
      <c r="L1436" s="3" t="str">
        <f>E1436&amp;D1436</f>
        <v>E.SP.IPAEE_MAN_CONF_S_I_SINAL L UNIFO CONT_0090</v>
      </c>
      <c r="M1436" s="3" t="str">
        <f>IFERROR(MID(D1436,SEARCH("S_I_",D1436,1),3),"")</f>
        <v>S_I</v>
      </c>
      <c r="N1436" s="3" t="str">
        <f>IFERROR(MID(D1436,SEARCH("C_I_",D1436,1),3),"")</f>
        <v/>
      </c>
      <c r="O1436" s="3" t="str">
        <f>IF(AND(M1436="",N1436=""),"Extra","")</f>
        <v/>
      </c>
      <c r="P1436" s="3" t="str">
        <f>IF(Q1436=0,"TERCEIRO","MRS")</f>
        <v>MRS</v>
      </c>
      <c r="Q1436" s="8" t="str">
        <f>IFERROR(VLOOKUP(L1436,#REF!,4,0),"0,00")</f>
        <v>0,00</v>
      </c>
      <c r="R1436" s="9" t="s">
        <v>57</v>
      </c>
      <c r="S1436" s="9">
        <f>COUNTIF(D1436,"*_SEG_*")</f>
        <v>0</v>
      </c>
      <c r="T1436" s="9">
        <f>COUNTIF(D1436,"*_MAN_*")</f>
        <v>1</v>
      </c>
      <c r="U1436" s="9">
        <f>(RIGHT(D1436,4))*1</f>
        <v>90</v>
      </c>
      <c r="V1436" s="9" t="str">
        <f>IFERROR(VLOOKUP(I1436,#REF!,2,0),"Sinalização")</f>
        <v>Sinalização</v>
      </c>
    </row>
    <row r="1437" spans="1:22" x14ac:dyDescent="0.25">
      <c r="A1437" s="3" t="s">
        <v>22</v>
      </c>
      <c r="B1437" s="4">
        <v>23325446</v>
      </c>
      <c r="C1437" s="5" t="s">
        <v>23</v>
      </c>
      <c r="D1437" s="6" t="s">
        <v>656</v>
      </c>
      <c r="E1437" s="6" t="s">
        <v>25</v>
      </c>
      <c r="F1437" s="11">
        <v>46155</v>
      </c>
      <c r="G1437" s="6" t="s">
        <v>1079</v>
      </c>
      <c r="H1437" s="7" t="s">
        <v>26</v>
      </c>
      <c r="I1437" s="7" t="s">
        <v>177</v>
      </c>
      <c r="J1437" s="7" t="s">
        <v>525</v>
      </c>
      <c r="K1437" s="7" t="s">
        <v>29</v>
      </c>
      <c r="L1437" s="3" t="str">
        <f>E1437&amp;D1437</f>
        <v>E.SP.IPAEE_MAN_CONF_S_I_SINAL L UNIFO CONT_0090</v>
      </c>
      <c r="M1437" s="3" t="str">
        <f>IFERROR(MID(D1437,SEARCH("S_I_",D1437,1),3),"")</f>
        <v>S_I</v>
      </c>
      <c r="N1437" s="3" t="str">
        <f>IFERROR(MID(D1437,SEARCH("C_I_",D1437,1),3),"")</f>
        <v/>
      </c>
      <c r="O1437" s="3" t="str">
        <f>IF(AND(M1437="",N1437=""),"Extra","")</f>
        <v/>
      </c>
      <c r="P1437" s="3" t="str">
        <f>IF(Q1437=0,"TERCEIRO","MRS")</f>
        <v>MRS</v>
      </c>
      <c r="Q1437" s="8" t="str">
        <f>IFERROR(VLOOKUP(L1437,#REF!,4,0),"0,00")</f>
        <v>0,00</v>
      </c>
      <c r="R1437" s="9" t="s">
        <v>57</v>
      </c>
      <c r="S1437" s="9">
        <f>COUNTIF(D1437,"*_SEG_*")</f>
        <v>0</v>
      </c>
      <c r="T1437" s="9">
        <f>COUNTIF(D1437,"*_MAN_*")</f>
        <v>1</v>
      </c>
      <c r="U1437" s="9">
        <f>(RIGHT(D1437,4))*1</f>
        <v>90</v>
      </c>
      <c r="V1437" s="9" t="str">
        <f>IFERROR(VLOOKUP(I1437,#REF!,2,0),"Sinalização")</f>
        <v>Sinalização</v>
      </c>
    </row>
    <row r="1438" spans="1:22" x14ac:dyDescent="0.25">
      <c r="A1438" s="3" t="s">
        <v>22</v>
      </c>
      <c r="B1438" s="4">
        <v>23325447</v>
      </c>
      <c r="C1438" s="5" t="s">
        <v>23</v>
      </c>
      <c r="D1438" s="6" t="s">
        <v>656</v>
      </c>
      <c r="E1438" s="6" t="s">
        <v>25</v>
      </c>
      <c r="F1438" s="11">
        <v>46155</v>
      </c>
      <c r="G1438" s="6" t="s">
        <v>1079</v>
      </c>
      <c r="H1438" s="7" t="s">
        <v>26</v>
      </c>
      <c r="I1438" s="7" t="s">
        <v>230</v>
      </c>
      <c r="J1438" s="7" t="s">
        <v>525</v>
      </c>
      <c r="K1438" s="7" t="s">
        <v>29</v>
      </c>
      <c r="L1438" s="3" t="str">
        <f>E1438&amp;D1438</f>
        <v>E.SP.IPAEE_MAN_CONF_S_I_SINAL L UNIFO CONT_0090</v>
      </c>
      <c r="M1438" s="3" t="str">
        <f>IFERROR(MID(D1438,SEARCH("S_I_",D1438,1),3),"")</f>
        <v>S_I</v>
      </c>
      <c r="N1438" s="3" t="str">
        <f>IFERROR(MID(D1438,SEARCH("C_I_",D1438,1),3),"")</f>
        <v/>
      </c>
      <c r="O1438" s="3" t="str">
        <f>IF(AND(M1438="",N1438=""),"Extra","")</f>
        <v/>
      </c>
      <c r="P1438" s="3" t="str">
        <f>IF(Q1438=0,"TERCEIRO","MRS")</f>
        <v>MRS</v>
      </c>
      <c r="Q1438" s="8" t="str">
        <f>IFERROR(VLOOKUP(L1438,#REF!,4,0),"0,00")</f>
        <v>0,00</v>
      </c>
      <c r="R1438" s="9" t="s">
        <v>57</v>
      </c>
      <c r="S1438" s="9">
        <f>COUNTIF(D1438,"*_SEG_*")</f>
        <v>0</v>
      </c>
      <c r="T1438" s="9">
        <f>COUNTIF(D1438,"*_MAN_*")</f>
        <v>1</v>
      </c>
      <c r="U1438" s="9">
        <f>(RIGHT(D1438,4))*1</f>
        <v>90</v>
      </c>
      <c r="V1438" s="9" t="str">
        <f>IFERROR(VLOOKUP(I1438,#REF!,2,0),"Sinalização")</f>
        <v>Sinalização</v>
      </c>
    </row>
    <row r="1439" spans="1:22" x14ac:dyDescent="0.25">
      <c r="A1439" s="3" t="s">
        <v>22</v>
      </c>
      <c r="B1439" s="4">
        <v>23325448</v>
      </c>
      <c r="C1439" s="5" t="s">
        <v>23</v>
      </c>
      <c r="D1439" s="6" t="s">
        <v>656</v>
      </c>
      <c r="E1439" s="6" t="s">
        <v>25</v>
      </c>
      <c r="F1439" s="11">
        <v>46155</v>
      </c>
      <c r="G1439" s="6" t="s">
        <v>1079</v>
      </c>
      <c r="H1439" s="7" t="s">
        <v>26</v>
      </c>
      <c r="I1439" s="7" t="s">
        <v>70</v>
      </c>
      <c r="J1439" s="7" t="s">
        <v>525</v>
      </c>
      <c r="K1439" s="7" t="s">
        <v>29</v>
      </c>
      <c r="L1439" s="3" t="str">
        <f>E1439&amp;D1439</f>
        <v>E.SP.IPAEE_MAN_CONF_S_I_SINAL L UNIFO CONT_0090</v>
      </c>
      <c r="M1439" s="3" t="str">
        <f>IFERROR(MID(D1439,SEARCH("S_I_",D1439,1),3),"")</f>
        <v>S_I</v>
      </c>
      <c r="N1439" s="3" t="str">
        <f>IFERROR(MID(D1439,SEARCH("C_I_",D1439,1),3),"")</f>
        <v/>
      </c>
      <c r="O1439" s="3" t="str">
        <f>IF(AND(M1439="",N1439=""),"Extra","")</f>
        <v/>
      </c>
      <c r="P1439" s="3" t="str">
        <f>IF(Q1439=0,"TERCEIRO","MRS")</f>
        <v>MRS</v>
      </c>
      <c r="Q1439" s="8" t="str">
        <f>IFERROR(VLOOKUP(L1439,#REF!,4,0),"0,00")</f>
        <v>0,00</v>
      </c>
      <c r="R1439" s="9" t="s">
        <v>57</v>
      </c>
      <c r="S1439" s="9">
        <f>COUNTIF(D1439,"*_SEG_*")</f>
        <v>0</v>
      </c>
      <c r="T1439" s="9">
        <f>COUNTIF(D1439,"*_MAN_*")</f>
        <v>1</v>
      </c>
      <c r="U1439" s="9">
        <f>(RIGHT(D1439,4))*1</f>
        <v>90</v>
      </c>
      <c r="V1439" s="9" t="str">
        <f>IFERROR(VLOOKUP(I1439,#REF!,2,0),"Sinalização")</f>
        <v>Sinalização</v>
      </c>
    </row>
    <row r="1440" spans="1:22" x14ac:dyDescent="0.25">
      <c r="A1440" s="3" t="s">
        <v>22</v>
      </c>
      <c r="B1440" s="4">
        <v>23325449</v>
      </c>
      <c r="C1440" s="5" t="s">
        <v>23</v>
      </c>
      <c r="D1440" s="6" t="s">
        <v>656</v>
      </c>
      <c r="E1440" s="6" t="s">
        <v>25</v>
      </c>
      <c r="F1440" s="11">
        <v>46155</v>
      </c>
      <c r="G1440" s="6" t="s">
        <v>1079</v>
      </c>
      <c r="H1440" s="7" t="s">
        <v>26</v>
      </c>
      <c r="I1440" s="7" t="s">
        <v>229</v>
      </c>
      <c r="J1440" s="7" t="s">
        <v>525</v>
      </c>
      <c r="K1440" s="7" t="s">
        <v>29</v>
      </c>
      <c r="L1440" s="3" t="str">
        <f>E1440&amp;D1440</f>
        <v>E.SP.IPAEE_MAN_CONF_S_I_SINAL L UNIFO CONT_0090</v>
      </c>
      <c r="M1440" s="3" t="str">
        <f>IFERROR(MID(D1440,SEARCH("S_I_",D1440,1),3),"")</f>
        <v>S_I</v>
      </c>
      <c r="N1440" s="3" t="str">
        <f>IFERROR(MID(D1440,SEARCH("C_I_",D1440,1),3),"")</f>
        <v/>
      </c>
      <c r="O1440" s="3" t="str">
        <f>IF(AND(M1440="",N1440=""),"Extra","")</f>
        <v/>
      </c>
      <c r="P1440" s="3" t="str">
        <f>IF(Q1440=0,"TERCEIRO","MRS")</f>
        <v>MRS</v>
      </c>
      <c r="Q1440" s="8" t="str">
        <f>IFERROR(VLOOKUP(L1440,#REF!,4,0),"0,00")</f>
        <v>0,00</v>
      </c>
      <c r="R1440" s="9" t="s">
        <v>57</v>
      </c>
      <c r="S1440" s="9">
        <f>COUNTIF(D1440,"*_SEG_*")</f>
        <v>0</v>
      </c>
      <c r="T1440" s="9">
        <f>COUNTIF(D1440,"*_MAN_*")</f>
        <v>1</v>
      </c>
      <c r="U1440" s="9">
        <f>(RIGHT(D1440,4))*1</f>
        <v>90</v>
      </c>
      <c r="V1440" s="9" t="str">
        <f>IFERROR(VLOOKUP(I1440,#REF!,2,0),"Sinalização")</f>
        <v>Sinalização</v>
      </c>
    </row>
    <row r="1441" spans="1:22" x14ac:dyDescent="0.25">
      <c r="A1441" s="3" t="s">
        <v>22</v>
      </c>
      <c r="B1441" s="4">
        <v>23325483</v>
      </c>
      <c r="C1441" s="5" t="s">
        <v>23</v>
      </c>
      <c r="D1441" s="6" t="s">
        <v>656</v>
      </c>
      <c r="E1441" s="6" t="s">
        <v>25</v>
      </c>
      <c r="F1441" s="11">
        <v>46155</v>
      </c>
      <c r="G1441" s="6" t="s">
        <v>1079</v>
      </c>
      <c r="H1441" s="7" t="s">
        <v>26</v>
      </c>
      <c r="I1441" s="7" t="s">
        <v>721</v>
      </c>
      <c r="J1441" s="7" t="s">
        <v>525</v>
      </c>
      <c r="K1441" s="7" t="s">
        <v>29</v>
      </c>
      <c r="L1441" s="3" t="str">
        <f>E1441&amp;D1441</f>
        <v>E.SP.IPAEE_MAN_CONF_S_I_SINAL L UNIFO CONT_0090</v>
      </c>
      <c r="M1441" s="3" t="str">
        <f>IFERROR(MID(D1441,SEARCH("S_I_",D1441,1),3),"")</f>
        <v>S_I</v>
      </c>
      <c r="N1441" s="3" t="str">
        <f>IFERROR(MID(D1441,SEARCH("C_I_",D1441,1),3),"")</f>
        <v/>
      </c>
      <c r="O1441" s="3" t="str">
        <f>IF(AND(M1441="",N1441=""),"Extra","")</f>
        <v/>
      </c>
      <c r="P1441" s="3" t="str">
        <f>IF(Q1441=0,"TERCEIRO","MRS")</f>
        <v>MRS</v>
      </c>
      <c r="Q1441" s="8" t="str">
        <f>IFERROR(VLOOKUP(L1441,#REF!,4,0),"0,00")</f>
        <v>0,00</v>
      </c>
      <c r="R1441" s="9" t="s">
        <v>57</v>
      </c>
      <c r="S1441" s="9">
        <f>COUNTIF(D1441,"*_SEG_*")</f>
        <v>0</v>
      </c>
      <c r="T1441" s="9">
        <f>COUNTIF(D1441,"*_MAN_*")</f>
        <v>1</v>
      </c>
      <c r="U1441" s="9">
        <f>(RIGHT(D1441,4))*1</f>
        <v>90</v>
      </c>
      <c r="V1441" s="9" t="str">
        <f>IFERROR(VLOOKUP(I1441,#REF!,2,0),"Sinalização")</f>
        <v>Sinalização</v>
      </c>
    </row>
    <row r="1442" spans="1:22" x14ac:dyDescent="0.25">
      <c r="A1442" s="3" t="s">
        <v>22</v>
      </c>
      <c r="B1442" s="4">
        <v>23325484</v>
      </c>
      <c r="C1442" s="5" t="s">
        <v>23</v>
      </c>
      <c r="D1442" s="6" t="s">
        <v>656</v>
      </c>
      <c r="E1442" s="6" t="s">
        <v>25</v>
      </c>
      <c r="F1442" s="11">
        <v>46155</v>
      </c>
      <c r="G1442" s="6" t="s">
        <v>1079</v>
      </c>
      <c r="H1442" s="7" t="s">
        <v>26</v>
      </c>
      <c r="I1442" s="7" t="s">
        <v>722</v>
      </c>
      <c r="J1442" s="7" t="s">
        <v>525</v>
      </c>
      <c r="K1442" s="7" t="s">
        <v>29</v>
      </c>
      <c r="L1442" s="3" t="str">
        <f>E1442&amp;D1442</f>
        <v>E.SP.IPAEE_MAN_CONF_S_I_SINAL L UNIFO CONT_0090</v>
      </c>
      <c r="M1442" s="3" t="str">
        <f>IFERROR(MID(D1442,SEARCH("S_I_",D1442,1),3),"")</f>
        <v>S_I</v>
      </c>
      <c r="N1442" s="3" t="str">
        <f>IFERROR(MID(D1442,SEARCH("C_I_",D1442,1),3),"")</f>
        <v/>
      </c>
      <c r="O1442" s="3" t="str">
        <f>IF(AND(M1442="",N1442=""),"Extra","")</f>
        <v/>
      </c>
      <c r="P1442" s="3" t="str">
        <f>IF(Q1442=0,"TERCEIRO","MRS")</f>
        <v>MRS</v>
      </c>
      <c r="Q1442" s="8" t="str">
        <f>IFERROR(VLOOKUP(L1442,#REF!,4,0),"0,00")</f>
        <v>0,00</v>
      </c>
      <c r="R1442" s="9" t="s">
        <v>57</v>
      </c>
      <c r="S1442" s="9">
        <f>COUNTIF(D1442,"*_SEG_*")</f>
        <v>0</v>
      </c>
      <c r="T1442" s="9">
        <f>COUNTIF(D1442,"*_MAN_*")</f>
        <v>1</v>
      </c>
      <c r="U1442" s="9">
        <f>(RIGHT(D1442,4))*1</f>
        <v>90</v>
      </c>
      <c r="V1442" s="9" t="str">
        <f>IFERROR(VLOOKUP(I1442,#REF!,2,0),"Sinalização")</f>
        <v>Sinalização</v>
      </c>
    </row>
    <row r="1443" spans="1:22" x14ac:dyDescent="0.25">
      <c r="A1443" s="3" t="s">
        <v>22</v>
      </c>
      <c r="B1443" s="4">
        <v>23325487</v>
      </c>
      <c r="C1443" s="5" t="s">
        <v>23</v>
      </c>
      <c r="D1443" s="6" t="s">
        <v>656</v>
      </c>
      <c r="E1443" s="6" t="s">
        <v>25</v>
      </c>
      <c r="F1443" s="11">
        <v>46155</v>
      </c>
      <c r="G1443" s="6" t="s">
        <v>1079</v>
      </c>
      <c r="H1443" s="7" t="s">
        <v>26</v>
      </c>
      <c r="I1443" s="7" t="s">
        <v>723</v>
      </c>
      <c r="J1443" s="7" t="s">
        <v>525</v>
      </c>
      <c r="K1443" s="7" t="s">
        <v>29</v>
      </c>
      <c r="L1443" s="3" t="str">
        <f>E1443&amp;D1443</f>
        <v>E.SP.IPAEE_MAN_CONF_S_I_SINAL L UNIFO CONT_0090</v>
      </c>
      <c r="M1443" s="3" t="str">
        <f>IFERROR(MID(D1443,SEARCH("S_I_",D1443,1),3),"")</f>
        <v>S_I</v>
      </c>
      <c r="N1443" s="3" t="str">
        <f>IFERROR(MID(D1443,SEARCH("C_I_",D1443,1),3),"")</f>
        <v/>
      </c>
      <c r="O1443" s="3" t="str">
        <f>IF(AND(M1443="",N1443=""),"Extra","")</f>
        <v/>
      </c>
      <c r="P1443" s="3" t="str">
        <f>IF(Q1443=0,"TERCEIRO","MRS")</f>
        <v>MRS</v>
      </c>
      <c r="Q1443" s="8" t="str">
        <f>IFERROR(VLOOKUP(L1443,#REF!,4,0),"0,00")</f>
        <v>0,00</v>
      </c>
      <c r="R1443" s="9" t="s">
        <v>57</v>
      </c>
      <c r="S1443" s="9">
        <f>COUNTIF(D1443,"*_SEG_*")</f>
        <v>0</v>
      </c>
      <c r="T1443" s="9">
        <f>COUNTIF(D1443,"*_MAN_*")</f>
        <v>1</v>
      </c>
      <c r="U1443" s="9">
        <f>(RIGHT(D1443,4))*1</f>
        <v>90</v>
      </c>
      <c r="V1443" s="9" t="str">
        <f>IFERROR(VLOOKUP(I1443,#REF!,2,0),"Sinalização")</f>
        <v>Sinalização</v>
      </c>
    </row>
    <row r="1444" spans="1:22" x14ac:dyDescent="0.25">
      <c r="A1444" s="3" t="s">
        <v>22</v>
      </c>
      <c r="B1444" s="4">
        <v>23325525</v>
      </c>
      <c r="C1444" s="5" t="s">
        <v>23</v>
      </c>
      <c r="D1444" s="6" t="s">
        <v>661</v>
      </c>
      <c r="E1444" s="6" t="s">
        <v>25</v>
      </c>
      <c r="F1444" s="11">
        <v>46155</v>
      </c>
      <c r="G1444" s="6" t="s">
        <v>1079</v>
      </c>
      <c r="H1444" s="7" t="s">
        <v>26</v>
      </c>
      <c r="I1444" s="7" t="s">
        <v>309</v>
      </c>
      <c r="J1444" s="7" t="s">
        <v>662</v>
      </c>
      <c r="K1444" s="7" t="s">
        <v>29</v>
      </c>
      <c r="L1444" s="3" t="str">
        <f>E1444&amp;D1444</f>
        <v>E.SP.IPAEE_INS_CONF_S_I_SINAL L UNIFO CONT_0090</v>
      </c>
      <c r="M1444" s="3" t="str">
        <f>IFERROR(MID(D1444,SEARCH("S_I_",D1444,1),3),"")</f>
        <v>S_I</v>
      </c>
      <c r="N1444" s="3" t="str">
        <f>IFERROR(MID(D1444,SEARCH("C_I_",D1444,1),3),"")</f>
        <v/>
      </c>
      <c r="O1444" s="3" t="str">
        <f>IF(AND(M1444="",N1444=""),"Extra","")</f>
        <v/>
      </c>
      <c r="P1444" s="3" t="str">
        <f>IF(Q1444=0,"TERCEIRO","MRS")</f>
        <v>MRS</v>
      </c>
      <c r="Q1444" s="8" t="str">
        <f>IFERROR(VLOOKUP(L1444,#REF!,4,0),"0,00")</f>
        <v>0,00</v>
      </c>
      <c r="R1444" s="9" t="s">
        <v>42</v>
      </c>
      <c r="S1444" s="9">
        <f>COUNTIF(D1444,"*_SEG_*")</f>
        <v>0</v>
      </c>
      <c r="T1444" s="9">
        <f>COUNTIF(D1444,"*_MAN_*")</f>
        <v>0</v>
      </c>
      <c r="U1444" s="9">
        <f>(RIGHT(D1444,4))*1</f>
        <v>90</v>
      </c>
      <c r="V1444" s="9" t="str">
        <f>IFERROR(VLOOKUP(I1444,#REF!,2,0),"Sinalização")</f>
        <v>Sinalização</v>
      </c>
    </row>
    <row r="1445" spans="1:22" x14ac:dyDescent="0.25">
      <c r="A1445" s="3" t="s">
        <v>22</v>
      </c>
      <c r="B1445" s="4">
        <v>23325526</v>
      </c>
      <c r="C1445" s="5" t="s">
        <v>23</v>
      </c>
      <c r="D1445" s="6" t="s">
        <v>661</v>
      </c>
      <c r="E1445" s="6" t="s">
        <v>25</v>
      </c>
      <c r="F1445" s="11">
        <v>46155</v>
      </c>
      <c r="G1445" s="6" t="s">
        <v>1079</v>
      </c>
      <c r="H1445" s="7" t="s">
        <v>26</v>
      </c>
      <c r="I1445" s="7" t="s">
        <v>724</v>
      </c>
      <c r="J1445" s="7" t="s">
        <v>662</v>
      </c>
      <c r="K1445" s="7" t="s">
        <v>29</v>
      </c>
      <c r="L1445" s="3" t="str">
        <f>E1445&amp;D1445</f>
        <v>E.SP.IPAEE_INS_CONF_S_I_SINAL L UNIFO CONT_0090</v>
      </c>
      <c r="M1445" s="3" t="str">
        <f>IFERROR(MID(D1445,SEARCH("S_I_",D1445,1),3),"")</f>
        <v>S_I</v>
      </c>
      <c r="N1445" s="3" t="str">
        <f>IFERROR(MID(D1445,SEARCH("C_I_",D1445,1),3),"")</f>
        <v/>
      </c>
      <c r="O1445" s="3" t="str">
        <f>IF(AND(M1445="",N1445=""),"Extra","")</f>
        <v/>
      </c>
      <c r="P1445" s="3" t="str">
        <f>IF(Q1445=0,"TERCEIRO","MRS")</f>
        <v>MRS</v>
      </c>
      <c r="Q1445" s="8" t="str">
        <f>IFERROR(VLOOKUP(L1445,#REF!,4,0),"0,00")</f>
        <v>0,00</v>
      </c>
      <c r="R1445" s="9" t="s">
        <v>42</v>
      </c>
      <c r="S1445" s="9">
        <f>COUNTIF(D1445,"*_SEG_*")</f>
        <v>0</v>
      </c>
      <c r="T1445" s="9">
        <f>COUNTIF(D1445,"*_MAN_*")</f>
        <v>0</v>
      </c>
      <c r="U1445" s="9">
        <f>(RIGHT(D1445,4))*1</f>
        <v>90</v>
      </c>
      <c r="V1445" s="9" t="str">
        <f>IFERROR(VLOOKUP(I1445,#REF!,2,0),"Sinalização")</f>
        <v>Sinalização</v>
      </c>
    </row>
    <row r="1446" spans="1:22" x14ac:dyDescent="0.25">
      <c r="A1446" s="3" t="s">
        <v>22</v>
      </c>
      <c r="B1446" s="4">
        <v>23325527</v>
      </c>
      <c r="C1446" s="5" t="s">
        <v>23</v>
      </c>
      <c r="D1446" s="6" t="s">
        <v>661</v>
      </c>
      <c r="E1446" s="6" t="s">
        <v>25</v>
      </c>
      <c r="F1446" s="11">
        <v>46155</v>
      </c>
      <c r="G1446" s="6" t="s">
        <v>1079</v>
      </c>
      <c r="H1446" s="7" t="s">
        <v>26</v>
      </c>
      <c r="I1446" s="7" t="s">
        <v>719</v>
      </c>
      <c r="J1446" s="7" t="s">
        <v>662</v>
      </c>
      <c r="K1446" s="7" t="s">
        <v>29</v>
      </c>
      <c r="L1446" s="3" t="str">
        <f>E1446&amp;D1446</f>
        <v>E.SP.IPAEE_INS_CONF_S_I_SINAL L UNIFO CONT_0090</v>
      </c>
      <c r="M1446" s="3" t="str">
        <f>IFERROR(MID(D1446,SEARCH("S_I_",D1446,1),3),"")</f>
        <v>S_I</v>
      </c>
      <c r="N1446" s="3" t="str">
        <f>IFERROR(MID(D1446,SEARCH("C_I_",D1446,1),3),"")</f>
        <v/>
      </c>
      <c r="O1446" s="3" t="str">
        <f>IF(AND(M1446="",N1446=""),"Extra","")</f>
        <v/>
      </c>
      <c r="P1446" s="3" t="str">
        <f>IF(Q1446=0,"TERCEIRO","MRS")</f>
        <v>MRS</v>
      </c>
      <c r="Q1446" s="8" t="str">
        <f>IFERROR(VLOOKUP(L1446,#REF!,4,0),"0,00")</f>
        <v>0,00</v>
      </c>
      <c r="R1446" s="9" t="s">
        <v>42</v>
      </c>
      <c r="S1446" s="9">
        <f>COUNTIF(D1446,"*_SEG_*")</f>
        <v>0</v>
      </c>
      <c r="T1446" s="9">
        <f>COUNTIF(D1446,"*_MAN_*")</f>
        <v>0</v>
      </c>
      <c r="U1446" s="9">
        <f>(RIGHT(D1446,4))*1</f>
        <v>90</v>
      </c>
      <c r="V1446" s="9" t="str">
        <f>IFERROR(VLOOKUP(I1446,#REF!,2,0),"Sinalização")</f>
        <v>Sinalização</v>
      </c>
    </row>
    <row r="1447" spans="1:22" x14ac:dyDescent="0.25">
      <c r="A1447" s="3" t="s">
        <v>22</v>
      </c>
      <c r="B1447" s="4">
        <v>23325528</v>
      </c>
      <c r="C1447" s="5" t="s">
        <v>23</v>
      </c>
      <c r="D1447" s="6" t="s">
        <v>661</v>
      </c>
      <c r="E1447" s="6" t="s">
        <v>25</v>
      </c>
      <c r="F1447" s="11">
        <v>46155</v>
      </c>
      <c r="G1447" s="6" t="s">
        <v>1079</v>
      </c>
      <c r="H1447" s="7" t="s">
        <v>26</v>
      </c>
      <c r="I1447" s="7" t="s">
        <v>229</v>
      </c>
      <c r="J1447" s="7" t="s">
        <v>662</v>
      </c>
      <c r="K1447" s="7" t="s">
        <v>29</v>
      </c>
      <c r="L1447" s="3" t="str">
        <f>E1447&amp;D1447</f>
        <v>E.SP.IPAEE_INS_CONF_S_I_SINAL L UNIFO CONT_0090</v>
      </c>
      <c r="M1447" s="3" t="str">
        <f>IFERROR(MID(D1447,SEARCH("S_I_",D1447,1),3),"")</f>
        <v>S_I</v>
      </c>
      <c r="N1447" s="3" t="str">
        <f>IFERROR(MID(D1447,SEARCH("C_I_",D1447,1),3),"")</f>
        <v/>
      </c>
      <c r="O1447" s="3" t="str">
        <f>IF(AND(M1447="",N1447=""),"Extra","")</f>
        <v/>
      </c>
      <c r="P1447" s="3" t="str">
        <f>IF(Q1447=0,"TERCEIRO","MRS")</f>
        <v>MRS</v>
      </c>
      <c r="Q1447" s="8" t="str">
        <f>IFERROR(VLOOKUP(L1447,#REF!,4,0),"0,00")</f>
        <v>0,00</v>
      </c>
      <c r="R1447" s="9" t="s">
        <v>42</v>
      </c>
      <c r="S1447" s="9">
        <f>COUNTIF(D1447,"*_SEG_*")</f>
        <v>0</v>
      </c>
      <c r="T1447" s="9">
        <f>COUNTIF(D1447,"*_MAN_*")</f>
        <v>0</v>
      </c>
      <c r="U1447" s="9">
        <f>(RIGHT(D1447,4))*1</f>
        <v>90</v>
      </c>
      <c r="V1447" s="9" t="str">
        <f>IFERROR(VLOOKUP(I1447,#REF!,2,0),"Sinalização")</f>
        <v>Sinalização</v>
      </c>
    </row>
    <row r="1448" spans="1:22" x14ac:dyDescent="0.25">
      <c r="A1448" s="3" t="s">
        <v>22</v>
      </c>
      <c r="B1448" s="4">
        <v>23325529</v>
      </c>
      <c r="C1448" s="5" t="s">
        <v>23</v>
      </c>
      <c r="D1448" s="6" t="s">
        <v>661</v>
      </c>
      <c r="E1448" s="6" t="s">
        <v>25</v>
      </c>
      <c r="F1448" s="11">
        <v>46155</v>
      </c>
      <c r="G1448" s="6" t="s">
        <v>1079</v>
      </c>
      <c r="H1448" s="7" t="s">
        <v>26</v>
      </c>
      <c r="I1448" s="7" t="s">
        <v>71</v>
      </c>
      <c r="J1448" s="7" t="s">
        <v>662</v>
      </c>
      <c r="K1448" s="7" t="s">
        <v>29</v>
      </c>
      <c r="L1448" s="3" t="str">
        <f>E1448&amp;D1448</f>
        <v>E.SP.IPAEE_INS_CONF_S_I_SINAL L UNIFO CONT_0090</v>
      </c>
      <c r="M1448" s="3" t="str">
        <f>IFERROR(MID(D1448,SEARCH("S_I_",D1448,1),3),"")</f>
        <v>S_I</v>
      </c>
      <c r="N1448" s="3" t="str">
        <f>IFERROR(MID(D1448,SEARCH("C_I_",D1448,1),3),"")</f>
        <v/>
      </c>
      <c r="O1448" s="3" t="str">
        <f>IF(AND(M1448="",N1448=""),"Extra","")</f>
        <v/>
      </c>
      <c r="P1448" s="3" t="str">
        <f>IF(Q1448=0,"TERCEIRO","MRS")</f>
        <v>MRS</v>
      </c>
      <c r="Q1448" s="8" t="str">
        <f>IFERROR(VLOOKUP(L1448,#REF!,4,0),"0,00")</f>
        <v>0,00</v>
      </c>
      <c r="R1448" s="9" t="s">
        <v>42</v>
      </c>
      <c r="S1448" s="9">
        <f>COUNTIF(D1448,"*_SEG_*")</f>
        <v>0</v>
      </c>
      <c r="T1448" s="9">
        <f>COUNTIF(D1448,"*_MAN_*")</f>
        <v>0</v>
      </c>
      <c r="U1448" s="9">
        <f>(RIGHT(D1448,4))*1</f>
        <v>90</v>
      </c>
      <c r="V1448" s="9" t="str">
        <f>IFERROR(VLOOKUP(I1448,#REF!,2,0),"Sinalização")</f>
        <v>Sinalização</v>
      </c>
    </row>
    <row r="1449" spans="1:22" x14ac:dyDescent="0.25">
      <c r="A1449" s="3" t="s">
        <v>22</v>
      </c>
      <c r="B1449" s="4">
        <v>23325530</v>
      </c>
      <c r="C1449" s="5" t="s">
        <v>23</v>
      </c>
      <c r="D1449" s="6" t="s">
        <v>661</v>
      </c>
      <c r="E1449" s="6" t="s">
        <v>25</v>
      </c>
      <c r="F1449" s="11">
        <v>46155</v>
      </c>
      <c r="G1449" s="6" t="s">
        <v>1079</v>
      </c>
      <c r="H1449" s="7" t="s">
        <v>26</v>
      </c>
      <c r="I1449" s="7" t="s">
        <v>722</v>
      </c>
      <c r="J1449" s="7" t="s">
        <v>662</v>
      </c>
      <c r="K1449" s="7" t="s">
        <v>29</v>
      </c>
      <c r="L1449" s="3" t="str">
        <f>E1449&amp;D1449</f>
        <v>E.SP.IPAEE_INS_CONF_S_I_SINAL L UNIFO CONT_0090</v>
      </c>
      <c r="M1449" s="3" t="str">
        <f>IFERROR(MID(D1449,SEARCH("S_I_",D1449,1),3),"")</f>
        <v>S_I</v>
      </c>
      <c r="N1449" s="3" t="str">
        <f>IFERROR(MID(D1449,SEARCH("C_I_",D1449,1),3),"")</f>
        <v/>
      </c>
      <c r="O1449" s="3" t="str">
        <f>IF(AND(M1449="",N1449=""),"Extra","")</f>
        <v/>
      </c>
      <c r="P1449" s="3" t="str">
        <f>IF(Q1449=0,"TERCEIRO","MRS")</f>
        <v>MRS</v>
      </c>
      <c r="Q1449" s="8" t="str">
        <f>IFERROR(VLOOKUP(L1449,#REF!,4,0),"0,00")</f>
        <v>0,00</v>
      </c>
      <c r="R1449" s="9" t="s">
        <v>42</v>
      </c>
      <c r="S1449" s="9">
        <f>COUNTIF(D1449,"*_SEG_*")</f>
        <v>0</v>
      </c>
      <c r="T1449" s="9">
        <f>COUNTIF(D1449,"*_MAN_*")</f>
        <v>0</v>
      </c>
      <c r="U1449" s="9">
        <f>(RIGHT(D1449,4))*1</f>
        <v>90</v>
      </c>
      <c r="V1449" s="9" t="str">
        <f>IFERROR(VLOOKUP(I1449,#REF!,2,0),"Sinalização")</f>
        <v>Sinalização</v>
      </c>
    </row>
    <row r="1450" spans="1:22" x14ac:dyDescent="0.25">
      <c r="A1450" s="3" t="s">
        <v>22</v>
      </c>
      <c r="B1450" s="4">
        <v>23325531</v>
      </c>
      <c r="C1450" s="5" t="s">
        <v>23</v>
      </c>
      <c r="D1450" s="6" t="s">
        <v>661</v>
      </c>
      <c r="E1450" s="6" t="s">
        <v>25</v>
      </c>
      <c r="F1450" s="11">
        <v>46155</v>
      </c>
      <c r="G1450" s="6" t="s">
        <v>1079</v>
      </c>
      <c r="H1450" s="7" t="s">
        <v>26</v>
      </c>
      <c r="I1450" s="7" t="s">
        <v>721</v>
      </c>
      <c r="J1450" s="7" t="s">
        <v>662</v>
      </c>
      <c r="K1450" s="7" t="s">
        <v>29</v>
      </c>
      <c r="L1450" s="3" t="str">
        <f>E1450&amp;D1450</f>
        <v>E.SP.IPAEE_INS_CONF_S_I_SINAL L UNIFO CONT_0090</v>
      </c>
      <c r="M1450" s="3" t="str">
        <f>IFERROR(MID(D1450,SEARCH("S_I_",D1450,1),3),"")</f>
        <v>S_I</v>
      </c>
      <c r="N1450" s="3" t="str">
        <f>IFERROR(MID(D1450,SEARCH("C_I_",D1450,1),3),"")</f>
        <v/>
      </c>
      <c r="O1450" s="3" t="str">
        <f>IF(AND(M1450="",N1450=""),"Extra","")</f>
        <v/>
      </c>
      <c r="P1450" s="3" t="str">
        <f>IF(Q1450=0,"TERCEIRO","MRS")</f>
        <v>MRS</v>
      </c>
      <c r="Q1450" s="8" t="str">
        <f>IFERROR(VLOOKUP(L1450,#REF!,4,0),"0,00")</f>
        <v>0,00</v>
      </c>
      <c r="R1450" s="9" t="s">
        <v>42</v>
      </c>
      <c r="S1450" s="9">
        <f>COUNTIF(D1450,"*_SEG_*")</f>
        <v>0</v>
      </c>
      <c r="T1450" s="9">
        <f>COUNTIF(D1450,"*_MAN_*")</f>
        <v>0</v>
      </c>
      <c r="U1450" s="9">
        <f>(RIGHT(D1450,4))*1</f>
        <v>90</v>
      </c>
      <c r="V1450" s="9" t="str">
        <f>IFERROR(VLOOKUP(I1450,#REF!,2,0),"Sinalização")</f>
        <v>Sinalização</v>
      </c>
    </row>
    <row r="1451" spans="1:22" x14ac:dyDescent="0.25">
      <c r="A1451" s="3" t="s">
        <v>22</v>
      </c>
      <c r="B1451" s="4">
        <v>23325532</v>
      </c>
      <c r="C1451" s="5" t="s">
        <v>23</v>
      </c>
      <c r="D1451" s="6" t="s">
        <v>661</v>
      </c>
      <c r="E1451" s="6" t="s">
        <v>25</v>
      </c>
      <c r="F1451" s="11">
        <v>46155</v>
      </c>
      <c r="G1451" s="6" t="s">
        <v>1079</v>
      </c>
      <c r="H1451" s="7" t="s">
        <v>26</v>
      </c>
      <c r="I1451" s="7" t="s">
        <v>725</v>
      </c>
      <c r="J1451" s="7" t="s">
        <v>662</v>
      </c>
      <c r="K1451" s="7" t="s">
        <v>29</v>
      </c>
      <c r="L1451" s="3" t="str">
        <f>E1451&amp;D1451</f>
        <v>E.SP.IPAEE_INS_CONF_S_I_SINAL L UNIFO CONT_0090</v>
      </c>
      <c r="M1451" s="3" t="str">
        <f>IFERROR(MID(D1451,SEARCH("S_I_",D1451,1),3),"")</f>
        <v>S_I</v>
      </c>
      <c r="N1451" s="3" t="str">
        <f>IFERROR(MID(D1451,SEARCH("C_I_",D1451,1),3),"")</f>
        <v/>
      </c>
      <c r="O1451" s="3" t="str">
        <f>IF(AND(M1451="",N1451=""),"Extra","")</f>
        <v/>
      </c>
      <c r="P1451" s="3" t="str">
        <f>IF(Q1451=0,"TERCEIRO","MRS")</f>
        <v>MRS</v>
      </c>
      <c r="Q1451" s="8" t="str">
        <f>IFERROR(VLOOKUP(L1451,#REF!,4,0),"0,00")</f>
        <v>0,00</v>
      </c>
      <c r="R1451" s="9" t="s">
        <v>42</v>
      </c>
      <c r="S1451" s="9">
        <f>COUNTIF(D1451,"*_SEG_*")</f>
        <v>0</v>
      </c>
      <c r="T1451" s="9">
        <f>COUNTIF(D1451,"*_MAN_*")</f>
        <v>0</v>
      </c>
      <c r="U1451" s="9">
        <f>(RIGHT(D1451,4))*1</f>
        <v>90</v>
      </c>
      <c r="V1451" s="9" t="str">
        <f>IFERROR(VLOOKUP(I1451,#REF!,2,0),"Sinalização")</f>
        <v>Sinalização</v>
      </c>
    </row>
    <row r="1452" spans="1:22" x14ac:dyDescent="0.25">
      <c r="A1452" s="3" t="s">
        <v>22</v>
      </c>
      <c r="B1452" s="4">
        <v>23325533</v>
      </c>
      <c r="C1452" s="5" t="s">
        <v>23</v>
      </c>
      <c r="D1452" s="6" t="s">
        <v>661</v>
      </c>
      <c r="E1452" s="6" t="s">
        <v>25</v>
      </c>
      <c r="F1452" s="11">
        <v>46155</v>
      </c>
      <c r="G1452" s="6" t="s">
        <v>1079</v>
      </c>
      <c r="H1452" s="7"/>
      <c r="I1452" s="7" t="s">
        <v>726</v>
      </c>
      <c r="J1452" s="7" t="s">
        <v>662</v>
      </c>
      <c r="K1452" s="7" t="s">
        <v>29</v>
      </c>
      <c r="L1452" s="3" t="str">
        <f>E1452&amp;D1452</f>
        <v>E.SP.IPAEE_INS_CONF_S_I_SINAL L UNIFO CONT_0090</v>
      </c>
      <c r="M1452" s="3" t="str">
        <f>IFERROR(MID(D1452,SEARCH("S_I_",D1452,1),3),"")</f>
        <v>S_I</v>
      </c>
      <c r="N1452" s="3" t="str">
        <f>IFERROR(MID(D1452,SEARCH("C_I_",D1452,1),3),"")</f>
        <v/>
      </c>
      <c r="O1452" s="3" t="str">
        <f>IF(AND(M1452="",N1452=""),"Extra","")</f>
        <v/>
      </c>
      <c r="P1452" s="3" t="str">
        <f>IF(Q1452=0,"TERCEIRO","MRS")</f>
        <v>MRS</v>
      </c>
      <c r="Q1452" s="8" t="str">
        <f>IFERROR(VLOOKUP(L1452,#REF!,4,0),"0,00")</f>
        <v>0,00</v>
      </c>
      <c r="R1452" s="9" t="s">
        <v>42</v>
      </c>
      <c r="S1452" s="9">
        <f>COUNTIF(D1452,"*_SEG_*")</f>
        <v>0</v>
      </c>
      <c r="T1452" s="9">
        <f>COUNTIF(D1452,"*_MAN_*")</f>
        <v>0</v>
      </c>
      <c r="U1452" s="9">
        <f>(RIGHT(D1452,4))*1</f>
        <v>90</v>
      </c>
      <c r="V1452" s="9" t="str">
        <f>IFERROR(VLOOKUP(I1452,#REF!,2,0),"Sinalização")</f>
        <v>Sinalização</v>
      </c>
    </row>
    <row r="1453" spans="1:22" x14ac:dyDescent="0.25">
      <c r="A1453" s="3" t="s">
        <v>22</v>
      </c>
      <c r="B1453" s="4">
        <v>23325534</v>
      </c>
      <c r="C1453" s="5" t="s">
        <v>23</v>
      </c>
      <c r="D1453" s="6" t="s">
        <v>661</v>
      </c>
      <c r="E1453" s="6" t="s">
        <v>25</v>
      </c>
      <c r="F1453" s="11">
        <v>46155</v>
      </c>
      <c r="G1453" s="6" t="s">
        <v>1079</v>
      </c>
      <c r="H1453" s="7"/>
      <c r="I1453" s="7" t="s">
        <v>723</v>
      </c>
      <c r="J1453" s="7" t="s">
        <v>662</v>
      </c>
      <c r="K1453" s="7" t="s">
        <v>29</v>
      </c>
      <c r="L1453" s="3" t="str">
        <f>E1453&amp;D1453</f>
        <v>E.SP.IPAEE_INS_CONF_S_I_SINAL L UNIFO CONT_0090</v>
      </c>
      <c r="M1453" s="3" t="str">
        <f>IFERROR(MID(D1453,SEARCH("S_I_",D1453,1),3),"")</f>
        <v>S_I</v>
      </c>
      <c r="N1453" s="3" t="str">
        <f>IFERROR(MID(D1453,SEARCH("C_I_",D1453,1),3),"")</f>
        <v/>
      </c>
      <c r="O1453" s="3" t="str">
        <f>IF(AND(M1453="",N1453=""),"Extra","")</f>
        <v/>
      </c>
      <c r="P1453" s="3" t="str">
        <f>IF(Q1453=0,"TERCEIRO","MRS")</f>
        <v>MRS</v>
      </c>
      <c r="Q1453" s="8" t="str">
        <f>IFERROR(VLOOKUP(L1453,#REF!,4,0),"0,00")</f>
        <v>0,00</v>
      </c>
      <c r="R1453" s="9" t="s">
        <v>42</v>
      </c>
      <c r="S1453" s="9">
        <f>COUNTIF(D1453,"*_SEG_*")</f>
        <v>0</v>
      </c>
      <c r="T1453" s="9">
        <f>COUNTIF(D1453,"*_MAN_*")</f>
        <v>0</v>
      </c>
      <c r="U1453" s="9">
        <f>(RIGHT(D1453,4))*1</f>
        <v>90</v>
      </c>
      <c r="V1453" s="9" t="str">
        <f>IFERROR(VLOOKUP(I1453,#REF!,2,0),"Sinalização")</f>
        <v>Sinalização</v>
      </c>
    </row>
    <row r="1454" spans="1:22" x14ac:dyDescent="0.25">
      <c r="A1454" s="3" t="s">
        <v>22</v>
      </c>
      <c r="B1454" s="4">
        <v>23325535</v>
      </c>
      <c r="C1454" s="5" t="s">
        <v>23</v>
      </c>
      <c r="D1454" s="6" t="s">
        <v>661</v>
      </c>
      <c r="E1454" s="6" t="s">
        <v>25</v>
      </c>
      <c r="F1454" s="11">
        <v>46155</v>
      </c>
      <c r="G1454" s="6" t="s">
        <v>1079</v>
      </c>
      <c r="H1454" s="7"/>
      <c r="I1454" s="7" t="s">
        <v>720</v>
      </c>
      <c r="J1454" s="7" t="s">
        <v>662</v>
      </c>
      <c r="K1454" s="7" t="s">
        <v>29</v>
      </c>
      <c r="L1454" s="3" t="str">
        <f>E1454&amp;D1454</f>
        <v>E.SP.IPAEE_INS_CONF_S_I_SINAL L UNIFO CONT_0090</v>
      </c>
      <c r="M1454" s="3" t="str">
        <f>IFERROR(MID(D1454,SEARCH("S_I_",D1454,1),3),"")</f>
        <v>S_I</v>
      </c>
      <c r="N1454" s="3" t="str">
        <f>IFERROR(MID(D1454,SEARCH("C_I_",D1454,1),3),"")</f>
        <v/>
      </c>
      <c r="O1454" s="3" t="str">
        <f>IF(AND(M1454="",N1454=""),"Extra","")</f>
        <v/>
      </c>
      <c r="P1454" s="3" t="str">
        <f>IF(Q1454=0,"TERCEIRO","MRS")</f>
        <v>MRS</v>
      </c>
      <c r="Q1454" s="8" t="str">
        <f>IFERROR(VLOOKUP(L1454,#REF!,4,0),"0,00")</f>
        <v>0,00</v>
      </c>
      <c r="R1454" s="9" t="s">
        <v>42</v>
      </c>
      <c r="S1454" s="9">
        <f>COUNTIF(D1454,"*_SEG_*")</f>
        <v>0</v>
      </c>
      <c r="T1454" s="9">
        <f>COUNTIF(D1454,"*_MAN_*")</f>
        <v>0</v>
      </c>
      <c r="U1454" s="9">
        <f>(RIGHT(D1454,4))*1</f>
        <v>90</v>
      </c>
      <c r="V1454" s="9" t="str">
        <f>IFERROR(VLOOKUP(I1454,#REF!,2,0),"Sinalização")</f>
        <v>Sinalização</v>
      </c>
    </row>
    <row r="1455" spans="1:22" x14ac:dyDescent="0.25">
      <c r="A1455" s="3" t="s">
        <v>22</v>
      </c>
      <c r="B1455" s="4">
        <v>23325536</v>
      </c>
      <c r="C1455" s="5" t="s">
        <v>23</v>
      </c>
      <c r="D1455" s="6" t="s">
        <v>661</v>
      </c>
      <c r="E1455" s="6" t="s">
        <v>25</v>
      </c>
      <c r="F1455" s="11">
        <v>46155</v>
      </c>
      <c r="G1455" s="6" t="s">
        <v>1079</v>
      </c>
      <c r="H1455" s="7"/>
      <c r="I1455" s="7" t="s">
        <v>178</v>
      </c>
      <c r="J1455" s="7" t="s">
        <v>662</v>
      </c>
      <c r="K1455" s="7" t="s">
        <v>29</v>
      </c>
      <c r="L1455" s="3" t="str">
        <f>E1455&amp;D1455</f>
        <v>E.SP.IPAEE_INS_CONF_S_I_SINAL L UNIFO CONT_0090</v>
      </c>
      <c r="M1455" s="3" t="str">
        <f>IFERROR(MID(D1455,SEARCH("S_I_",D1455,1),3),"")</f>
        <v>S_I</v>
      </c>
      <c r="N1455" s="3" t="str">
        <f>IFERROR(MID(D1455,SEARCH("C_I_",D1455,1),3),"")</f>
        <v/>
      </c>
      <c r="O1455" s="3" t="str">
        <f>IF(AND(M1455="",N1455=""),"Extra","")</f>
        <v/>
      </c>
      <c r="P1455" s="3" t="str">
        <f>IF(Q1455=0,"TERCEIRO","MRS")</f>
        <v>MRS</v>
      </c>
      <c r="Q1455" s="8" t="str">
        <f>IFERROR(VLOOKUP(L1455,#REF!,4,0),"0,00")</f>
        <v>0,00</v>
      </c>
      <c r="R1455" s="9" t="s">
        <v>42</v>
      </c>
      <c r="S1455" s="9">
        <f>COUNTIF(D1455,"*_SEG_*")</f>
        <v>0</v>
      </c>
      <c r="T1455" s="9">
        <f>COUNTIF(D1455,"*_MAN_*")</f>
        <v>0</v>
      </c>
      <c r="U1455" s="9">
        <f>(RIGHT(D1455,4))*1</f>
        <v>90</v>
      </c>
      <c r="V1455" s="9" t="str">
        <f>IFERROR(VLOOKUP(I1455,#REF!,2,0),"Sinalização")</f>
        <v>Sinalização</v>
      </c>
    </row>
    <row r="1456" spans="1:22" x14ac:dyDescent="0.25">
      <c r="A1456" s="3" t="s">
        <v>22</v>
      </c>
      <c r="B1456" s="4">
        <v>23325537</v>
      </c>
      <c r="C1456" s="5" t="s">
        <v>23</v>
      </c>
      <c r="D1456" s="6" t="s">
        <v>661</v>
      </c>
      <c r="E1456" s="6" t="s">
        <v>25</v>
      </c>
      <c r="F1456" s="11">
        <v>46155</v>
      </c>
      <c r="G1456" s="6" t="s">
        <v>1079</v>
      </c>
      <c r="H1456" s="7"/>
      <c r="I1456" s="7" t="s">
        <v>177</v>
      </c>
      <c r="J1456" s="7" t="s">
        <v>662</v>
      </c>
      <c r="K1456" s="7" t="s">
        <v>29</v>
      </c>
      <c r="L1456" s="3" t="str">
        <f>E1456&amp;D1456</f>
        <v>E.SP.IPAEE_INS_CONF_S_I_SINAL L UNIFO CONT_0090</v>
      </c>
      <c r="M1456" s="3" t="str">
        <f>IFERROR(MID(D1456,SEARCH("S_I_",D1456,1),3),"")</f>
        <v>S_I</v>
      </c>
      <c r="N1456" s="3" t="str">
        <f>IFERROR(MID(D1456,SEARCH("C_I_",D1456,1),3),"")</f>
        <v/>
      </c>
      <c r="O1456" s="3" t="str">
        <f>IF(AND(M1456="",N1456=""),"Extra","")</f>
        <v/>
      </c>
      <c r="P1456" s="3" t="str">
        <f>IF(Q1456=0,"TERCEIRO","MRS")</f>
        <v>MRS</v>
      </c>
      <c r="Q1456" s="8" t="str">
        <f>IFERROR(VLOOKUP(L1456,#REF!,4,0),"0,00")</f>
        <v>0,00</v>
      </c>
      <c r="R1456" s="9" t="s">
        <v>42</v>
      </c>
      <c r="S1456" s="9">
        <f>COUNTIF(D1456,"*_SEG_*")</f>
        <v>0</v>
      </c>
      <c r="T1456" s="9">
        <f>COUNTIF(D1456,"*_MAN_*")</f>
        <v>0</v>
      </c>
      <c r="U1456" s="9">
        <f>(RIGHT(D1456,4))*1</f>
        <v>90</v>
      </c>
      <c r="V1456" s="9" t="str">
        <f>IFERROR(VLOOKUP(I1456,#REF!,2,0),"Sinalização")</f>
        <v>Sinalização</v>
      </c>
    </row>
    <row r="1457" spans="1:22" x14ac:dyDescent="0.25">
      <c r="A1457" s="3" t="s">
        <v>22</v>
      </c>
      <c r="B1457" s="4">
        <v>23325538</v>
      </c>
      <c r="C1457" s="5" t="s">
        <v>23</v>
      </c>
      <c r="D1457" s="6" t="s">
        <v>661</v>
      </c>
      <c r="E1457" s="6" t="s">
        <v>25</v>
      </c>
      <c r="F1457" s="11">
        <v>46155</v>
      </c>
      <c r="G1457" s="6" t="s">
        <v>1079</v>
      </c>
      <c r="H1457" s="7"/>
      <c r="I1457" s="7" t="s">
        <v>230</v>
      </c>
      <c r="J1457" s="7" t="s">
        <v>662</v>
      </c>
      <c r="K1457" s="7" t="s">
        <v>29</v>
      </c>
      <c r="L1457" s="3" t="str">
        <f>E1457&amp;D1457</f>
        <v>E.SP.IPAEE_INS_CONF_S_I_SINAL L UNIFO CONT_0090</v>
      </c>
      <c r="M1457" s="3" t="str">
        <f>IFERROR(MID(D1457,SEARCH("S_I_",D1457,1),3),"")</f>
        <v>S_I</v>
      </c>
      <c r="N1457" s="3" t="str">
        <f>IFERROR(MID(D1457,SEARCH("C_I_",D1457,1),3),"")</f>
        <v/>
      </c>
      <c r="O1457" s="3" t="str">
        <f>IF(AND(M1457="",N1457=""),"Extra","")</f>
        <v/>
      </c>
      <c r="P1457" s="3" t="str">
        <f>IF(Q1457=0,"TERCEIRO","MRS")</f>
        <v>MRS</v>
      </c>
      <c r="Q1457" s="8" t="str">
        <f>IFERROR(VLOOKUP(L1457,#REF!,4,0),"0,00")</f>
        <v>0,00</v>
      </c>
      <c r="R1457" s="9" t="s">
        <v>42</v>
      </c>
      <c r="S1457" s="9">
        <f>COUNTIF(D1457,"*_SEG_*")</f>
        <v>0</v>
      </c>
      <c r="T1457" s="9">
        <f>COUNTIF(D1457,"*_MAN_*")</f>
        <v>0</v>
      </c>
      <c r="U1457" s="9">
        <f>(RIGHT(D1457,4))*1</f>
        <v>90</v>
      </c>
      <c r="V1457" s="9" t="str">
        <f>IFERROR(VLOOKUP(I1457,#REF!,2,0),"Sinalização")</f>
        <v>Sinalização</v>
      </c>
    </row>
    <row r="1458" spans="1:22" x14ac:dyDescent="0.25">
      <c r="A1458" s="3" t="s">
        <v>22</v>
      </c>
      <c r="B1458" s="4">
        <v>23325539</v>
      </c>
      <c r="C1458" s="5" t="s">
        <v>23</v>
      </c>
      <c r="D1458" s="6" t="s">
        <v>661</v>
      </c>
      <c r="E1458" s="6" t="s">
        <v>25</v>
      </c>
      <c r="F1458" s="11">
        <v>46155</v>
      </c>
      <c r="G1458" s="6" t="s">
        <v>1079</v>
      </c>
      <c r="H1458" s="7"/>
      <c r="I1458" s="7" t="s">
        <v>228</v>
      </c>
      <c r="J1458" s="7" t="s">
        <v>662</v>
      </c>
      <c r="K1458" s="7" t="s">
        <v>29</v>
      </c>
      <c r="L1458" s="3" t="str">
        <f>E1458&amp;D1458</f>
        <v>E.SP.IPAEE_INS_CONF_S_I_SINAL L UNIFO CONT_0090</v>
      </c>
      <c r="M1458" s="3" t="str">
        <f>IFERROR(MID(D1458,SEARCH("S_I_",D1458,1),3),"")</f>
        <v>S_I</v>
      </c>
      <c r="N1458" s="3" t="str">
        <f>IFERROR(MID(D1458,SEARCH("C_I_",D1458,1),3),"")</f>
        <v/>
      </c>
      <c r="O1458" s="3" t="str">
        <f>IF(AND(M1458="",N1458=""),"Extra","")</f>
        <v/>
      </c>
      <c r="P1458" s="3" t="str">
        <f>IF(Q1458=0,"TERCEIRO","MRS")</f>
        <v>MRS</v>
      </c>
      <c r="Q1458" s="8" t="str">
        <f>IFERROR(VLOOKUP(L1458,#REF!,4,0),"0,00")</f>
        <v>0,00</v>
      </c>
      <c r="R1458" s="9" t="s">
        <v>42</v>
      </c>
      <c r="S1458" s="9">
        <f>COUNTIF(D1458,"*_SEG_*")</f>
        <v>0</v>
      </c>
      <c r="T1458" s="9">
        <f>COUNTIF(D1458,"*_MAN_*")</f>
        <v>0</v>
      </c>
      <c r="U1458" s="9">
        <f>(RIGHT(D1458,4))*1</f>
        <v>90</v>
      </c>
      <c r="V1458" s="9" t="str">
        <f>IFERROR(VLOOKUP(I1458,#REF!,2,0),"Sinalização")</f>
        <v>Sinalização</v>
      </c>
    </row>
    <row r="1459" spans="1:22" x14ac:dyDescent="0.25">
      <c r="A1459" s="3" t="s">
        <v>22</v>
      </c>
      <c r="B1459" s="4">
        <v>23325541</v>
      </c>
      <c r="C1459" s="5" t="s">
        <v>23</v>
      </c>
      <c r="D1459" s="6" t="s">
        <v>661</v>
      </c>
      <c r="E1459" s="6" t="s">
        <v>25</v>
      </c>
      <c r="F1459" s="11">
        <v>46155</v>
      </c>
      <c r="G1459" s="6" t="s">
        <v>1079</v>
      </c>
      <c r="H1459" s="7"/>
      <c r="I1459" s="7" t="s">
        <v>70</v>
      </c>
      <c r="J1459" s="7" t="s">
        <v>662</v>
      </c>
      <c r="K1459" s="7" t="s">
        <v>29</v>
      </c>
      <c r="L1459" s="3" t="str">
        <f>E1459&amp;D1459</f>
        <v>E.SP.IPAEE_INS_CONF_S_I_SINAL L UNIFO CONT_0090</v>
      </c>
      <c r="M1459" s="3" t="str">
        <f>IFERROR(MID(D1459,SEARCH("S_I_",D1459,1),3),"")</f>
        <v>S_I</v>
      </c>
      <c r="N1459" s="3" t="str">
        <f>IFERROR(MID(D1459,SEARCH("C_I_",D1459,1),3),"")</f>
        <v/>
      </c>
      <c r="O1459" s="3" t="str">
        <f>IF(AND(M1459="",N1459=""),"Extra","")</f>
        <v/>
      </c>
      <c r="P1459" s="3" t="str">
        <f>IF(Q1459=0,"TERCEIRO","MRS")</f>
        <v>MRS</v>
      </c>
      <c r="Q1459" s="8" t="str">
        <f>IFERROR(VLOOKUP(L1459,#REF!,4,0),"0,00")</f>
        <v>0,00</v>
      </c>
      <c r="R1459" s="9" t="s">
        <v>42</v>
      </c>
      <c r="S1459" s="9">
        <f>COUNTIF(D1459,"*_SEG_*")</f>
        <v>0</v>
      </c>
      <c r="T1459" s="9">
        <f>COUNTIF(D1459,"*_MAN_*")</f>
        <v>0</v>
      </c>
      <c r="U1459" s="9">
        <f>(RIGHT(D1459,4))*1</f>
        <v>90</v>
      </c>
      <c r="V1459" s="9" t="str">
        <f>IFERROR(VLOOKUP(I1459,#REF!,2,0),"Sinalização")</f>
        <v>Sinalização</v>
      </c>
    </row>
    <row r="1460" spans="1:22" x14ac:dyDescent="0.25">
      <c r="A1460" s="3" t="s">
        <v>22</v>
      </c>
      <c r="B1460" s="4">
        <v>23325546</v>
      </c>
      <c r="C1460" s="5" t="s">
        <v>23</v>
      </c>
      <c r="D1460" s="6" t="s">
        <v>663</v>
      </c>
      <c r="E1460" s="6" t="s">
        <v>25</v>
      </c>
      <c r="F1460" s="11">
        <v>46155</v>
      </c>
      <c r="G1460" s="6" t="s">
        <v>1079</v>
      </c>
      <c r="H1460" s="7"/>
      <c r="I1460" s="7" t="s">
        <v>299</v>
      </c>
      <c r="J1460" s="7" t="s">
        <v>664</v>
      </c>
      <c r="K1460" s="7" t="s">
        <v>29</v>
      </c>
      <c r="L1460" s="3" t="str">
        <f>E1460&amp;D1460</f>
        <v>E.SP.IPAEE_MAN_CONF_C_I_MCH 110VCC GRS 55BR_0090</v>
      </c>
      <c r="M1460" s="3" t="str">
        <f>IFERROR(MID(D1460,SEARCH("S_I_",D1460,1),3),"")</f>
        <v/>
      </c>
      <c r="N1460" s="3" t="str">
        <f>IFERROR(MID(D1460,SEARCH("C_I_",D1460,1),3),"")</f>
        <v>C_I</v>
      </c>
      <c r="O1460" s="3" t="str">
        <f>IF(AND(M1460="",N1460=""),"Extra","")</f>
        <v/>
      </c>
      <c r="P1460" s="3" t="str">
        <f>IF(Q1460=0,"TERCEIRO","MRS")</f>
        <v>MRS</v>
      </c>
      <c r="Q1460" s="8" t="str">
        <f>IFERROR(VLOOKUP(L1460,#REF!,4,0),"0,00")</f>
        <v>0,00</v>
      </c>
      <c r="R1460" s="9" t="s">
        <v>42</v>
      </c>
      <c r="S1460" s="9">
        <f>COUNTIF(D1460,"*_SEG_*")</f>
        <v>0</v>
      </c>
      <c r="T1460" s="9">
        <f>COUNTIF(D1460,"*_MAN_*")</f>
        <v>1</v>
      </c>
      <c r="U1460" s="9">
        <f>(RIGHT(D1460,4))*1</f>
        <v>90</v>
      </c>
      <c r="V1460" s="9" t="str">
        <f>IFERROR(VLOOKUP(I1460,#REF!,2,0),"Sinalização")</f>
        <v>Sinalização</v>
      </c>
    </row>
    <row r="1461" spans="1:22" x14ac:dyDescent="0.25">
      <c r="A1461" s="3" t="s">
        <v>22</v>
      </c>
      <c r="B1461" s="4">
        <v>23325547</v>
      </c>
      <c r="C1461" s="5" t="s">
        <v>23</v>
      </c>
      <c r="D1461" s="6" t="s">
        <v>663</v>
      </c>
      <c r="E1461" s="6" t="s">
        <v>25</v>
      </c>
      <c r="F1461" s="11">
        <v>46155</v>
      </c>
      <c r="G1461" s="6" t="s">
        <v>1079</v>
      </c>
      <c r="H1461" s="7"/>
      <c r="I1461" s="7" t="s">
        <v>297</v>
      </c>
      <c r="J1461" s="7" t="s">
        <v>664</v>
      </c>
      <c r="K1461" s="7" t="s">
        <v>29</v>
      </c>
      <c r="L1461" s="3" t="str">
        <f>E1461&amp;D1461</f>
        <v>E.SP.IPAEE_MAN_CONF_C_I_MCH 110VCC GRS 55BR_0090</v>
      </c>
      <c r="M1461" s="3" t="str">
        <f>IFERROR(MID(D1461,SEARCH("S_I_",D1461,1),3),"")</f>
        <v/>
      </c>
      <c r="N1461" s="3" t="str">
        <f>IFERROR(MID(D1461,SEARCH("C_I_",D1461,1),3),"")</f>
        <v>C_I</v>
      </c>
      <c r="O1461" s="3" t="str">
        <f>IF(AND(M1461="",N1461=""),"Extra","")</f>
        <v/>
      </c>
      <c r="P1461" s="3" t="str">
        <f>IF(Q1461=0,"TERCEIRO","MRS")</f>
        <v>MRS</v>
      </c>
      <c r="Q1461" s="8" t="str">
        <f>IFERROR(VLOOKUP(L1461,#REF!,4,0),"0,00")</f>
        <v>0,00</v>
      </c>
      <c r="R1461" s="9" t="s">
        <v>42</v>
      </c>
      <c r="S1461" s="9">
        <f>COUNTIF(D1461,"*_SEG_*")</f>
        <v>0</v>
      </c>
      <c r="T1461" s="9">
        <f>COUNTIF(D1461,"*_MAN_*")</f>
        <v>1</v>
      </c>
      <c r="U1461" s="9">
        <f>(RIGHT(D1461,4))*1</f>
        <v>90</v>
      </c>
      <c r="V1461" s="9" t="str">
        <f>IFERROR(VLOOKUP(I1461,#REF!,2,0),"Sinalização")</f>
        <v>Sinalização</v>
      </c>
    </row>
    <row r="1462" spans="1:22" x14ac:dyDescent="0.25">
      <c r="A1462" s="3" t="s">
        <v>22</v>
      </c>
      <c r="B1462" s="4">
        <v>23325548</v>
      </c>
      <c r="C1462" s="5" t="s">
        <v>23</v>
      </c>
      <c r="D1462" s="6" t="s">
        <v>663</v>
      </c>
      <c r="E1462" s="6" t="s">
        <v>25</v>
      </c>
      <c r="F1462" s="11">
        <v>46155</v>
      </c>
      <c r="G1462" s="6" t="s">
        <v>1079</v>
      </c>
      <c r="H1462" s="7"/>
      <c r="I1462" s="7" t="s">
        <v>298</v>
      </c>
      <c r="J1462" s="7" t="s">
        <v>664</v>
      </c>
      <c r="K1462" s="7" t="s">
        <v>29</v>
      </c>
      <c r="L1462" s="3" t="str">
        <f>E1462&amp;D1462</f>
        <v>E.SP.IPAEE_MAN_CONF_C_I_MCH 110VCC GRS 55BR_0090</v>
      </c>
      <c r="M1462" s="3" t="str">
        <f>IFERROR(MID(D1462,SEARCH("S_I_",D1462,1),3),"")</f>
        <v/>
      </c>
      <c r="N1462" s="3" t="str">
        <f>IFERROR(MID(D1462,SEARCH("C_I_",D1462,1),3),"")</f>
        <v>C_I</v>
      </c>
      <c r="O1462" s="3" t="str">
        <f>IF(AND(M1462="",N1462=""),"Extra","")</f>
        <v/>
      </c>
      <c r="P1462" s="3" t="str">
        <f>IF(Q1462=0,"TERCEIRO","MRS")</f>
        <v>MRS</v>
      </c>
      <c r="Q1462" s="8" t="str">
        <f>IFERROR(VLOOKUP(L1462,#REF!,4,0),"0,00")</f>
        <v>0,00</v>
      </c>
      <c r="R1462" s="9" t="s">
        <v>42</v>
      </c>
      <c r="S1462" s="9">
        <f>COUNTIF(D1462,"*_SEG_*")</f>
        <v>0</v>
      </c>
      <c r="T1462" s="9">
        <f>COUNTIF(D1462,"*_MAN_*")</f>
        <v>1</v>
      </c>
      <c r="U1462" s="9">
        <f>(RIGHT(D1462,4))*1</f>
        <v>90</v>
      </c>
      <c r="V1462" s="9" t="str">
        <f>IFERROR(VLOOKUP(I1462,#REF!,2,0),"Sinalização")</f>
        <v>Sinalização</v>
      </c>
    </row>
    <row r="1463" spans="1:22" x14ac:dyDescent="0.25">
      <c r="A1463" s="3" t="s">
        <v>22</v>
      </c>
      <c r="B1463" s="4">
        <v>23325568</v>
      </c>
      <c r="C1463" s="5" t="s">
        <v>23</v>
      </c>
      <c r="D1463" s="6" t="s">
        <v>641</v>
      </c>
      <c r="E1463" s="6" t="s">
        <v>25</v>
      </c>
      <c r="F1463" s="11">
        <v>46155</v>
      </c>
      <c r="G1463" s="6" t="s">
        <v>1079</v>
      </c>
      <c r="H1463" s="7"/>
      <c r="I1463" s="7" t="s">
        <v>427</v>
      </c>
      <c r="J1463" s="7" t="s">
        <v>642</v>
      </c>
      <c r="K1463" s="7" t="s">
        <v>29</v>
      </c>
      <c r="L1463" s="3" t="str">
        <f>E1463&amp;D1463</f>
        <v>E.SP.IPAEE_INS_CONF_S_I_MAQ CHAVE MOLA_0090</v>
      </c>
      <c r="M1463" s="3" t="str">
        <f>IFERROR(MID(D1463,SEARCH("S_I_",D1463,1),3),"")</f>
        <v>S_I</v>
      </c>
      <c r="N1463" s="3" t="str">
        <f>IFERROR(MID(D1463,SEARCH("C_I_",D1463,1),3),"")</f>
        <v/>
      </c>
      <c r="O1463" s="3" t="str">
        <f>IF(AND(M1463="",N1463=""),"Extra","")</f>
        <v/>
      </c>
      <c r="P1463" s="3" t="str">
        <f>IF(Q1463=0,"TERCEIRO","MRS")</f>
        <v>MRS</v>
      </c>
      <c r="Q1463" s="8" t="str">
        <f>IFERROR(VLOOKUP(L1463,#REF!,4,0),"0,00")</f>
        <v>0,00</v>
      </c>
      <c r="R1463" s="9" t="s">
        <v>42</v>
      </c>
      <c r="S1463" s="9">
        <f>COUNTIF(D1463,"*_SEG_*")</f>
        <v>0</v>
      </c>
      <c r="T1463" s="9">
        <f>COUNTIF(D1463,"*_MAN_*")</f>
        <v>0</v>
      </c>
      <c r="U1463" s="9">
        <f>(RIGHT(D1463,4))*1</f>
        <v>90</v>
      </c>
      <c r="V1463" s="9" t="str">
        <f>IFERROR(VLOOKUP(I1463,#REF!,2,0),"Sinalização")</f>
        <v>Sinalização</v>
      </c>
    </row>
    <row r="1464" spans="1:22" x14ac:dyDescent="0.25">
      <c r="A1464" s="3" t="s">
        <v>22</v>
      </c>
      <c r="B1464" s="4">
        <v>23325570</v>
      </c>
      <c r="C1464" s="5" t="s">
        <v>23</v>
      </c>
      <c r="D1464" s="6" t="s">
        <v>553</v>
      </c>
      <c r="E1464" s="6" t="s">
        <v>25</v>
      </c>
      <c r="F1464" s="11">
        <v>46155</v>
      </c>
      <c r="G1464" s="6" t="s">
        <v>1079</v>
      </c>
      <c r="H1464" s="7"/>
      <c r="I1464" s="7" t="s">
        <v>427</v>
      </c>
      <c r="J1464" s="7" t="s">
        <v>555</v>
      </c>
      <c r="K1464" s="7" t="s">
        <v>29</v>
      </c>
      <c r="L1464" s="3" t="str">
        <f>E1464&amp;D1464</f>
        <v>E.SP.IPAEE_MAN_CONF_C_I_MAQ CHAVE MOLA_0090</v>
      </c>
      <c r="M1464" s="3" t="str">
        <f>IFERROR(MID(D1464,SEARCH("S_I_",D1464,1),3),"")</f>
        <v/>
      </c>
      <c r="N1464" s="3" t="str">
        <f>IFERROR(MID(D1464,SEARCH("C_I_",D1464,1),3),"")</f>
        <v>C_I</v>
      </c>
      <c r="O1464" s="3" t="str">
        <f>IF(AND(M1464="",N1464=""),"Extra","")</f>
        <v/>
      </c>
      <c r="P1464" s="3" t="str">
        <f>IF(Q1464=0,"TERCEIRO","MRS")</f>
        <v>MRS</v>
      </c>
      <c r="Q1464" s="8" t="str">
        <f>IFERROR(VLOOKUP(L1464,#REF!,4,0),"0,00")</f>
        <v>0,00</v>
      </c>
      <c r="R1464" s="9" t="s">
        <v>42</v>
      </c>
      <c r="S1464" s="9">
        <f>COUNTIF(D1464,"*_SEG_*")</f>
        <v>0</v>
      </c>
      <c r="T1464" s="9">
        <f>COUNTIF(D1464,"*_MAN_*")</f>
        <v>1</v>
      </c>
      <c r="U1464" s="9">
        <f>(RIGHT(D1464,4))*1</f>
        <v>90</v>
      </c>
      <c r="V1464" s="9" t="str">
        <f>IFERROR(VLOOKUP(I1464,#REF!,2,0),"Sinalização")</f>
        <v>Sinalização</v>
      </c>
    </row>
    <row r="1465" spans="1:22" x14ac:dyDescent="0.25">
      <c r="A1465" s="3" t="s">
        <v>22</v>
      </c>
      <c r="B1465" s="4">
        <v>23325580</v>
      </c>
      <c r="C1465" s="5" t="s">
        <v>23</v>
      </c>
      <c r="D1465" s="6" t="s">
        <v>700</v>
      </c>
      <c r="E1465" s="6" t="s">
        <v>25</v>
      </c>
      <c r="F1465" s="11">
        <v>46155</v>
      </c>
      <c r="G1465" s="6" t="s">
        <v>1079</v>
      </c>
      <c r="H1465" s="7"/>
      <c r="I1465" s="7" t="s">
        <v>727</v>
      </c>
      <c r="J1465" s="7" t="s">
        <v>701</v>
      </c>
      <c r="K1465" s="7" t="s">
        <v>29</v>
      </c>
      <c r="L1465" s="3" t="str">
        <f>E1465&amp;D1465</f>
        <v>E.SP.IPAEE_INS_CONF_S_I_SINAL L MULTI AUT_0090</v>
      </c>
      <c r="M1465" s="3" t="str">
        <f>IFERROR(MID(D1465,SEARCH("S_I_",D1465,1),3),"")</f>
        <v>S_I</v>
      </c>
      <c r="N1465" s="3" t="str">
        <f>IFERROR(MID(D1465,SEARCH("C_I_",D1465,1),3),"")</f>
        <v/>
      </c>
      <c r="O1465" s="3" t="str">
        <f>IF(AND(M1465="",N1465=""),"Extra","")</f>
        <v/>
      </c>
      <c r="P1465" s="3" t="str">
        <f>IF(Q1465=0,"TERCEIRO","MRS")</f>
        <v>MRS</v>
      </c>
      <c r="Q1465" s="8" t="str">
        <f>IFERROR(VLOOKUP(L1465,#REF!,4,0),"0,00")</f>
        <v>0,00</v>
      </c>
      <c r="R1465" s="9" t="s">
        <v>30</v>
      </c>
      <c r="S1465" s="9">
        <f>COUNTIF(D1465,"*_SEG_*")</f>
        <v>0</v>
      </c>
      <c r="T1465" s="9">
        <f>COUNTIF(D1465,"*_MAN_*")</f>
        <v>0</v>
      </c>
      <c r="U1465" s="9">
        <f>(RIGHT(D1465,4))*1</f>
        <v>90</v>
      </c>
      <c r="V1465" s="9" t="str">
        <f>IFERROR(VLOOKUP(I1465,#REF!,2,0),"Sinalização")</f>
        <v>Sinalização</v>
      </c>
    </row>
    <row r="1466" spans="1:22" x14ac:dyDescent="0.25">
      <c r="A1466" s="3" t="s">
        <v>22</v>
      </c>
      <c r="B1466" s="4">
        <v>23325582</v>
      </c>
      <c r="C1466" s="5" t="s">
        <v>23</v>
      </c>
      <c r="D1466" s="6" t="s">
        <v>715</v>
      </c>
      <c r="E1466" s="6" t="s">
        <v>25</v>
      </c>
      <c r="F1466" s="11">
        <v>46155</v>
      </c>
      <c r="G1466" s="6" t="s">
        <v>1079</v>
      </c>
      <c r="H1466" s="7"/>
      <c r="I1466" s="7" t="s">
        <v>727</v>
      </c>
      <c r="J1466" s="7" t="s">
        <v>525</v>
      </c>
      <c r="K1466" s="7" t="s">
        <v>29</v>
      </c>
      <c r="L1466" s="3" t="str">
        <f>E1466&amp;D1466</f>
        <v>E.SP.IPAEE_MAN_CONF_S_I_SINAL L MULTI AUT_0090</v>
      </c>
      <c r="M1466" s="3" t="str">
        <f>IFERROR(MID(D1466,SEARCH("S_I_",D1466,1),3),"")</f>
        <v>S_I</v>
      </c>
      <c r="N1466" s="3" t="str">
        <f>IFERROR(MID(D1466,SEARCH("C_I_",D1466,1),3),"")</f>
        <v/>
      </c>
      <c r="O1466" s="3" t="str">
        <f>IF(AND(M1466="",N1466=""),"Extra","")</f>
        <v/>
      </c>
      <c r="P1466" s="3" t="str">
        <f>IF(Q1466=0,"TERCEIRO","MRS")</f>
        <v>MRS</v>
      </c>
      <c r="Q1466" s="8" t="str">
        <f>IFERROR(VLOOKUP(L1466,#REF!,4,0),"0,00")</f>
        <v>0,00</v>
      </c>
      <c r="R1466" s="9" t="s">
        <v>30</v>
      </c>
      <c r="S1466" s="9">
        <f>COUNTIF(D1466,"*_SEG_*")</f>
        <v>0</v>
      </c>
      <c r="T1466" s="9">
        <f>COUNTIF(D1466,"*_MAN_*")</f>
        <v>1</v>
      </c>
      <c r="U1466" s="9">
        <f>(RIGHT(D1466,4))*1</f>
        <v>90</v>
      </c>
      <c r="V1466" s="9" t="str">
        <f>IFERROR(VLOOKUP(I1466,#REF!,2,0),"Sinalização")</f>
        <v>Sinalização</v>
      </c>
    </row>
    <row r="1467" spans="1:22" x14ac:dyDescent="0.25">
      <c r="A1467" s="3" t="s">
        <v>22</v>
      </c>
      <c r="B1467" s="4">
        <v>23325583</v>
      </c>
      <c r="C1467" s="5" t="s">
        <v>23</v>
      </c>
      <c r="D1467" s="6" t="s">
        <v>700</v>
      </c>
      <c r="E1467" s="6" t="s">
        <v>25</v>
      </c>
      <c r="F1467" s="11">
        <v>46155</v>
      </c>
      <c r="G1467" s="6" t="s">
        <v>1079</v>
      </c>
      <c r="H1467" s="7"/>
      <c r="I1467" s="7" t="s">
        <v>728</v>
      </c>
      <c r="J1467" s="7" t="s">
        <v>701</v>
      </c>
      <c r="K1467" s="7" t="s">
        <v>29</v>
      </c>
      <c r="L1467" s="3" t="str">
        <f>E1467&amp;D1467</f>
        <v>E.SP.IPAEE_INS_CONF_S_I_SINAL L MULTI AUT_0090</v>
      </c>
      <c r="M1467" s="3" t="str">
        <f>IFERROR(MID(D1467,SEARCH("S_I_",D1467,1),3),"")</f>
        <v>S_I</v>
      </c>
      <c r="N1467" s="3" t="str">
        <f>IFERROR(MID(D1467,SEARCH("C_I_",D1467,1),3),"")</f>
        <v/>
      </c>
      <c r="O1467" s="3" t="str">
        <f>IF(AND(M1467="",N1467=""),"Extra","")</f>
        <v/>
      </c>
      <c r="P1467" s="3" t="str">
        <f>IF(Q1467=0,"TERCEIRO","MRS")</f>
        <v>MRS</v>
      </c>
      <c r="Q1467" s="8" t="str">
        <f>IFERROR(VLOOKUP(L1467,#REF!,4,0),"0,00")</f>
        <v>0,00</v>
      </c>
      <c r="R1467" s="9" t="s">
        <v>30</v>
      </c>
      <c r="S1467" s="9">
        <f>COUNTIF(D1467,"*_SEG_*")</f>
        <v>0</v>
      </c>
      <c r="T1467" s="9">
        <f>COUNTIF(D1467,"*_MAN_*")</f>
        <v>0</v>
      </c>
      <c r="U1467" s="9">
        <f>(RIGHT(D1467,4))*1</f>
        <v>90</v>
      </c>
      <c r="V1467" s="9" t="str">
        <f>IFERROR(VLOOKUP(I1467,#REF!,2,0),"Sinalização")</f>
        <v>Sinalização</v>
      </c>
    </row>
    <row r="1468" spans="1:22" x14ac:dyDescent="0.25">
      <c r="A1468" s="3" t="s">
        <v>22</v>
      </c>
      <c r="B1468" s="4">
        <v>23325585</v>
      </c>
      <c r="C1468" s="5" t="s">
        <v>23</v>
      </c>
      <c r="D1468" s="6" t="s">
        <v>715</v>
      </c>
      <c r="E1468" s="6" t="s">
        <v>25</v>
      </c>
      <c r="F1468" s="11">
        <v>46155</v>
      </c>
      <c r="G1468" s="6" t="s">
        <v>1079</v>
      </c>
      <c r="H1468" s="7"/>
      <c r="I1468" s="7" t="s">
        <v>728</v>
      </c>
      <c r="J1468" s="7" t="s">
        <v>525</v>
      </c>
      <c r="K1468" s="7" t="s">
        <v>29</v>
      </c>
      <c r="L1468" s="3" t="str">
        <f>E1468&amp;D1468</f>
        <v>E.SP.IPAEE_MAN_CONF_S_I_SINAL L MULTI AUT_0090</v>
      </c>
      <c r="M1468" s="3" t="str">
        <f>IFERROR(MID(D1468,SEARCH("S_I_",D1468,1),3),"")</f>
        <v>S_I</v>
      </c>
      <c r="N1468" s="3" t="str">
        <f>IFERROR(MID(D1468,SEARCH("C_I_",D1468,1),3),"")</f>
        <v/>
      </c>
      <c r="O1468" s="3" t="str">
        <f>IF(AND(M1468="",N1468=""),"Extra","")</f>
        <v/>
      </c>
      <c r="P1468" s="3" t="str">
        <f>IF(Q1468=0,"TERCEIRO","MRS")</f>
        <v>MRS</v>
      </c>
      <c r="Q1468" s="8" t="str">
        <f>IFERROR(VLOOKUP(L1468,#REF!,4,0),"0,00")</f>
        <v>0,00</v>
      </c>
      <c r="R1468" s="9" t="s">
        <v>30</v>
      </c>
      <c r="S1468" s="9">
        <f>COUNTIF(D1468,"*_SEG_*")</f>
        <v>0</v>
      </c>
      <c r="T1468" s="9">
        <f>COUNTIF(D1468,"*_MAN_*")</f>
        <v>1</v>
      </c>
      <c r="U1468" s="9">
        <f>(RIGHT(D1468,4))*1</f>
        <v>90</v>
      </c>
      <c r="V1468" s="9" t="str">
        <f>IFERROR(VLOOKUP(I1468,#REF!,2,0),"Sinalização")</f>
        <v>Sinalização</v>
      </c>
    </row>
    <row r="1469" spans="1:22" x14ac:dyDescent="0.25">
      <c r="A1469" s="3" t="s">
        <v>22</v>
      </c>
      <c r="B1469" s="4">
        <v>23325590</v>
      </c>
      <c r="C1469" s="5" t="s">
        <v>23</v>
      </c>
      <c r="D1469" s="6" t="s">
        <v>650</v>
      </c>
      <c r="E1469" s="6" t="s">
        <v>25</v>
      </c>
      <c r="F1469" s="11">
        <v>46155</v>
      </c>
      <c r="G1469" s="6" t="s">
        <v>1079</v>
      </c>
      <c r="H1469" s="7"/>
      <c r="I1469" s="7" t="s">
        <v>729</v>
      </c>
      <c r="J1469" s="7" t="s">
        <v>651</v>
      </c>
      <c r="K1469" s="7" t="s">
        <v>29</v>
      </c>
      <c r="L1469" s="3" t="str">
        <f>E1469&amp;D1469</f>
        <v>E.SP.IPAEE_INS_CONF_S_I_TRAFO LOCAL_0090</v>
      </c>
      <c r="M1469" s="3" t="str">
        <f>IFERROR(MID(D1469,SEARCH("S_I_",D1469,1),3),"")</f>
        <v>S_I</v>
      </c>
      <c r="N1469" s="3" t="str">
        <f>IFERROR(MID(D1469,SEARCH("C_I_",D1469,1),3),"")</f>
        <v/>
      </c>
      <c r="O1469" s="3" t="str">
        <f>IF(AND(M1469="",N1469=""),"Extra","")</f>
        <v/>
      </c>
      <c r="P1469" s="3" t="str">
        <f>IF(Q1469=0,"TERCEIRO","MRS")</f>
        <v>MRS</v>
      </c>
      <c r="Q1469" s="8" t="str">
        <f>IFERROR(VLOOKUP(L1469,#REF!,4,0),"0,00")</f>
        <v>0,00</v>
      </c>
      <c r="R1469" s="9" t="s">
        <v>42</v>
      </c>
      <c r="S1469" s="9">
        <f>COUNTIF(D1469,"*_SEG_*")</f>
        <v>0</v>
      </c>
      <c r="T1469" s="9">
        <f>COUNTIF(D1469,"*_MAN_*")</f>
        <v>0</v>
      </c>
      <c r="U1469" s="9">
        <f>(RIGHT(D1469,4))*1</f>
        <v>90</v>
      </c>
      <c r="V1469" s="9" t="str">
        <f>IFERROR(VLOOKUP(I1469,#REF!,2,0),"Sinalização")</f>
        <v>Sinalização</v>
      </c>
    </row>
    <row r="1470" spans="1:22" x14ac:dyDescent="0.25">
      <c r="A1470" s="3" t="s">
        <v>22</v>
      </c>
      <c r="B1470" s="4">
        <v>20277658</v>
      </c>
      <c r="C1470" s="5" t="s">
        <v>23</v>
      </c>
      <c r="D1470" s="6" t="s">
        <v>31</v>
      </c>
      <c r="E1470" s="6" t="s">
        <v>25</v>
      </c>
      <c r="F1470" s="11">
        <v>46154</v>
      </c>
      <c r="G1470" s="6" t="s">
        <v>1079</v>
      </c>
      <c r="H1470" s="7"/>
      <c r="I1470" s="7" t="s">
        <v>35</v>
      </c>
      <c r="J1470" s="7" t="s">
        <v>34</v>
      </c>
      <c r="K1470" s="7" t="s">
        <v>29</v>
      </c>
      <c r="L1470" s="3" t="str">
        <f>E1470&amp;D1470</f>
        <v>E.SP.IPAEE_INS_SEG_C_I_CABO BL/INT SUBTER_1800</v>
      </c>
      <c r="M1470" s="3" t="str">
        <f>IFERROR(MID(D1470,SEARCH("S_I_",D1470,1),3),"")</f>
        <v/>
      </c>
      <c r="N1470" s="3" t="str">
        <f>IFERROR(MID(D1470,SEARCH("C_I_",D1470,1),3),"")</f>
        <v>C_I</v>
      </c>
      <c r="O1470" s="3" t="str">
        <f>IF(AND(M1470="",N1470=""),"Extra","")</f>
        <v/>
      </c>
      <c r="P1470" s="3" t="str">
        <f>IF(Q1470=0,"TERCEIRO","MRS")</f>
        <v>MRS</v>
      </c>
      <c r="Q1470" s="8" t="str">
        <f>IFERROR(VLOOKUP(L1470,#REF!,4,0),"0,00")</f>
        <v>0,00</v>
      </c>
      <c r="R1470" s="9" t="s">
        <v>30</v>
      </c>
      <c r="S1470" s="9">
        <f>COUNTIF(D1470,"*_SEG_*")</f>
        <v>1</v>
      </c>
      <c r="T1470" s="9">
        <f>COUNTIF(D1470,"*_MAN_*")</f>
        <v>0</v>
      </c>
      <c r="U1470" s="9">
        <f>(RIGHT(D1470,4))*1</f>
        <v>1800</v>
      </c>
      <c r="V1470" s="9" t="str">
        <f>IFERROR(VLOOKUP(I1470,#REF!,2,0),"Sinalização")</f>
        <v>Sinalização</v>
      </c>
    </row>
    <row r="1471" spans="1:22" x14ac:dyDescent="0.25">
      <c r="A1471" s="3" t="s">
        <v>22</v>
      </c>
      <c r="B1471" s="4">
        <v>20277669</v>
      </c>
      <c r="C1471" s="5" t="s">
        <v>23</v>
      </c>
      <c r="D1471" s="6" t="s">
        <v>31</v>
      </c>
      <c r="E1471" s="6" t="s">
        <v>25</v>
      </c>
      <c r="F1471" s="11">
        <v>46154</v>
      </c>
      <c r="G1471" s="6" t="s">
        <v>1079</v>
      </c>
      <c r="H1471" s="7"/>
      <c r="I1471" s="7" t="s">
        <v>36</v>
      </c>
      <c r="J1471" s="7" t="s">
        <v>34</v>
      </c>
      <c r="K1471" s="7" t="s">
        <v>29</v>
      </c>
      <c r="L1471" s="3" t="str">
        <f>E1471&amp;D1471</f>
        <v>E.SP.IPAEE_INS_SEG_C_I_CABO BL/INT SUBTER_1800</v>
      </c>
      <c r="M1471" s="3" t="str">
        <f>IFERROR(MID(D1471,SEARCH("S_I_",D1471,1),3),"")</f>
        <v/>
      </c>
      <c r="N1471" s="3" t="str">
        <f>IFERROR(MID(D1471,SEARCH("C_I_",D1471,1),3),"")</f>
        <v>C_I</v>
      </c>
      <c r="O1471" s="3" t="str">
        <f>IF(AND(M1471="",N1471=""),"Extra","")</f>
        <v/>
      </c>
      <c r="P1471" s="3" t="str">
        <f>IF(Q1471=0,"TERCEIRO","MRS")</f>
        <v>MRS</v>
      </c>
      <c r="Q1471" s="8" t="str">
        <f>IFERROR(VLOOKUP(L1471,#REF!,4,0),"0,00")</f>
        <v>0,00</v>
      </c>
      <c r="R1471" s="9" t="s">
        <v>30</v>
      </c>
      <c r="S1471" s="9">
        <f>COUNTIF(D1471,"*_SEG_*")</f>
        <v>1</v>
      </c>
      <c r="T1471" s="9">
        <f>COUNTIF(D1471,"*_MAN_*")</f>
        <v>0</v>
      </c>
      <c r="U1471" s="9">
        <f>(RIGHT(D1471,4))*1</f>
        <v>1800</v>
      </c>
      <c r="V1471" s="9" t="str">
        <f>IFERROR(VLOOKUP(I1471,#REF!,2,0),"Sinalização")</f>
        <v>Sinalização</v>
      </c>
    </row>
    <row r="1472" spans="1:22" x14ac:dyDescent="0.25">
      <c r="A1472" s="3" t="s">
        <v>22</v>
      </c>
      <c r="B1472" s="4">
        <v>23089830</v>
      </c>
      <c r="C1472" s="5" t="s">
        <v>23</v>
      </c>
      <c r="D1472" s="6" t="s">
        <v>187</v>
      </c>
      <c r="E1472" s="6" t="s">
        <v>25</v>
      </c>
      <c r="F1472" s="11">
        <v>46154</v>
      </c>
      <c r="G1472" s="6" t="s">
        <v>1079</v>
      </c>
      <c r="H1472" s="7"/>
      <c r="I1472" s="7" t="s">
        <v>297</v>
      </c>
      <c r="J1472" s="7" t="s">
        <v>189</v>
      </c>
      <c r="K1472" s="7" t="s">
        <v>29</v>
      </c>
      <c r="L1472" s="3" t="str">
        <f>E1472&amp;D1472</f>
        <v>E.SP.IPAEE_INS_SEG_C_I_MCH 110VCC GRS 55BR_0180</v>
      </c>
      <c r="M1472" s="3" t="str">
        <f>IFERROR(MID(D1472,SEARCH("S_I_",D1472,1),3),"")</f>
        <v/>
      </c>
      <c r="N1472" s="3" t="str">
        <f>IFERROR(MID(D1472,SEARCH("C_I_",D1472,1),3),"")</f>
        <v>C_I</v>
      </c>
      <c r="O1472" s="3" t="str">
        <f>IF(AND(M1472="",N1472=""),"Extra","")</f>
        <v/>
      </c>
      <c r="P1472" s="3" t="str">
        <f>IF(Q1472=0,"TERCEIRO","MRS")</f>
        <v>MRS</v>
      </c>
      <c r="Q1472" s="8" t="str">
        <f>IFERROR(VLOOKUP(L1472,#REF!,4,0),"0,00")</f>
        <v>0,00</v>
      </c>
      <c r="R1472" s="9" t="s">
        <v>30</v>
      </c>
      <c r="S1472" s="9">
        <f>COUNTIF(D1472,"*_SEG_*")</f>
        <v>1</v>
      </c>
      <c r="T1472" s="9">
        <f>COUNTIF(D1472,"*_MAN_*")</f>
        <v>0</v>
      </c>
      <c r="U1472" s="9">
        <f>(RIGHT(D1472,4))*1</f>
        <v>180</v>
      </c>
      <c r="V1472" s="9" t="str">
        <f>IFERROR(VLOOKUP(I1472,#REF!,2,0),"Sinalização")</f>
        <v>Sinalização</v>
      </c>
    </row>
    <row r="1473" spans="1:22" x14ac:dyDescent="0.25">
      <c r="A1473" s="3" t="s">
        <v>22</v>
      </c>
      <c r="B1473" s="4">
        <v>23089831</v>
      </c>
      <c r="C1473" s="5" t="s">
        <v>23</v>
      </c>
      <c r="D1473" s="6" t="s">
        <v>187</v>
      </c>
      <c r="E1473" s="6" t="s">
        <v>25</v>
      </c>
      <c r="F1473" s="11">
        <v>46154</v>
      </c>
      <c r="G1473" s="6" t="s">
        <v>1079</v>
      </c>
      <c r="H1473" s="7"/>
      <c r="I1473" s="7" t="s">
        <v>298</v>
      </c>
      <c r="J1473" s="7" t="s">
        <v>189</v>
      </c>
      <c r="K1473" s="7" t="s">
        <v>29</v>
      </c>
      <c r="L1473" s="3" t="str">
        <f>E1473&amp;D1473</f>
        <v>E.SP.IPAEE_INS_SEG_C_I_MCH 110VCC GRS 55BR_0180</v>
      </c>
      <c r="M1473" s="3" t="str">
        <f>IFERROR(MID(D1473,SEARCH("S_I_",D1473,1),3),"")</f>
        <v/>
      </c>
      <c r="N1473" s="3" t="str">
        <f>IFERROR(MID(D1473,SEARCH("C_I_",D1473,1),3),"")</f>
        <v>C_I</v>
      </c>
      <c r="O1473" s="3" t="str">
        <f>IF(AND(M1473="",N1473=""),"Extra","")</f>
        <v/>
      </c>
      <c r="P1473" s="3" t="str">
        <f>IF(Q1473=0,"TERCEIRO","MRS")</f>
        <v>MRS</v>
      </c>
      <c r="Q1473" s="8" t="str">
        <f>IFERROR(VLOOKUP(L1473,#REF!,4,0),"0,00")</f>
        <v>0,00</v>
      </c>
      <c r="R1473" s="9" t="s">
        <v>30</v>
      </c>
      <c r="S1473" s="9">
        <f>COUNTIF(D1473,"*_SEG_*")</f>
        <v>1</v>
      </c>
      <c r="T1473" s="9">
        <f>COUNTIF(D1473,"*_MAN_*")</f>
        <v>0</v>
      </c>
      <c r="U1473" s="9">
        <f>(RIGHT(D1473,4))*1</f>
        <v>180</v>
      </c>
      <c r="V1473" s="9" t="str">
        <f>IFERROR(VLOOKUP(I1473,#REF!,2,0),"Sinalização")</f>
        <v>Sinalização</v>
      </c>
    </row>
    <row r="1474" spans="1:22" x14ac:dyDescent="0.25">
      <c r="A1474" s="3" t="s">
        <v>22</v>
      </c>
      <c r="B1474" s="4">
        <v>23089832</v>
      </c>
      <c r="C1474" s="5" t="s">
        <v>23</v>
      </c>
      <c r="D1474" s="6" t="s">
        <v>187</v>
      </c>
      <c r="E1474" s="6" t="s">
        <v>25</v>
      </c>
      <c r="F1474" s="11">
        <v>46154</v>
      </c>
      <c r="G1474" s="6" t="s">
        <v>1079</v>
      </c>
      <c r="H1474" s="7"/>
      <c r="I1474" s="7" t="s">
        <v>299</v>
      </c>
      <c r="J1474" s="7" t="s">
        <v>189</v>
      </c>
      <c r="K1474" s="7" t="s">
        <v>29</v>
      </c>
      <c r="L1474" s="3" t="str">
        <f>E1474&amp;D1474</f>
        <v>E.SP.IPAEE_INS_SEG_C_I_MCH 110VCC GRS 55BR_0180</v>
      </c>
      <c r="M1474" s="3" t="str">
        <f>IFERROR(MID(D1474,SEARCH("S_I_",D1474,1),3),"")</f>
        <v/>
      </c>
      <c r="N1474" s="3" t="str">
        <f>IFERROR(MID(D1474,SEARCH("C_I_",D1474,1),3),"")</f>
        <v>C_I</v>
      </c>
      <c r="O1474" s="3" t="str">
        <f>IF(AND(M1474="",N1474=""),"Extra","")</f>
        <v/>
      </c>
      <c r="P1474" s="3" t="str">
        <f>IF(Q1474=0,"TERCEIRO","MRS")</f>
        <v>MRS</v>
      </c>
      <c r="Q1474" s="8" t="str">
        <f>IFERROR(VLOOKUP(L1474,#REF!,4,0),"0,00")</f>
        <v>0,00</v>
      </c>
      <c r="R1474" s="9" t="s">
        <v>30</v>
      </c>
      <c r="S1474" s="9">
        <f>COUNTIF(D1474,"*_SEG_*")</f>
        <v>1</v>
      </c>
      <c r="T1474" s="9">
        <f>COUNTIF(D1474,"*_MAN_*")</f>
        <v>0</v>
      </c>
      <c r="U1474" s="9">
        <f>(RIGHT(D1474,4))*1</f>
        <v>180</v>
      </c>
      <c r="V1474" s="9" t="str">
        <f>IFERROR(VLOOKUP(I1474,#REF!,2,0),"Sinalização")</f>
        <v>Sinalização</v>
      </c>
    </row>
    <row r="1475" spans="1:22" x14ac:dyDescent="0.25">
      <c r="A1475" s="3" t="s">
        <v>22</v>
      </c>
      <c r="B1475" s="4">
        <v>23089846</v>
      </c>
      <c r="C1475" s="5" t="s">
        <v>23</v>
      </c>
      <c r="D1475" s="6" t="s">
        <v>300</v>
      </c>
      <c r="E1475" s="6" t="s">
        <v>25</v>
      </c>
      <c r="F1475" s="11">
        <v>46154</v>
      </c>
      <c r="G1475" s="6" t="s">
        <v>1079</v>
      </c>
      <c r="H1475" s="7"/>
      <c r="I1475" s="7" t="s">
        <v>301</v>
      </c>
      <c r="J1475" s="7" t="s">
        <v>195</v>
      </c>
      <c r="K1475" s="7" t="s">
        <v>29</v>
      </c>
      <c r="L1475" s="3" t="str">
        <f>E1475&amp;D1475</f>
        <v>E.SP.IPAEE_INS_SEG_S_I_CDV DETETORA CA_0180</v>
      </c>
      <c r="M1475" s="3" t="str">
        <f>IFERROR(MID(D1475,SEARCH("S_I_",D1475,1),3),"")</f>
        <v>S_I</v>
      </c>
      <c r="N1475" s="3" t="str">
        <f>IFERROR(MID(D1475,SEARCH("C_I_",D1475,1),3),"")</f>
        <v/>
      </c>
      <c r="O1475" s="3" t="str">
        <f>IF(AND(M1475="",N1475=""),"Extra","")</f>
        <v/>
      </c>
      <c r="P1475" s="3" t="str">
        <f>IF(Q1475=0,"TERCEIRO","MRS")</f>
        <v>MRS</v>
      </c>
      <c r="Q1475" s="8" t="str">
        <f>IFERROR(VLOOKUP(L1475,#REF!,4,0),"0,00")</f>
        <v>0,00</v>
      </c>
      <c r="R1475" s="9" t="s">
        <v>30</v>
      </c>
      <c r="S1475" s="9">
        <f>COUNTIF(D1475,"*_SEG_*")</f>
        <v>1</v>
      </c>
      <c r="T1475" s="9">
        <f>COUNTIF(D1475,"*_MAN_*")</f>
        <v>0</v>
      </c>
      <c r="U1475" s="9">
        <f>(RIGHT(D1475,4))*1</f>
        <v>180</v>
      </c>
      <c r="V1475" s="9" t="str">
        <f>IFERROR(VLOOKUP(I1475,#REF!,2,0),"Sinalização")</f>
        <v>Sinalização</v>
      </c>
    </row>
    <row r="1476" spans="1:22" x14ac:dyDescent="0.25">
      <c r="A1476" s="3" t="s">
        <v>22</v>
      </c>
      <c r="B1476" s="4">
        <v>23089847</v>
      </c>
      <c r="C1476" s="5" t="s">
        <v>23</v>
      </c>
      <c r="D1476" s="6" t="s">
        <v>300</v>
      </c>
      <c r="E1476" s="6" t="s">
        <v>25</v>
      </c>
      <c r="F1476" s="11">
        <v>46154</v>
      </c>
      <c r="G1476" s="6" t="s">
        <v>1079</v>
      </c>
      <c r="H1476" s="7"/>
      <c r="I1476" s="7" t="s">
        <v>302</v>
      </c>
      <c r="J1476" s="7" t="s">
        <v>195</v>
      </c>
      <c r="K1476" s="7" t="s">
        <v>29</v>
      </c>
      <c r="L1476" s="3" t="str">
        <f>E1476&amp;D1476</f>
        <v>E.SP.IPAEE_INS_SEG_S_I_CDV DETETORA CA_0180</v>
      </c>
      <c r="M1476" s="3" t="str">
        <f>IFERROR(MID(D1476,SEARCH("S_I_",D1476,1),3),"")</f>
        <v>S_I</v>
      </c>
      <c r="N1476" s="3" t="str">
        <f>IFERROR(MID(D1476,SEARCH("C_I_",D1476,1),3),"")</f>
        <v/>
      </c>
      <c r="O1476" s="3" t="str">
        <f>IF(AND(M1476="",N1476=""),"Extra","")</f>
        <v/>
      </c>
      <c r="P1476" s="3" t="str">
        <f>IF(Q1476=0,"TERCEIRO","MRS")</f>
        <v>MRS</v>
      </c>
      <c r="Q1476" s="8" t="str">
        <f>IFERROR(VLOOKUP(L1476,#REF!,4,0),"0,00")</f>
        <v>0,00</v>
      </c>
      <c r="R1476" s="9" t="s">
        <v>30</v>
      </c>
      <c r="S1476" s="9">
        <f>COUNTIF(D1476,"*_SEG_*")</f>
        <v>1</v>
      </c>
      <c r="T1476" s="9">
        <f>COUNTIF(D1476,"*_MAN_*")</f>
        <v>0</v>
      </c>
      <c r="U1476" s="9">
        <f>(RIGHT(D1476,4))*1</f>
        <v>180</v>
      </c>
      <c r="V1476" s="9" t="str">
        <f>IFERROR(VLOOKUP(I1476,#REF!,2,0),"Sinalização")</f>
        <v>Sinalização</v>
      </c>
    </row>
    <row r="1477" spans="1:22" x14ac:dyDescent="0.25">
      <c r="A1477" s="3" t="s">
        <v>22</v>
      </c>
      <c r="B1477" s="4">
        <v>23089853</v>
      </c>
      <c r="C1477" s="5" t="s">
        <v>23</v>
      </c>
      <c r="D1477" s="6" t="s">
        <v>303</v>
      </c>
      <c r="E1477" s="6" t="s">
        <v>25</v>
      </c>
      <c r="F1477" s="11">
        <v>46154</v>
      </c>
      <c r="G1477" s="6" t="s">
        <v>1079</v>
      </c>
      <c r="H1477" s="7"/>
      <c r="I1477" s="7" t="s">
        <v>175</v>
      </c>
      <c r="J1477" s="7" t="s">
        <v>257</v>
      </c>
      <c r="K1477" s="7" t="s">
        <v>29</v>
      </c>
      <c r="L1477" s="3" t="str">
        <f>E1477&amp;D1477</f>
        <v>E.SP.IPAEE_INS_CONF_S_I_MAQ CHAVE M2/M3_0180</v>
      </c>
      <c r="M1477" s="3" t="str">
        <f>IFERROR(MID(D1477,SEARCH("S_I_",D1477,1),3),"")</f>
        <v>S_I</v>
      </c>
      <c r="N1477" s="3" t="str">
        <f>IFERROR(MID(D1477,SEARCH("C_I_",D1477,1),3),"")</f>
        <v/>
      </c>
      <c r="O1477" s="3" t="str">
        <f>IF(AND(M1477="",N1477=""),"Extra","")</f>
        <v/>
      </c>
      <c r="P1477" s="3" t="str">
        <f>IF(Q1477=0,"TERCEIRO","MRS")</f>
        <v>MRS</v>
      </c>
      <c r="Q1477" s="8" t="str">
        <f>IFERROR(VLOOKUP(L1477,#REF!,4,0),"0,00")</f>
        <v>0,00</v>
      </c>
      <c r="R1477" s="9" t="s">
        <v>42</v>
      </c>
      <c r="S1477" s="9">
        <f>COUNTIF(D1477,"*_SEG_*")</f>
        <v>0</v>
      </c>
      <c r="T1477" s="9">
        <f>COUNTIF(D1477,"*_MAN_*")</f>
        <v>0</v>
      </c>
      <c r="U1477" s="9">
        <f>(RIGHT(D1477,4))*1</f>
        <v>180</v>
      </c>
      <c r="V1477" s="9" t="str">
        <f>IFERROR(VLOOKUP(I1477,#REF!,2,0),"Sinalização")</f>
        <v>Sinalização</v>
      </c>
    </row>
    <row r="1478" spans="1:22" x14ac:dyDescent="0.25">
      <c r="A1478" s="3" t="s">
        <v>22</v>
      </c>
      <c r="B1478" s="4">
        <v>23089854</v>
      </c>
      <c r="C1478" s="5" t="s">
        <v>23</v>
      </c>
      <c r="D1478" s="6" t="s">
        <v>303</v>
      </c>
      <c r="E1478" s="6" t="s">
        <v>25</v>
      </c>
      <c r="F1478" s="11">
        <v>46154</v>
      </c>
      <c r="G1478" s="6" t="s">
        <v>1079</v>
      </c>
      <c r="H1478" s="7"/>
      <c r="I1478" s="7" t="s">
        <v>304</v>
      </c>
      <c r="J1478" s="7" t="s">
        <v>257</v>
      </c>
      <c r="K1478" s="7" t="s">
        <v>29</v>
      </c>
      <c r="L1478" s="3" t="str">
        <f>E1478&amp;D1478</f>
        <v>E.SP.IPAEE_INS_CONF_S_I_MAQ CHAVE M2/M3_0180</v>
      </c>
      <c r="M1478" s="3" t="str">
        <f>IFERROR(MID(D1478,SEARCH("S_I_",D1478,1),3),"")</f>
        <v>S_I</v>
      </c>
      <c r="N1478" s="3" t="str">
        <f>IFERROR(MID(D1478,SEARCH("C_I_",D1478,1),3),"")</f>
        <v/>
      </c>
      <c r="O1478" s="3" t="str">
        <f>IF(AND(M1478="",N1478=""),"Extra","")</f>
        <v/>
      </c>
      <c r="P1478" s="3" t="str">
        <f>IF(Q1478=0,"TERCEIRO","MRS")</f>
        <v>MRS</v>
      </c>
      <c r="Q1478" s="8" t="str">
        <f>IFERROR(VLOOKUP(L1478,#REF!,4,0),"0,00")</f>
        <v>0,00</v>
      </c>
      <c r="R1478" s="9" t="s">
        <v>42</v>
      </c>
      <c r="S1478" s="9">
        <f>COUNTIF(D1478,"*_SEG_*")</f>
        <v>0</v>
      </c>
      <c r="T1478" s="9">
        <f>COUNTIF(D1478,"*_MAN_*")</f>
        <v>0</v>
      </c>
      <c r="U1478" s="9">
        <f>(RIGHT(D1478,4))*1</f>
        <v>180</v>
      </c>
      <c r="V1478" s="9" t="str">
        <f>IFERROR(VLOOKUP(I1478,#REF!,2,0),"Sinalização")</f>
        <v>Sinalização</v>
      </c>
    </row>
    <row r="1479" spans="1:22" x14ac:dyDescent="0.25">
      <c r="A1479" s="3" t="s">
        <v>22</v>
      </c>
      <c r="B1479" s="4">
        <v>23089855</v>
      </c>
      <c r="C1479" s="5" t="s">
        <v>23</v>
      </c>
      <c r="D1479" s="6" t="s">
        <v>303</v>
      </c>
      <c r="E1479" s="6" t="s">
        <v>25</v>
      </c>
      <c r="F1479" s="11">
        <v>46154</v>
      </c>
      <c r="G1479" s="6" t="s">
        <v>1079</v>
      </c>
      <c r="H1479" s="7"/>
      <c r="I1479" s="7" t="s">
        <v>305</v>
      </c>
      <c r="J1479" s="7" t="s">
        <v>257</v>
      </c>
      <c r="K1479" s="7" t="s">
        <v>29</v>
      </c>
      <c r="L1479" s="3" t="str">
        <f>E1479&amp;D1479</f>
        <v>E.SP.IPAEE_INS_CONF_S_I_MAQ CHAVE M2/M3_0180</v>
      </c>
      <c r="M1479" s="3" t="str">
        <f>IFERROR(MID(D1479,SEARCH("S_I_",D1479,1),3),"")</f>
        <v>S_I</v>
      </c>
      <c r="N1479" s="3" t="str">
        <f>IFERROR(MID(D1479,SEARCH("C_I_",D1479,1),3),"")</f>
        <v/>
      </c>
      <c r="O1479" s="3" t="str">
        <f>IF(AND(M1479="",N1479=""),"Extra","")</f>
        <v/>
      </c>
      <c r="P1479" s="3" t="str">
        <f>IF(Q1479=0,"TERCEIRO","MRS")</f>
        <v>MRS</v>
      </c>
      <c r="Q1479" s="8" t="str">
        <f>IFERROR(VLOOKUP(L1479,#REF!,4,0),"0,00")</f>
        <v>0,00</v>
      </c>
      <c r="R1479" s="9" t="s">
        <v>42</v>
      </c>
      <c r="S1479" s="9">
        <f>COUNTIF(D1479,"*_SEG_*")</f>
        <v>0</v>
      </c>
      <c r="T1479" s="9">
        <f>COUNTIF(D1479,"*_MAN_*")</f>
        <v>0</v>
      </c>
      <c r="U1479" s="9">
        <f>(RIGHT(D1479,4))*1</f>
        <v>180</v>
      </c>
      <c r="V1479" s="9" t="str">
        <f>IFERROR(VLOOKUP(I1479,#REF!,2,0),"Sinalização")</f>
        <v>Sinalização</v>
      </c>
    </row>
    <row r="1480" spans="1:22" x14ac:dyDescent="0.25">
      <c r="A1480" s="3" t="s">
        <v>22</v>
      </c>
      <c r="B1480" s="4">
        <v>23089856</v>
      </c>
      <c r="C1480" s="5" t="s">
        <v>23</v>
      </c>
      <c r="D1480" s="6" t="s">
        <v>303</v>
      </c>
      <c r="E1480" s="6" t="s">
        <v>25</v>
      </c>
      <c r="F1480" s="11">
        <v>46154</v>
      </c>
      <c r="G1480" s="6" t="s">
        <v>1079</v>
      </c>
      <c r="H1480" s="7"/>
      <c r="I1480" s="7" t="s">
        <v>306</v>
      </c>
      <c r="J1480" s="7" t="s">
        <v>257</v>
      </c>
      <c r="K1480" s="7" t="s">
        <v>29</v>
      </c>
      <c r="L1480" s="3" t="str">
        <f>E1480&amp;D1480</f>
        <v>E.SP.IPAEE_INS_CONF_S_I_MAQ CHAVE M2/M3_0180</v>
      </c>
      <c r="M1480" s="3" t="str">
        <f>IFERROR(MID(D1480,SEARCH("S_I_",D1480,1),3),"")</f>
        <v>S_I</v>
      </c>
      <c r="N1480" s="3" t="str">
        <f>IFERROR(MID(D1480,SEARCH("C_I_",D1480,1),3),"")</f>
        <v/>
      </c>
      <c r="O1480" s="3" t="str">
        <f>IF(AND(M1480="",N1480=""),"Extra","")</f>
        <v/>
      </c>
      <c r="P1480" s="3" t="str">
        <f>IF(Q1480=0,"TERCEIRO","MRS")</f>
        <v>MRS</v>
      </c>
      <c r="Q1480" s="8" t="str">
        <f>IFERROR(VLOOKUP(L1480,#REF!,4,0),"0,00")</f>
        <v>0,00</v>
      </c>
      <c r="R1480" s="9" t="s">
        <v>42</v>
      </c>
      <c r="S1480" s="9">
        <f>COUNTIF(D1480,"*_SEG_*")</f>
        <v>0</v>
      </c>
      <c r="T1480" s="9">
        <f>COUNTIF(D1480,"*_MAN_*")</f>
        <v>0</v>
      </c>
      <c r="U1480" s="9">
        <f>(RIGHT(D1480,4))*1</f>
        <v>180</v>
      </c>
      <c r="V1480" s="9" t="str">
        <f>IFERROR(VLOOKUP(I1480,#REF!,2,0),"Sinalização")</f>
        <v>Sinalização</v>
      </c>
    </row>
    <row r="1481" spans="1:22" x14ac:dyDescent="0.25">
      <c r="A1481" s="3" t="s">
        <v>22</v>
      </c>
      <c r="B1481" s="4">
        <v>23089877</v>
      </c>
      <c r="C1481" s="5" t="s">
        <v>23</v>
      </c>
      <c r="D1481" s="6" t="s">
        <v>193</v>
      </c>
      <c r="E1481" s="6" t="s">
        <v>25</v>
      </c>
      <c r="F1481" s="11">
        <v>46154</v>
      </c>
      <c r="G1481" s="6" t="s">
        <v>1079</v>
      </c>
      <c r="H1481" s="7"/>
      <c r="I1481" s="7" t="s">
        <v>307</v>
      </c>
      <c r="J1481" s="7" t="s">
        <v>195</v>
      </c>
      <c r="K1481" s="7" t="s">
        <v>29</v>
      </c>
      <c r="L1481" s="3" t="str">
        <f>E1481&amp;D1481</f>
        <v>E.SP.IPAEE_INS_SEG_S_I_CIRCUITO VIA CA_0180</v>
      </c>
      <c r="M1481" s="3" t="str">
        <f>IFERROR(MID(D1481,SEARCH("S_I_",D1481,1),3),"")</f>
        <v>S_I</v>
      </c>
      <c r="N1481" s="3" t="str">
        <f>IFERROR(MID(D1481,SEARCH("C_I_",D1481,1),3),"")</f>
        <v/>
      </c>
      <c r="O1481" s="3" t="str">
        <f>IF(AND(M1481="",N1481=""),"Extra","")</f>
        <v/>
      </c>
      <c r="P1481" s="3" t="str">
        <f>IF(Q1481=0,"TERCEIRO","MRS")</f>
        <v>MRS</v>
      </c>
      <c r="Q1481" s="8" t="str">
        <f>IFERROR(VLOOKUP(L1481,#REF!,4,0),"0,00")</f>
        <v>0,00</v>
      </c>
      <c r="R1481" s="9" t="s">
        <v>30</v>
      </c>
      <c r="S1481" s="9">
        <f>COUNTIF(D1481,"*_SEG_*")</f>
        <v>1</v>
      </c>
      <c r="T1481" s="9">
        <f>COUNTIF(D1481,"*_MAN_*")</f>
        <v>0</v>
      </c>
      <c r="U1481" s="9">
        <f>(RIGHT(D1481,4))*1</f>
        <v>180</v>
      </c>
      <c r="V1481" s="9" t="str">
        <f>IFERROR(VLOOKUP(I1481,#REF!,2,0),"Sinalização")</f>
        <v>Sinalização</v>
      </c>
    </row>
    <row r="1482" spans="1:22" x14ac:dyDescent="0.25">
      <c r="A1482" s="3" t="s">
        <v>22</v>
      </c>
      <c r="B1482" s="4">
        <v>23089878</v>
      </c>
      <c r="C1482" s="5" t="s">
        <v>23</v>
      </c>
      <c r="D1482" s="6" t="s">
        <v>193</v>
      </c>
      <c r="E1482" s="6" t="s">
        <v>25</v>
      </c>
      <c r="F1482" s="11">
        <v>46154</v>
      </c>
      <c r="G1482" s="6" t="s">
        <v>1079</v>
      </c>
      <c r="H1482" s="7"/>
      <c r="I1482" s="7" t="s">
        <v>308</v>
      </c>
      <c r="J1482" s="7" t="s">
        <v>195</v>
      </c>
      <c r="K1482" s="7" t="s">
        <v>29</v>
      </c>
      <c r="L1482" s="3" t="str">
        <f>E1482&amp;D1482</f>
        <v>E.SP.IPAEE_INS_SEG_S_I_CIRCUITO VIA CA_0180</v>
      </c>
      <c r="M1482" s="3" t="str">
        <f>IFERROR(MID(D1482,SEARCH("S_I_",D1482,1),3),"")</f>
        <v>S_I</v>
      </c>
      <c r="N1482" s="3" t="str">
        <f>IFERROR(MID(D1482,SEARCH("C_I_",D1482,1),3),"")</f>
        <v/>
      </c>
      <c r="O1482" s="3" t="str">
        <f>IF(AND(M1482="",N1482=""),"Extra","")</f>
        <v/>
      </c>
      <c r="P1482" s="3" t="str">
        <f>IF(Q1482=0,"TERCEIRO","MRS")</f>
        <v>MRS</v>
      </c>
      <c r="Q1482" s="8" t="str">
        <f>IFERROR(VLOOKUP(L1482,#REF!,4,0),"0,00")</f>
        <v>0,00</v>
      </c>
      <c r="R1482" s="9" t="s">
        <v>30</v>
      </c>
      <c r="S1482" s="9">
        <f>COUNTIF(D1482,"*_SEG_*")</f>
        <v>1</v>
      </c>
      <c r="T1482" s="9">
        <f>COUNTIF(D1482,"*_MAN_*")</f>
        <v>0</v>
      </c>
      <c r="U1482" s="9">
        <f>(RIGHT(D1482,4))*1</f>
        <v>180</v>
      </c>
      <c r="V1482" s="9" t="str">
        <f>IFERROR(VLOOKUP(I1482,#REF!,2,0),"Sinalização")</f>
        <v>Sinalização</v>
      </c>
    </row>
    <row r="1483" spans="1:22" x14ac:dyDescent="0.25">
      <c r="A1483" s="3" t="s">
        <v>22</v>
      </c>
      <c r="B1483" s="4">
        <v>23089943</v>
      </c>
      <c r="C1483" s="5" t="s">
        <v>23</v>
      </c>
      <c r="D1483" s="6" t="s">
        <v>236</v>
      </c>
      <c r="E1483" s="6" t="s">
        <v>25</v>
      </c>
      <c r="F1483" s="11">
        <v>46154</v>
      </c>
      <c r="G1483" s="6" t="s">
        <v>1079</v>
      </c>
      <c r="H1483" s="7"/>
      <c r="I1483" s="7" t="s">
        <v>309</v>
      </c>
      <c r="J1483" s="7" t="s">
        <v>237</v>
      </c>
      <c r="K1483" s="7" t="s">
        <v>29</v>
      </c>
      <c r="L1483" s="3" t="str">
        <f>E1483&amp;D1483</f>
        <v>E.SP.IPAEE_INS_CONF_S_I_SINAL L UNIFO CONT_0180</v>
      </c>
      <c r="M1483" s="3" t="str">
        <f>IFERROR(MID(D1483,SEARCH("S_I_",D1483,1),3),"")</f>
        <v>S_I</v>
      </c>
      <c r="N1483" s="3" t="str">
        <f>IFERROR(MID(D1483,SEARCH("C_I_",D1483,1),3),"")</f>
        <v/>
      </c>
      <c r="O1483" s="3" t="str">
        <f>IF(AND(M1483="",N1483=""),"Extra","")</f>
        <v/>
      </c>
      <c r="P1483" s="3" t="str">
        <f>IF(Q1483=0,"TERCEIRO","MRS")</f>
        <v>MRS</v>
      </c>
      <c r="Q1483" s="8" t="str">
        <f>IFERROR(VLOOKUP(L1483,#REF!,4,0),"0,00")</f>
        <v>0,00</v>
      </c>
      <c r="R1483" s="9" t="s">
        <v>98</v>
      </c>
      <c r="S1483" s="9">
        <f>COUNTIF(D1483,"*_SEG_*")</f>
        <v>0</v>
      </c>
      <c r="T1483" s="9">
        <f>COUNTIF(D1483,"*_MAN_*")</f>
        <v>0</v>
      </c>
      <c r="U1483" s="9">
        <f>(RIGHT(D1483,4))*1</f>
        <v>180</v>
      </c>
      <c r="V1483" s="9" t="str">
        <f>IFERROR(VLOOKUP(I1483,#REF!,2,0),"Sinalização")</f>
        <v>Sinalização</v>
      </c>
    </row>
    <row r="1484" spans="1:22" x14ac:dyDescent="0.25">
      <c r="A1484" s="3" t="s">
        <v>22</v>
      </c>
      <c r="B1484" s="4">
        <v>23089947</v>
      </c>
      <c r="C1484" s="5" t="s">
        <v>23</v>
      </c>
      <c r="D1484" s="6" t="s">
        <v>206</v>
      </c>
      <c r="E1484" s="6" t="s">
        <v>25</v>
      </c>
      <c r="F1484" s="11">
        <v>46154</v>
      </c>
      <c r="G1484" s="6" t="s">
        <v>1079</v>
      </c>
      <c r="H1484" s="7"/>
      <c r="I1484" s="7" t="s">
        <v>310</v>
      </c>
      <c r="J1484" s="7" t="s">
        <v>208</v>
      </c>
      <c r="K1484" s="7" t="s">
        <v>29</v>
      </c>
      <c r="L1484" s="3" t="str">
        <f>E1484&amp;D1484</f>
        <v>E.SP.IPAEE_INS_CONF_S_I_IAS_0180</v>
      </c>
      <c r="M1484" s="3" t="str">
        <f>IFERROR(MID(D1484,SEARCH("S_I_",D1484,1),3),"")</f>
        <v>S_I</v>
      </c>
      <c r="N1484" s="3" t="str">
        <f>IFERROR(MID(D1484,SEARCH("C_I_",D1484,1),3),"")</f>
        <v/>
      </c>
      <c r="O1484" s="3" t="str">
        <f>IF(AND(M1484="",N1484=""),"Extra","")</f>
        <v/>
      </c>
      <c r="P1484" s="3" t="str">
        <f>IF(Q1484=0,"TERCEIRO","MRS")</f>
        <v>MRS</v>
      </c>
      <c r="Q1484" s="8" t="str">
        <f>IFERROR(VLOOKUP(L1484,#REF!,4,0),"0,00")</f>
        <v>0,00</v>
      </c>
      <c r="R1484" s="9" t="s">
        <v>42</v>
      </c>
      <c r="S1484" s="9">
        <f>COUNTIF(D1484,"*_SEG_*")</f>
        <v>0</v>
      </c>
      <c r="T1484" s="9">
        <f>COUNTIF(D1484,"*_MAN_*")</f>
        <v>0</v>
      </c>
      <c r="U1484" s="9">
        <f>(RIGHT(D1484,4))*1</f>
        <v>180</v>
      </c>
      <c r="V1484" s="9" t="str">
        <f>IFERROR(VLOOKUP(I1484,#REF!,2,0),"Sinalização")</f>
        <v>Sinalização</v>
      </c>
    </row>
    <row r="1485" spans="1:22" x14ac:dyDescent="0.25">
      <c r="A1485" s="3" t="s">
        <v>22</v>
      </c>
      <c r="B1485" s="4">
        <v>23089957</v>
      </c>
      <c r="C1485" s="5" t="s">
        <v>23</v>
      </c>
      <c r="D1485" s="6" t="s">
        <v>206</v>
      </c>
      <c r="E1485" s="6" t="s">
        <v>25</v>
      </c>
      <c r="F1485" s="11">
        <v>46154</v>
      </c>
      <c r="G1485" s="6" t="s">
        <v>1079</v>
      </c>
      <c r="H1485" s="7"/>
      <c r="I1485" s="7" t="s">
        <v>311</v>
      </c>
      <c r="J1485" s="7" t="s">
        <v>208</v>
      </c>
      <c r="K1485" s="7" t="s">
        <v>29</v>
      </c>
      <c r="L1485" s="3" t="str">
        <f>E1485&amp;D1485</f>
        <v>E.SP.IPAEE_INS_CONF_S_I_IAS_0180</v>
      </c>
      <c r="M1485" s="3" t="str">
        <f>IFERROR(MID(D1485,SEARCH("S_I_",D1485,1),3),"")</f>
        <v>S_I</v>
      </c>
      <c r="N1485" s="3" t="str">
        <f>IFERROR(MID(D1485,SEARCH("C_I_",D1485,1),3),"")</f>
        <v/>
      </c>
      <c r="O1485" s="3" t="str">
        <f>IF(AND(M1485="",N1485=""),"Extra","")</f>
        <v/>
      </c>
      <c r="P1485" s="3" t="str">
        <f>IF(Q1485=0,"TERCEIRO","MRS")</f>
        <v>MRS</v>
      </c>
      <c r="Q1485" s="8" t="str">
        <f>IFERROR(VLOOKUP(L1485,#REF!,4,0),"0,00")</f>
        <v>0,00</v>
      </c>
      <c r="R1485" s="9" t="s">
        <v>42</v>
      </c>
      <c r="S1485" s="9">
        <f>COUNTIF(D1485,"*_SEG_*")</f>
        <v>0</v>
      </c>
      <c r="T1485" s="9">
        <f>COUNTIF(D1485,"*_MAN_*")</f>
        <v>0</v>
      </c>
      <c r="U1485" s="9">
        <f>(RIGHT(D1485,4))*1</f>
        <v>180</v>
      </c>
      <c r="V1485" s="9" t="str">
        <f>IFERROR(VLOOKUP(I1485,#REF!,2,0),"Sinalização")</f>
        <v>Sinalização</v>
      </c>
    </row>
    <row r="1486" spans="1:22" x14ac:dyDescent="0.25">
      <c r="A1486" s="3" t="s">
        <v>22</v>
      </c>
      <c r="B1486" s="4">
        <v>23089959</v>
      </c>
      <c r="C1486" s="5" t="s">
        <v>23</v>
      </c>
      <c r="D1486" s="6" t="s">
        <v>206</v>
      </c>
      <c r="E1486" s="6" t="s">
        <v>25</v>
      </c>
      <c r="F1486" s="11">
        <v>46154</v>
      </c>
      <c r="G1486" s="6" t="s">
        <v>1079</v>
      </c>
      <c r="H1486" s="7"/>
      <c r="I1486" s="7" t="s">
        <v>312</v>
      </c>
      <c r="J1486" s="7" t="s">
        <v>208</v>
      </c>
      <c r="K1486" s="7" t="s">
        <v>29</v>
      </c>
      <c r="L1486" s="3" t="str">
        <f>E1486&amp;D1486</f>
        <v>E.SP.IPAEE_INS_CONF_S_I_IAS_0180</v>
      </c>
      <c r="M1486" s="3" t="str">
        <f>IFERROR(MID(D1486,SEARCH("S_I_",D1486,1),3),"")</f>
        <v>S_I</v>
      </c>
      <c r="N1486" s="3" t="str">
        <f>IFERROR(MID(D1486,SEARCH("C_I_",D1486,1),3),"")</f>
        <v/>
      </c>
      <c r="O1486" s="3" t="str">
        <f>IF(AND(M1486="",N1486=""),"Extra","")</f>
        <v/>
      </c>
      <c r="P1486" s="3" t="str">
        <f>IF(Q1486=0,"TERCEIRO","MRS")</f>
        <v>MRS</v>
      </c>
      <c r="Q1486" s="8" t="str">
        <f>IFERROR(VLOOKUP(L1486,#REF!,4,0),"0,00")</f>
        <v>0,00</v>
      </c>
      <c r="R1486" s="9" t="s">
        <v>42</v>
      </c>
      <c r="S1486" s="9">
        <f>COUNTIF(D1486,"*_SEG_*")</f>
        <v>0</v>
      </c>
      <c r="T1486" s="9">
        <f>COUNTIF(D1486,"*_MAN_*")</f>
        <v>0</v>
      </c>
      <c r="U1486" s="9">
        <f>(RIGHT(D1486,4))*1</f>
        <v>180</v>
      </c>
      <c r="V1486" s="9" t="str">
        <f>IFERROR(VLOOKUP(I1486,#REF!,2,0),"Sinalização")</f>
        <v>Sinalização</v>
      </c>
    </row>
    <row r="1487" spans="1:22" x14ac:dyDescent="0.25">
      <c r="A1487" s="3" t="s">
        <v>22</v>
      </c>
      <c r="B1487" s="4">
        <v>23089960</v>
      </c>
      <c r="C1487" s="5" t="s">
        <v>23</v>
      </c>
      <c r="D1487" s="6" t="s">
        <v>206</v>
      </c>
      <c r="E1487" s="6" t="s">
        <v>25</v>
      </c>
      <c r="F1487" s="11">
        <v>46154</v>
      </c>
      <c r="G1487" s="6" t="s">
        <v>1079</v>
      </c>
      <c r="H1487" s="7"/>
      <c r="I1487" s="7" t="s">
        <v>313</v>
      </c>
      <c r="J1487" s="7" t="s">
        <v>208</v>
      </c>
      <c r="K1487" s="7" t="s">
        <v>29</v>
      </c>
      <c r="L1487" s="3" t="str">
        <f>E1487&amp;D1487</f>
        <v>E.SP.IPAEE_INS_CONF_S_I_IAS_0180</v>
      </c>
      <c r="M1487" s="3" t="str">
        <f>IFERROR(MID(D1487,SEARCH("S_I_",D1487,1),3),"")</f>
        <v>S_I</v>
      </c>
      <c r="N1487" s="3" t="str">
        <f>IFERROR(MID(D1487,SEARCH("C_I_",D1487,1),3),"")</f>
        <v/>
      </c>
      <c r="O1487" s="3" t="str">
        <f>IF(AND(M1487="",N1487=""),"Extra","")</f>
        <v/>
      </c>
      <c r="P1487" s="3" t="str">
        <f>IF(Q1487=0,"TERCEIRO","MRS")</f>
        <v>MRS</v>
      </c>
      <c r="Q1487" s="8" t="str">
        <f>IFERROR(VLOOKUP(L1487,#REF!,4,0),"0,00")</f>
        <v>0,00</v>
      </c>
      <c r="R1487" s="9" t="s">
        <v>42</v>
      </c>
      <c r="S1487" s="9">
        <f>COUNTIF(D1487,"*_SEG_*")</f>
        <v>0</v>
      </c>
      <c r="T1487" s="9">
        <f>COUNTIF(D1487,"*_MAN_*")</f>
        <v>0</v>
      </c>
      <c r="U1487" s="9">
        <f>(RIGHT(D1487,4))*1</f>
        <v>180</v>
      </c>
      <c r="V1487" s="9" t="str">
        <f>IFERROR(VLOOKUP(I1487,#REF!,2,0),"Sinalização")</f>
        <v>Sinalização</v>
      </c>
    </row>
    <row r="1488" spans="1:22" x14ac:dyDescent="0.25">
      <c r="A1488" s="3" t="s">
        <v>22</v>
      </c>
      <c r="B1488" s="4">
        <v>23089961</v>
      </c>
      <c r="C1488" s="5" t="s">
        <v>23</v>
      </c>
      <c r="D1488" s="6" t="s">
        <v>206</v>
      </c>
      <c r="E1488" s="6" t="s">
        <v>25</v>
      </c>
      <c r="F1488" s="11">
        <v>46154</v>
      </c>
      <c r="G1488" s="6" t="s">
        <v>1079</v>
      </c>
      <c r="H1488" s="7"/>
      <c r="I1488" s="7" t="s">
        <v>314</v>
      </c>
      <c r="J1488" s="7" t="s">
        <v>208</v>
      </c>
      <c r="K1488" s="7" t="s">
        <v>29</v>
      </c>
      <c r="L1488" s="3" t="str">
        <f>E1488&amp;D1488</f>
        <v>E.SP.IPAEE_INS_CONF_S_I_IAS_0180</v>
      </c>
      <c r="M1488" s="3" t="str">
        <f>IFERROR(MID(D1488,SEARCH("S_I_",D1488,1),3),"")</f>
        <v>S_I</v>
      </c>
      <c r="N1488" s="3" t="str">
        <f>IFERROR(MID(D1488,SEARCH("C_I_",D1488,1),3),"")</f>
        <v/>
      </c>
      <c r="O1488" s="3" t="str">
        <f>IF(AND(M1488="",N1488=""),"Extra","")</f>
        <v/>
      </c>
      <c r="P1488" s="3" t="str">
        <f>IF(Q1488=0,"TERCEIRO","MRS")</f>
        <v>MRS</v>
      </c>
      <c r="Q1488" s="8" t="str">
        <f>IFERROR(VLOOKUP(L1488,#REF!,4,0),"0,00")</f>
        <v>0,00</v>
      </c>
      <c r="R1488" s="9" t="s">
        <v>42</v>
      </c>
      <c r="S1488" s="9">
        <f>COUNTIF(D1488,"*_SEG_*")</f>
        <v>0</v>
      </c>
      <c r="T1488" s="9">
        <f>COUNTIF(D1488,"*_MAN_*")</f>
        <v>0</v>
      </c>
      <c r="U1488" s="9">
        <f>(RIGHT(D1488,4))*1</f>
        <v>180</v>
      </c>
      <c r="V1488" s="9" t="str">
        <f>IFERROR(VLOOKUP(I1488,#REF!,2,0),"Sinalização")</f>
        <v>Sinalização</v>
      </c>
    </row>
    <row r="1489" spans="1:22" x14ac:dyDescent="0.25">
      <c r="A1489" s="3" t="s">
        <v>22</v>
      </c>
      <c r="B1489" s="4">
        <v>23089964</v>
      </c>
      <c r="C1489" s="5" t="s">
        <v>23</v>
      </c>
      <c r="D1489" s="6" t="s">
        <v>206</v>
      </c>
      <c r="E1489" s="6" t="s">
        <v>25</v>
      </c>
      <c r="F1489" s="11">
        <v>46154</v>
      </c>
      <c r="G1489" s="6" t="s">
        <v>1079</v>
      </c>
      <c r="H1489" s="7"/>
      <c r="I1489" s="7" t="s">
        <v>315</v>
      </c>
      <c r="J1489" s="7" t="s">
        <v>208</v>
      </c>
      <c r="K1489" s="7" t="s">
        <v>29</v>
      </c>
      <c r="L1489" s="3" t="str">
        <f>E1489&amp;D1489</f>
        <v>E.SP.IPAEE_INS_CONF_S_I_IAS_0180</v>
      </c>
      <c r="M1489" s="3" t="str">
        <f>IFERROR(MID(D1489,SEARCH("S_I_",D1489,1),3),"")</f>
        <v>S_I</v>
      </c>
      <c r="N1489" s="3" t="str">
        <f>IFERROR(MID(D1489,SEARCH("C_I_",D1489,1),3),"")</f>
        <v/>
      </c>
      <c r="O1489" s="3" t="str">
        <f>IF(AND(M1489="",N1489=""),"Extra","")</f>
        <v/>
      </c>
      <c r="P1489" s="3" t="str">
        <f>IF(Q1489=0,"TERCEIRO","MRS")</f>
        <v>MRS</v>
      </c>
      <c r="Q1489" s="8" t="str">
        <f>IFERROR(VLOOKUP(L1489,#REF!,4,0),"0,00")</f>
        <v>0,00</v>
      </c>
      <c r="R1489" s="9" t="s">
        <v>42</v>
      </c>
      <c r="S1489" s="9">
        <f>COUNTIF(D1489,"*_SEG_*")</f>
        <v>0</v>
      </c>
      <c r="T1489" s="9">
        <f>COUNTIF(D1489,"*_MAN_*")</f>
        <v>0</v>
      </c>
      <c r="U1489" s="9">
        <f>(RIGHT(D1489,4))*1</f>
        <v>180</v>
      </c>
      <c r="V1489" s="9" t="str">
        <f>IFERROR(VLOOKUP(I1489,#REF!,2,0),"Sinalização")</f>
        <v>Sinalização</v>
      </c>
    </row>
    <row r="1490" spans="1:22" x14ac:dyDescent="0.25">
      <c r="A1490" s="3" t="s">
        <v>22</v>
      </c>
      <c r="B1490" s="4">
        <v>23089966</v>
      </c>
      <c r="C1490" s="5" t="s">
        <v>23</v>
      </c>
      <c r="D1490" s="6" t="s">
        <v>206</v>
      </c>
      <c r="E1490" s="6" t="s">
        <v>25</v>
      </c>
      <c r="F1490" s="11">
        <v>46154</v>
      </c>
      <c r="G1490" s="6" t="s">
        <v>1079</v>
      </c>
      <c r="H1490" s="7"/>
      <c r="I1490" s="7" t="s">
        <v>316</v>
      </c>
      <c r="J1490" s="7" t="s">
        <v>208</v>
      </c>
      <c r="K1490" s="7" t="s">
        <v>29</v>
      </c>
      <c r="L1490" s="3" t="str">
        <f>E1490&amp;D1490</f>
        <v>E.SP.IPAEE_INS_CONF_S_I_IAS_0180</v>
      </c>
      <c r="M1490" s="3" t="str">
        <f>IFERROR(MID(D1490,SEARCH("S_I_",D1490,1),3),"")</f>
        <v>S_I</v>
      </c>
      <c r="N1490" s="3" t="str">
        <f>IFERROR(MID(D1490,SEARCH("C_I_",D1490,1),3),"")</f>
        <v/>
      </c>
      <c r="O1490" s="3" t="str">
        <f>IF(AND(M1490="",N1490=""),"Extra","")</f>
        <v/>
      </c>
      <c r="P1490" s="3" t="str">
        <f>IF(Q1490=0,"TERCEIRO","MRS")</f>
        <v>MRS</v>
      </c>
      <c r="Q1490" s="8" t="str">
        <f>IFERROR(VLOOKUP(L1490,#REF!,4,0),"0,00")</f>
        <v>0,00</v>
      </c>
      <c r="R1490" s="9" t="s">
        <v>42</v>
      </c>
      <c r="S1490" s="9">
        <f>COUNTIF(D1490,"*_SEG_*")</f>
        <v>0</v>
      </c>
      <c r="T1490" s="9">
        <f>COUNTIF(D1490,"*_MAN_*")</f>
        <v>0</v>
      </c>
      <c r="U1490" s="9">
        <f>(RIGHT(D1490,4))*1</f>
        <v>180</v>
      </c>
      <c r="V1490" s="9" t="str">
        <f>IFERROR(VLOOKUP(I1490,#REF!,2,0),"Sinalização")</f>
        <v>Sinalização</v>
      </c>
    </row>
    <row r="1491" spans="1:22" x14ac:dyDescent="0.25">
      <c r="A1491" s="3" t="s">
        <v>22</v>
      </c>
      <c r="B1491" s="4">
        <v>23089970</v>
      </c>
      <c r="C1491" s="5" t="s">
        <v>23</v>
      </c>
      <c r="D1491" s="6" t="s">
        <v>206</v>
      </c>
      <c r="E1491" s="6" t="s">
        <v>25</v>
      </c>
      <c r="F1491" s="11">
        <v>46154</v>
      </c>
      <c r="G1491" s="6" t="s">
        <v>1079</v>
      </c>
      <c r="H1491" s="7"/>
      <c r="I1491" s="7" t="s">
        <v>317</v>
      </c>
      <c r="J1491" s="7" t="s">
        <v>208</v>
      </c>
      <c r="K1491" s="7" t="s">
        <v>29</v>
      </c>
      <c r="L1491" s="3" t="str">
        <f>E1491&amp;D1491</f>
        <v>E.SP.IPAEE_INS_CONF_S_I_IAS_0180</v>
      </c>
      <c r="M1491" s="3" t="str">
        <f>IFERROR(MID(D1491,SEARCH("S_I_",D1491,1),3),"")</f>
        <v>S_I</v>
      </c>
      <c r="N1491" s="3" t="str">
        <f>IFERROR(MID(D1491,SEARCH("C_I_",D1491,1),3),"")</f>
        <v/>
      </c>
      <c r="O1491" s="3" t="str">
        <f>IF(AND(M1491="",N1491=""),"Extra","")</f>
        <v/>
      </c>
      <c r="P1491" s="3" t="str">
        <f>IF(Q1491=0,"TERCEIRO","MRS")</f>
        <v>MRS</v>
      </c>
      <c r="Q1491" s="8" t="str">
        <f>IFERROR(VLOOKUP(L1491,#REF!,4,0),"0,00")</f>
        <v>0,00</v>
      </c>
      <c r="R1491" s="9" t="s">
        <v>42</v>
      </c>
      <c r="S1491" s="9">
        <f>COUNTIF(D1491,"*_SEG_*")</f>
        <v>0</v>
      </c>
      <c r="T1491" s="9">
        <f>COUNTIF(D1491,"*_MAN_*")</f>
        <v>0</v>
      </c>
      <c r="U1491" s="9">
        <f>(RIGHT(D1491,4))*1</f>
        <v>180</v>
      </c>
      <c r="V1491" s="9" t="str">
        <f>IFERROR(VLOOKUP(I1491,#REF!,2,0),"Sinalização")</f>
        <v>Sinalização</v>
      </c>
    </row>
    <row r="1492" spans="1:22" x14ac:dyDescent="0.25">
      <c r="A1492" s="3" t="s">
        <v>22</v>
      </c>
      <c r="B1492" s="4">
        <v>23089971</v>
      </c>
      <c r="C1492" s="5" t="s">
        <v>23</v>
      </c>
      <c r="D1492" s="6" t="s">
        <v>206</v>
      </c>
      <c r="E1492" s="6" t="s">
        <v>25</v>
      </c>
      <c r="F1492" s="11">
        <v>46154</v>
      </c>
      <c r="G1492" s="6" t="s">
        <v>1079</v>
      </c>
      <c r="H1492" s="7"/>
      <c r="I1492" s="7" t="s">
        <v>318</v>
      </c>
      <c r="J1492" s="7" t="s">
        <v>208</v>
      </c>
      <c r="K1492" s="7" t="s">
        <v>29</v>
      </c>
      <c r="L1492" s="3" t="str">
        <f>E1492&amp;D1492</f>
        <v>E.SP.IPAEE_INS_CONF_S_I_IAS_0180</v>
      </c>
      <c r="M1492" s="3" t="str">
        <f>IFERROR(MID(D1492,SEARCH("S_I_",D1492,1),3),"")</f>
        <v>S_I</v>
      </c>
      <c r="N1492" s="3" t="str">
        <f>IFERROR(MID(D1492,SEARCH("C_I_",D1492,1),3),"")</f>
        <v/>
      </c>
      <c r="O1492" s="3" t="str">
        <f>IF(AND(M1492="",N1492=""),"Extra","")</f>
        <v/>
      </c>
      <c r="P1492" s="3" t="str">
        <f>IF(Q1492=0,"TERCEIRO","MRS")</f>
        <v>MRS</v>
      </c>
      <c r="Q1492" s="8" t="str">
        <f>IFERROR(VLOOKUP(L1492,#REF!,4,0),"0,00")</f>
        <v>0,00</v>
      </c>
      <c r="R1492" s="9" t="s">
        <v>42</v>
      </c>
      <c r="S1492" s="9">
        <f>COUNTIF(D1492,"*_SEG_*")</f>
        <v>0</v>
      </c>
      <c r="T1492" s="9">
        <f>COUNTIF(D1492,"*_MAN_*")</f>
        <v>0</v>
      </c>
      <c r="U1492" s="9">
        <f>(RIGHT(D1492,4))*1</f>
        <v>180</v>
      </c>
      <c r="V1492" s="9" t="str">
        <f>IFERROR(VLOOKUP(I1492,#REF!,2,0),"Sinalização")</f>
        <v>Sinalização</v>
      </c>
    </row>
    <row r="1493" spans="1:22" x14ac:dyDescent="0.25">
      <c r="A1493" s="3" t="s">
        <v>22</v>
      </c>
      <c r="B1493" s="4">
        <v>23089972</v>
      </c>
      <c r="C1493" s="5" t="s">
        <v>23</v>
      </c>
      <c r="D1493" s="6" t="s">
        <v>206</v>
      </c>
      <c r="E1493" s="6" t="s">
        <v>25</v>
      </c>
      <c r="F1493" s="11">
        <v>46154</v>
      </c>
      <c r="G1493" s="6" t="s">
        <v>1079</v>
      </c>
      <c r="H1493" s="7"/>
      <c r="I1493" s="7" t="s">
        <v>319</v>
      </c>
      <c r="J1493" s="7" t="s">
        <v>208</v>
      </c>
      <c r="K1493" s="7" t="s">
        <v>29</v>
      </c>
      <c r="L1493" s="3" t="str">
        <f>E1493&amp;D1493</f>
        <v>E.SP.IPAEE_INS_CONF_S_I_IAS_0180</v>
      </c>
      <c r="M1493" s="3" t="str">
        <f>IFERROR(MID(D1493,SEARCH("S_I_",D1493,1),3),"")</f>
        <v>S_I</v>
      </c>
      <c r="N1493" s="3" t="str">
        <f>IFERROR(MID(D1493,SEARCH("C_I_",D1493,1),3),"")</f>
        <v/>
      </c>
      <c r="O1493" s="3" t="str">
        <f>IF(AND(M1493="",N1493=""),"Extra","")</f>
        <v/>
      </c>
      <c r="P1493" s="3" t="str">
        <f>IF(Q1493=0,"TERCEIRO","MRS")</f>
        <v>MRS</v>
      </c>
      <c r="Q1493" s="8" t="str">
        <f>IFERROR(VLOOKUP(L1493,#REF!,4,0),"0,00")</f>
        <v>0,00</v>
      </c>
      <c r="R1493" s="9" t="s">
        <v>42</v>
      </c>
      <c r="S1493" s="9">
        <f>COUNTIF(D1493,"*_SEG_*")</f>
        <v>0</v>
      </c>
      <c r="T1493" s="9">
        <f>COUNTIF(D1493,"*_MAN_*")</f>
        <v>0</v>
      </c>
      <c r="U1493" s="9">
        <f>(RIGHT(D1493,4))*1</f>
        <v>180</v>
      </c>
      <c r="V1493" s="9" t="str">
        <f>IFERROR(VLOOKUP(I1493,#REF!,2,0),"Sinalização")</f>
        <v>Sinalização</v>
      </c>
    </row>
    <row r="1494" spans="1:22" x14ac:dyDescent="0.25">
      <c r="A1494" s="3" t="s">
        <v>22</v>
      </c>
      <c r="B1494" s="4">
        <v>23090030</v>
      </c>
      <c r="C1494" s="5" t="s">
        <v>23</v>
      </c>
      <c r="D1494" s="6" t="s">
        <v>213</v>
      </c>
      <c r="E1494" s="6" t="s">
        <v>25</v>
      </c>
      <c r="F1494" s="11">
        <v>46154</v>
      </c>
      <c r="G1494" s="6" t="s">
        <v>1079</v>
      </c>
      <c r="H1494" s="7"/>
      <c r="I1494" s="7" t="s">
        <v>320</v>
      </c>
      <c r="J1494" s="7" t="s">
        <v>215</v>
      </c>
      <c r="K1494" s="7" t="s">
        <v>29</v>
      </c>
      <c r="L1494" s="3" t="str">
        <f>E1494&amp;D1494</f>
        <v>E.SP.IPAEE_MAN_CONF_S_I_CIRCUITO VIA CA_0180</v>
      </c>
      <c r="M1494" s="3" t="str">
        <f>IFERROR(MID(D1494,SEARCH("S_I_",D1494,1),3),"")</f>
        <v>S_I</v>
      </c>
      <c r="N1494" s="3" t="str">
        <f>IFERROR(MID(D1494,SEARCH("C_I_",D1494,1),3),"")</f>
        <v/>
      </c>
      <c r="O1494" s="3" t="str">
        <f>IF(AND(M1494="",N1494=""),"Extra","")</f>
        <v/>
      </c>
      <c r="P1494" s="3" t="str">
        <f>IF(Q1494=0,"TERCEIRO","MRS")</f>
        <v>MRS</v>
      </c>
      <c r="Q1494" s="8" t="str">
        <f>IFERROR(VLOOKUP(L1494,#REF!,4,0),"0,00")</f>
        <v>0,00</v>
      </c>
      <c r="R1494" s="9" t="s">
        <v>98</v>
      </c>
      <c r="S1494" s="9">
        <f>COUNTIF(D1494,"*_SEG_*")</f>
        <v>0</v>
      </c>
      <c r="T1494" s="9">
        <f>COUNTIF(D1494,"*_MAN_*")</f>
        <v>1</v>
      </c>
      <c r="U1494" s="9">
        <f>(RIGHT(D1494,4))*1</f>
        <v>180</v>
      </c>
      <c r="V1494" s="9" t="str">
        <f>IFERROR(VLOOKUP(I1494,#REF!,2,0),"Sinalização")</f>
        <v>Sinalização</v>
      </c>
    </row>
    <row r="1495" spans="1:22" x14ac:dyDescent="0.25">
      <c r="A1495" s="3" t="s">
        <v>22</v>
      </c>
      <c r="B1495" s="4">
        <v>23090033</v>
      </c>
      <c r="C1495" s="5" t="s">
        <v>23</v>
      </c>
      <c r="D1495" s="6" t="s">
        <v>213</v>
      </c>
      <c r="E1495" s="6" t="s">
        <v>25</v>
      </c>
      <c r="F1495" s="11">
        <v>46154</v>
      </c>
      <c r="G1495" s="6" t="s">
        <v>1079</v>
      </c>
      <c r="H1495" s="7"/>
      <c r="I1495" s="7" t="s">
        <v>321</v>
      </c>
      <c r="J1495" s="7" t="s">
        <v>215</v>
      </c>
      <c r="K1495" s="7" t="s">
        <v>29</v>
      </c>
      <c r="L1495" s="3" t="str">
        <f>E1495&amp;D1495</f>
        <v>E.SP.IPAEE_MAN_CONF_S_I_CIRCUITO VIA CA_0180</v>
      </c>
      <c r="M1495" s="3" t="str">
        <f>IFERROR(MID(D1495,SEARCH("S_I_",D1495,1),3),"")</f>
        <v>S_I</v>
      </c>
      <c r="N1495" s="3" t="str">
        <f>IFERROR(MID(D1495,SEARCH("C_I_",D1495,1),3),"")</f>
        <v/>
      </c>
      <c r="O1495" s="3" t="str">
        <f>IF(AND(M1495="",N1495=""),"Extra","")</f>
        <v/>
      </c>
      <c r="P1495" s="3" t="str">
        <f>IF(Q1495=0,"TERCEIRO","MRS")</f>
        <v>MRS</v>
      </c>
      <c r="Q1495" s="8" t="str">
        <f>IFERROR(VLOOKUP(L1495,#REF!,4,0),"0,00")</f>
        <v>0,00</v>
      </c>
      <c r="R1495" s="9" t="s">
        <v>98</v>
      </c>
      <c r="S1495" s="9">
        <f>COUNTIF(D1495,"*_SEG_*")</f>
        <v>0</v>
      </c>
      <c r="T1495" s="9">
        <f>COUNTIF(D1495,"*_MAN_*")</f>
        <v>1</v>
      </c>
      <c r="U1495" s="9">
        <f>(RIGHT(D1495,4))*1</f>
        <v>180</v>
      </c>
      <c r="V1495" s="9" t="str">
        <f>IFERROR(VLOOKUP(I1495,#REF!,2,0),"Sinalização")</f>
        <v>Sinalização</v>
      </c>
    </row>
    <row r="1496" spans="1:22" x14ac:dyDescent="0.25">
      <c r="A1496" s="3" t="s">
        <v>22</v>
      </c>
      <c r="B1496" s="4">
        <v>23090034</v>
      </c>
      <c r="C1496" s="5" t="s">
        <v>23</v>
      </c>
      <c r="D1496" s="6" t="s">
        <v>213</v>
      </c>
      <c r="E1496" s="6" t="s">
        <v>25</v>
      </c>
      <c r="F1496" s="11">
        <v>46154</v>
      </c>
      <c r="G1496" s="6" t="s">
        <v>1079</v>
      </c>
      <c r="H1496" s="7"/>
      <c r="I1496" s="7" t="s">
        <v>322</v>
      </c>
      <c r="J1496" s="7" t="s">
        <v>215</v>
      </c>
      <c r="K1496" s="7" t="s">
        <v>29</v>
      </c>
      <c r="L1496" s="3" t="str">
        <f>E1496&amp;D1496</f>
        <v>E.SP.IPAEE_MAN_CONF_S_I_CIRCUITO VIA CA_0180</v>
      </c>
      <c r="M1496" s="3" t="str">
        <f>IFERROR(MID(D1496,SEARCH("S_I_",D1496,1),3),"")</f>
        <v>S_I</v>
      </c>
      <c r="N1496" s="3" t="str">
        <f>IFERROR(MID(D1496,SEARCH("C_I_",D1496,1),3),"")</f>
        <v/>
      </c>
      <c r="O1496" s="3" t="str">
        <f>IF(AND(M1496="",N1496=""),"Extra","")</f>
        <v/>
      </c>
      <c r="P1496" s="3" t="str">
        <f>IF(Q1496=0,"TERCEIRO","MRS")</f>
        <v>MRS</v>
      </c>
      <c r="Q1496" s="8" t="str">
        <f>IFERROR(VLOOKUP(L1496,#REF!,4,0),"0,00")</f>
        <v>0,00</v>
      </c>
      <c r="R1496" s="9" t="s">
        <v>98</v>
      </c>
      <c r="S1496" s="9">
        <f>COUNTIF(D1496,"*_SEG_*")</f>
        <v>0</v>
      </c>
      <c r="T1496" s="9">
        <f>COUNTIF(D1496,"*_MAN_*")</f>
        <v>1</v>
      </c>
      <c r="U1496" s="9">
        <f>(RIGHT(D1496,4))*1</f>
        <v>180</v>
      </c>
      <c r="V1496" s="9" t="str">
        <f>IFERROR(VLOOKUP(I1496,#REF!,2,0),"Sinalização")</f>
        <v>Sinalização</v>
      </c>
    </row>
    <row r="1497" spans="1:22" x14ac:dyDescent="0.25">
      <c r="A1497" s="3" t="s">
        <v>22</v>
      </c>
      <c r="B1497" s="4">
        <v>23090037</v>
      </c>
      <c r="C1497" s="5" t="s">
        <v>23</v>
      </c>
      <c r="D1497" s="6" t="s">
        <v>220</v>
      </c>
      <c r="E1497" s="6" t="s">
        <v>25</v>
      </c>
      <c r="F1497" s="11">
        <v>46154</v>
      </c>
      <c r="G1497" s="6" t="s">
        <v>1079</v>
      </c>
      <c r="H1497" s="7"/>
      <c r="I1497" s="7" t="s">
        <v>67</v>
      </c>
      <c r="J1497" s="7" t="s">
        <v>222</v>
      </c>
      <c r="K1497" s="7" t="s">
        <v>29</v>
      </c>
      <c r="L1497" s="3" t="str">
        <f>E1497&amp;D1497</f>
        <v>E.SP.IPAEE_INS_SEG_S_I_SINAL L UNIFO CONT_0180</v>
      </c>
      <c r="M1497" s="3" t="str">
        <f>IFERROR(MID(D1497,SEARCH("S_I_",D1497,1),3),"")</f>
        <v>S_I</v>
      </c>
      <c r="N1497" s="3" t="str">
        <f>IFERROR(MID(D1497,SEARCH("C_I_",D1497,1),3),"")</f>
        <v/>
      </c>
      <c r="O1497" s="3" t="str">
        <f>IF(AND(M1497="",N1497=""),"Extra","")</f>
        <v/>
      </c>
      <c r="P1497" s="3" t="str">
        <f>IF(Q1497=0,"TERCEIRO","MRS")</f>
        <v>MRS</v>
      </c>
      <c r="Q1497" s="8" t="str">
        <f>IFERROR(VLOOKUP(L1497,#REF!,4,0),"0,00")</f>
        <v>0,00</v>
      </c>
      <c r="R1497" s="9" t="s">
        <v>30</v>
      </c>
      <c r="S1497" s="9">
        <f>COUNTIF(D1497,"*_SEG_*")</f>
        <v>1</v>
      </c>
      <c r="T1497" s="9">
        <f>COUNTIF(D1497,"*_MAN_*")</f>
        <v>0</v>
      </c>
      <c r="U1497" s="9">
        <f>(RIGHT(D1497,4))*1</f>
        <v>180</v>
      </c>
      <c r="V1497" s="9" t="str">
        <f>IFERROR(VLOOKUP(I1497,#REF!,2,0),"Sinalização")</f>
        <v>Sinalização</v>
      </c>
    </row>
    <row r="1498" spans="1:22" x14ac:dyDescent="0.25">
      <c r="A1498" s="3" t="s">
        <v>22</v>
      </c>
      <c r="B1498" s="4">
        <v>23090066</v>
      </c>
      <c r="C1498" s="5" t="s">
        <v>23</v>
      </c>
      <c r="D1498" s="6" t="s">
        <v>236</v>
      </c>
      <c r="E1498" s="6" t="s">
        <v>25</v>
      </c>
      <c r="F1498" s="11">
        <v>46154</v>
      </c>
      <c r="G1498" s="6" t="s">
        <v>1079</v>
      </c>
      <c r="H1498" s="7"/>
      <c r="I1498" s="7" t="s">
        <v>67</v>
      </c>
      <c r="J1498" s="7" t="s">
        <v>237</v>
      </c>
      <c r="K1498" s="7" t="s">
        <v>29</v>
      </c>
      <c r="L1498" s="3" t="str">
        <f>E1498&amp;D1498</f>
        <v>E.SP.IPAEE_INS_CONF_S_I_SINAL L UNIFO CONT_0180</v>
      </c>
      <c r="M1498" s="3" t="str">
        <f>IFERROR(MID(D1498,SEARCH("S_I_",D1498,1),3),"")</f>
        <v>S_I</v>
      </c>
      <c r="N1498" s="3" t="str">
        <f>IFERROR(MID(D1498,SEARCH("C_I_",D1498,1),3),"")</f>
        <v/>
      </c>
      <c r="O1498" s="3" t="str">
        <f>IF(AND(M1498="",N1498=""),"Extra","")</f>
        <v/>
      </c>
      <c r="P1498" s="3" t="str">
        <f>IF(Q1498=0,"TERCEIRO","MRS")</f>
        <v>MRS</v>
      </c>
      <c r="Q1498" s="8" t="str">
        <f>IFERROR(VLOOKUP(L1498,#REF!,4,0),"0,00")</f>
        <v>0,00</v>
      </c>
      <c r="R1498" s="9" t="s">
        <v>98</v>
      </c>
      <c r="S1498" s="9">
        <f>COUNTIF(D1498,"*_SEG_*")</f>
        <v>0</v>
      </c>
      <c r="T1498" s="9">
        <f>COUNTIF(D1498,"*_MAN_*")</f>
        <v>0</v>
      </c>
      <c r="U1498" s="9">
        <f>(RIGHT(D1498,4))*1</f>
        <v>180</v>
      </c>
      <c r="V1498" s="9" t="str">
        <f>IFERROR(VLOOKUP(I1498,#REF!,2,0),"Sinalização")</f>
        <v>Sinalização</v>
      </c>
    </row>
    <row r="1499" spans="1:22" x14ac:dyDescent="0.25">
      <c r="A1499" s="3" t="s">
        <v>22</v>
      </c>
      <c r="B1499" s="4">
        <v>23090154</v>
      </c>
      <c r="C1499" s="5" t="s">
        <v>23</v>
      </c>
      <c r="D1499" s="6" t="s">
        <v>240</v>
      </c>
      <c r="E1499" s="6" t="s">
        <v>25</v>
      </c>
      <c r="F1499" s="11">
        <v>46154</v>
      </c>
      <c r="G1499" s="6" t="s">
        <v>1079</v>
      </c>
      <c r="H1499" s="7"/>
      <c r="I1499" s="7" t="s">
        <v>301</v>
      </c>
      <c r="J1499" s="7" t="s">
        <v>215</v>
      </c>
      <c r="K1499" s="7" t="s">
        <v>29</v>
      </c>
      <c r="L1499" s="3" t="str">
        <f>E1499&amp;D1499</f>
        <v>E.SP.IPAEE_MAN_CONF_S_I_CDV DETETORA CA_0180</v>
      </c>
      <c r="M1499" s="3" t="str">
        <f>IFERROR(MID(D1499,SEARCH("S_I_",D1499,1),3),"")</f>
        <v>S_I</v>
      </c>
      <c r="N1499" s="3" t="str">
        <f>IFERROR(MID(D1499,SEARCH("C_I_",D1499,1),3),"")</f>
        <v/>
      </c>
      <c r="O1499" s="3" t="str">
        <f>IF(AND(M1499="",N1499=""),"Extra","")</f>
        <v/>
      </c>
      <c r="P1499" s="3" t="str">
        <f>IF(Q1499=0,"TERCEIRO","MRS")</f>
        <v>MRS</v>
      </c>
      <c r="Q1499" s="8" t="str">
        <f>IFERROR(VLOOKUP(L1499,#REF!,4,0),"0,00")</f>
        <v>0,00</v>
      </c>
      <c r="R1499" s="9" t="s">
        <v>98</v>
      </c>
      <c r="S1499" s="9">
        <f>COUNTIF(D1499,"*_SEG_*")</f>
        <v>0</v>
      </c>
      <c r="T1499" s="9">
        <f>COUNTIF(D1499,"*_MAN_*")</f>
        <v>1</v>
      </c>
      <c r="U1499" s="9">
        <f>(RIGHT(D1499,4))*1</f>
        <v>180</v>
      </c>
      <c r="V1499" s="9" t="str">
        <f>IFERROR(VLOOKUP(I1499,#REF!,2,0),"Sinalização")</f>
        <v>Sinalização</v>
      </c>
    </row>
    <row r="1500" spans="1:22" x14ac:dyDescent="0.25">
      <c r="A1500" s="3" t="s">
        <v>22</v>
      </c>
      <c r="B1500" s="4">
        <v>23090155</v>
      </c>
      <c r="C1500" s="5" t="s">
        <v>23</v>
      </c>
      <c r="D1500" s="6" t="s">
        <v>240</v>
      </c>
      <c r="E1500" s="6" t="s">
        <v>25</v>
      </c>
      <c r="F1500" s="11">
        <v>46154</v>
      </c>
      <c r="G1500" s="6" t="s">
        <v>1079</v>
      </c>
      <c r="H1500" s="7"/>
      <c r="I1500" s="7" t="s">
        <v>302</v>
      </c>
      <c r="J1500" s="7" t="s">
        <v>215</v>
      </c>
      <c r="K1500" s="7" t="s">
        <v>29</v>
      </c>
      <c r="L1500" s="3" t="str">
        <f>E1500&amp;D1500</f>
        <v>E.SP.IPAEE_MAN_CONF_S_I_CDV DETETORA CA_0180</v>
      </c>
      <c r="M1500" s="3" t="str">
        <f>IFERROR(MID(D1500,SEARCH("S_I_",D1500,1),3),"")</f>
        <v>S_I</v>
      </c>
      <c r="N1500" s="3" t="str">
        <f>IFERROR(MID(D1500,SEARCH("C_I_",D1500,1),3),"")</f>
        <v/>
      </c>
      <c r="O1500" s="3" t="str">
        <f>IF(AND(M1500="",N1500=""),"Extra","")</f>
        <v/>
      </c>
      <c r="P1500" s="3" t="str">
        <f>IF(Q1500=0,"TERCEIRO","MRS")</f>
        <v>MRS</v>
      </c>
      <c r="Q1500" s="8" t="str">
        <f>IFERROR(VLOOKUP(L1500,#REF!,4,0),"0,00")</f>
        <v>0,00</v>
      </c>
      <c r="R1500" s="9" t="s">
        <v>98</v>
      </c>
      <c r="S1500" s="9">
        <f>COUNTIF(D1500,"*_SEG_*")</f>
        <v>0</v>
      </c>
      <c r="T1500" s="9">
        <f>COUNTIF(D1500,"*_MAN_*")</f>
        <v>1</v>
      </c>
      <c r="U1500" s="9">
        <f>(RIGHT(D1500,4))*1</f>
        <v>180</v>
      </c>
      <c r="V1500" s="9" t="str">
        <f>IFERROR(VLOOKUP(I1500,#REF!,2,0),"Sinalização")</f>
        <v>Sinalização</v>
      </c>
    </row>
    <row r="1501" spans="1:22" x14ac:dyDescent="0.25">
      <c r="A1501" s="3" t="s">
        <v>22</v>
      </c>
      <c r="B1501" s="4">
        <v>23090225</v>
      </c>
      <c r="C1501" s="5" t="s">
        <v>23</v>
      </c>
      <c r="D1501" s="6" t="s">
        <v>276</v>
      </c>
      <c r="E1501" s="6" t="s">
        <v>25</v>
      </c>
      <c r="F1501" s="11">
        <v>46154</v>
      </c>
      <c r="G1501" s="6" t="s">
        <v>1079</v>
      </c>
      <c r="H1501" s="7"/>
      <c r="I1501" s="7" t="s">
        <v>323</v>
      </c>
      <c r="J1501" s="7" t="s">
        <v>278</v>
      </c>
      <c r="K1501" s="7" t="s">
        <v>29</v>
      </c>
      <c r="L1501" s="3" t="str">
        <f>E1501&amp;D1501</f>
        <v>E.SP.IPAT_EE_INS_CONF_S_I_LFÍS DIST ENE_0180</v>
      </c>
      <c r="M1501" s="3" t="str">
        <f>IFERROR(MID(D1501,SEARCH("S_I_",D1501,1),3),"")</f>
        <v>S_I</v>
      </c>
      <c r="N1501" s="3" t="str">
        <f>IFERROR(MID(D1501,SEARCH("C_I_",D1501,1),3),"")</f>
        <v/>
      </c>
      <c r="O1501" s="3" t="str">
        <f>IF(AND(M1501="",N1501=""),"Extra","")</f>
        <v/>
      </c>
      <c r="P1501" s="3" t="str">
        <f>IF(Q1501=0,"TERCEIRO","MRS")</f>
        <v>MRS</v>
      </c>
      <c r="Q1501" s="8" t="str">
        <f>IFERROR(VLOOKUP(L1501,#REF!,4,0),"0,00")</f>
        <v>0,00</v>
      </c>
      <c r="R1501" s="9" t="s">
        <v>42</v>
      </c>
      <c r="S1501" s="9">
        <f>COUNTIF(D1501,"*_SEG_*")</f>
        <v>0</v>
      </c>
      <c r="T1501" s="9">
        <f>COUNTIF(D1501,"*_MAN_*")</f>
        <v>0</v>
      </c>
      <c r="U1501" s="9">
        <f>(RIGHT(D1501,4))*1</f>
        <v>180</v>
      </c>
      <c r="V1501" s="9" t="str">
        <f>IFERROR(VLOOKUP(I1501,#REF!,2,0),"Sinalização")</f>
        <v>Sinalização</v>
      </c>
    </row>
    <row r="1502" spans="1:22" x14ac:dyDescent="0.25">
      <c r="A1502" s="3" t="s">
        <v>22</v>
      </c>
      <c r="B1502" s="4">
        <v>23090226</v>
      </c>
      <c r="C1502" s="5" t="s">
        <v>23</v>
      </c>
      <c r="D1502" s="6" t="s">
        <v>276</v>
      </c>
      <c r="E1502" s="6" t="s">
        <v>25</v>
      </c>
      <c r="F1502" s="11">
        <v>46154</v>
      </c>
      <c r="G1502" s="6" t="s">
        <v>1079</v>
      </c>
      <c r="H1502" s="7"/>
      <c r="I1502" s="7" t="s">
        <v>324</v>
      </c>
      <c r="J1502" s="7" t="s">
        <v>278</v>
      </c>
      <c r="K1502" s="7" t="s">
        <v>29</v>
      </c>
      <c r="L1502" s="3" t="str">
        <f>E1502&amp;D1502</f>
        <v>E.SP.IPAT_EE_INS_CONF_S_I_LFÍS DIST ENE_0180</v>
      </c>
      <c r="M1502" s="3" t="str">
        <f>IFERROR(MID(D1502,SEARCH("S_I_",D1502,1),3),"")</f>
        <v>S_I</v>
      </c>
      <c r="N1502" s="3" t="str">
        <f>IFERROR(MID(D1502,SEARCH("C_I_",D1502,1),3),"")</f>
        <v/>
      </c>
      <c r="O1502" s="3" t="str">
        <f>IF(AND(M1502="",N1502=""),"Extra","")</f>
        <v/>
      </c>
      <c r="P1502" s="3" t="str">
        <f>IF(Q1502=0,"TERCEIRO","MRS")</f>
        <v>MRS</v>
      </c>
      <c r="Q1502" s="8" t="str">
        <f>IFERROR(VLOOKUP(L1502,#REF!,4,0),"0,00")</f>
        <v>0,00</v>
      </c>
      <c r="R1502" s="9" t="s">
        <v>42</v>
      </c>
      <c r="S1502" s="9">
        <f>COUNTIF(D1502,"*_SEG_*")</f>
        <v>0</v>
      </c>
      <c r="T1502" s="9">
        <f>COUNTIF(D1502,"*_MAN_*")</f>
        <v>0</v>
      </c>
      <c r="U1502" s="9">
        <f>(RIGHT(D1502,4))*1</f>
        <v>180</v>
      </c>
      <c r="V1502" s="9" t="str">
        <f>IFERROR(VLOOKUP(I1502,#REF!,2,0),"Sinalização")</f>
        <v>Sinalização</v>
      </c>
    </row>
    <row r="1503" spans="1:22" x14ac:dyDescent="0.25">
      <c r="A1503" s="3" t="s">
        <v>22</v>
      </c>
      <c r="B1503" s="4">
        <v>23090227</v>
      </c>
      <c r="C1503" s="5" t="s">
        <v>23</v>
      </c>
      <c r="D1503" s="6" t="s">
        <v>276</v>
      </c>
      <c r="E1503" s="6" t="s">
        <v>25</v>
      </c>
      <c r="F1503" s="11">
        <v>46154</v>
      </c>
      <c r="G1503" s="6" t="s">
        <v>1079</v>
      </c>
      <c r="H1503" s="7"/>
      <c r="I1503" s="7" t="s">
        <v>325</v>
      </c>
      <c r="J1503" s="7" t="s">
        <v>278</v>
      </c>
      <c r="K1503" s="7" t="s">
        <v>29</v>
      </c>
      <c r="L1503" s="3" t="str">
        <f>E1503&amp;D1503</f>
        <v>E.SP.IPAT_EE_INS_CONF_S_I_LFÍS DIST ENE_0180</v>
      </c>
      <c r="M1503" s="3" t="str">
        <f>IFERROR(MID(D1503,SEARCH("S_I_",D1503,1),3),"")</f>
        <v>S_I</v>
      </c>
      <c r="N1503" s="3" t="str">
        <f>IFERROR(MID(D1503,SEARCH("C_I_",D1503,1),3),"")</f>
        <v/>
      </c>
      <c r="O1503" s="3" t="str">
        <f>IF(AND(M1503="",N1503=""),"Extra","")</f>
        <v/>
      </c>
      <c r="P1503" s="3" t="str">
        <f>IF(Q1503=0,"TERCEIRO","MRS")</f>
        <v>MRS</v>
      </c>
      <c r="Q1503" s="8" t="str">
        <f>IFERROR(VLOOKUP(L1503,#REF!,4,0),"0,00")</f>
        <v>0,00</v>
      </c>
      <c r="R1503" s="9" t="s">
        <v>42</v>
      </c>
      <c r="S1503" s="9">
        <f>COUNTIF(D1503,"*_SEG_*")</f>
        <v>0</v>
      </c>
      <c r="T1503" s="9">
        <f>COUNTIF(D1503,"*_MAN_*")</f>
        <v>0</v>
      </c>
      <c r="U1503" s="9">
        <f>(RIGHT(D1503,4))*1</f>
        <v>180</v>
      </c>
      <c r="V1503" s="9" t="str">
        <f>IFERROR(VLOOKUP(I1503,#REF!,2,0),"Sinalização")</f>
        <v>Sinalização</v>
      </c>
    </row>
    <row r="1504" spans="1:22" x14ac:dyDescent="0.25">
      <c r="A1504" s="3" t="s">
        <v>22</v>
      </c>
      <c r="B1504" s="4">
        <v>23090228</v>
      </c>
      <c r="C1504" s="5" t="s">
        <v>23</v>
      </c>
      <c r="D1504" s="6" t="s">
        <v>276</v>
      </c>
      <c r="E1504" s="6" t="s">
        <v>25</v>
      </c>
      <c r="F1504" s="11">
        <v>46154</v>
      </c>
      <c r="G1504" s="6" t="s">
        <v>1079</v>
      </c>
      <c r="H1504" s="7"/>
      <c r="I1504" s="7" t="s">
        <v>326</v>
      </c>
      <c r="J1504" s="7" t="s">
        <v>278</v>
      </c>
      <c r="K1504" s="7" t="s">
        <v>29</v>
      </c>
      <c r="L1504" s="3" t="str">
        <f>E1504&amp;D1504</f>
        <v>E.SP.IPAT_EE_INS_CONF_S_I_LFÍS DIST ENE_0180</v>
      </c>
      <c r="M1504" s="3" t="str">
        <f>IFERROR(MID(D1504,SEARCH("S_I_",D1504,1),3),"")</f>
        <v>S_I</v>
      </c>
      <c r="N1504" s="3" t="str">
        <f>IFERROR(MID(D1504,SEARCH("C_I_",D1504,1),3),"")</f>
        <v/>
      </c>
      <c r="O1504" s="3" t="str">
        <f>IF(AND(M1504="",N1504=""),"Extra","")</f>
        <v/>
      </c>
      <c r="P1504" s="3" t="str">
        <f>IF(Q1504=0,"TERCEIRO","MRS")</f>
        <v>MRS</v>
      </c>
      <c r="Q1504" s="8" t="str">
        <f>IFERROR(VLOOKUP(L1504,#REF!,4,0),"0,00")</f>
        <v>0,00</v>
      </c>
      <c r="R1504" s="9" t="s">
        <v>42</v>
      </c>
      <c r="S1504" s="9">
        <f>COUNTIF(D1504,"*_SEG_*")</f>
        <v>0</v>
      </c>
      <c r="T1504" s="9">
        <f>COUNTIF(D1504,"*_MAN_*")</f>
        <v>0</v>
      </c>
      <c r="U1504" s="9">
        <f>(RIGHT(D1504,4))*1</f>
        <v>180</v>
      </c>
      <c r="V1504" s="9" t="str">
        <f>IFERROR(VLOOKUP(I1504,#REF!,2,0),"Sinalização")</f>
        <v>Sinalização</v>
      </c>
    </row>
    <row r="1505" spans="1:22" x14ac:dyDescent="0.25">
      <c r="A1505" s="3" t="s">
        <v>22</v>
      </c>
      <c r="B1505" s="4">
        <v>23090229</v>
      </c>
      <c r="C1505" s="5" t="s">
        <v>23</v>
      </c>
      <c r="D1505" s="6" t="s">
        <v>276</v>
      </c>
      <c r="E1505" s="6" t="s">
        <v>25</v>
      </c>
      <c r="F1505" s="11">
        <v>46154</v>
      </c>
      <c r="G1505" s="6" t="s">
        <v>1079</v>
      </c>
      <c r="H1505" s="7"/>
      <c r="I1505" s="7" t="s">
        <v>327</v>
      </c>
      <c r="J1505" s="7" t="s">
        <v>278</v>
      </c>
      <c r="K1505" s="7" t="s">
        <v>29</v>
      </c>
      <c r="L1505" s="3" t="str">
        <f>E1505&amp;D1505</f>
        <v>E.SP.IPAT_EE_INS_CONF_S_I_LFÍS DIST ENE_0180</v>
      </c>
      <c r="M1505" s="3" t="str">
        <f>IFERROR(MID(D1505,SEARCH("S_I_",D1505,1),3),"")</f>
        <v>S_I</v>
      </c>
      <c r="N1505" s="3" t="str">
        <f>IFERROR(MID(D1505,SEARCH("C_I_",D1505,1),3),"")</f>
        <v/>
      </c>
      <c r="O1505" s="3" t="str">
        <f>IF(AND(M1505="",N1505=""),"Extra","")</f>
        <v/>
      </c>
      <c r="P1505" s="3" t="str">
        <f>IF(Q1505=0,"TERCEIRO","MRS")</f>
        <v>MRS</v>
      </c>
      <c r="Q1505" s="8" t="str">
        <f>IFERROR(VLOOKUP(L1505,#REF!,4,0),"0,00")</f>
        <v>0,00</v>
      </c>
      <c r="R1505" s="9" t="s">
        <v>42</v>
      </c>
      <c r="S1505" s="9">
        <f>COUNTIF(D1505,"*_SEG_*")</f>
        <v>0</v>
      </c>
      <c r="T1505" s="9">
        <f>COUNTIF(D1505,"*_MAN_*")</f>
        <v>0</v>
      </c>
      <c r="U1505" s="9">
        <f>(RIGHT(D1505,4))*1</f>
        <v>180</v>
      </c>
      <c r="V1505" s="9" t="str">
        <f>IFERROR(VLOOKUP(I1505,#REF!,2,0),"Sinalização")</f>
        <v>Sinalização</v>
      </c>
    </row>
    <row r="1506" spans="1:22" x14ac:dyDescent="0.25">
      <c r="A1506" s="3" t="s">
        <v>22</v>
      </c>
      <c r="B1506" s="4">
        <v>23090267</v>
      </c>
      <c r="C1506" s="5" t="s">
        <v>23</v>
      </c>
      <c r="D1506" s="6" t="s">
        <v>265</v>
      </c>
      <c r="E1506" s="6" t="s">
        <v>25</v>
      </c>
      <c r="F1506" s="11">
        <v>46154</v>
      </c>
      <c r="G1506" s="6" t="s">
        <v>1079</v>
      </c>
      <c r="H1506" s="7"/>
      <c r="I1506" s="7" t="s">
        <v>297</v>
      </c>
      <c r="J1506" s="7" t="s">
        <v>248</v>
      </c>
      <c r="K1506" s="7" t="s">
        <v>29</v>
      </c>
      <c r="L1506" s="3" t="str">
        <f>E1506&amp;D1506</f>
        <v>E.SP.IPAEE_INS_CONF_C_I_MCH 110VCC GRS 55BR_0180</v>
      </c>
      <c r="M1506" s="3" t="str">
        <f>IFERROR(MID(D1506,SEARCH("S_I_",D1506,1),3),"")</f>
        <v/>
      </c>
      <c r="N1506" s="3" t="str">
        <f>IFERROR(MID(D1506,SEARCH("C_I_",D1506,1),3),"")</f>
        <v>C_I</v>
      </c>
      <c r="O1506" s="3" t="str">
        <f>IF(AND(M1506="",N1506=""),"Extra","")</f>
        <v/>
      </c>
      <c r="P1506" s="3" t="str">
        <f>IF(Q1506=0,"TERCEIRO","MRS")</f>
        <v>MRS</v>
      </c>
      <c r="Q1506" s="8" t="str">
        <f>IFERROR(VLOOKUP(L1506,#REF!,4,0),"0,00")</f>
        <v>0,00</v>
      </c>
      <c r="R1506" s="9" t="s">
        <v>30</v>
      </c>
      <c r="S1506" s="9">
        <f>COUNTIF(D1506,"*_SEG_*")</f>
        <v>0</v>
      </c>
      <c r="T1506" s="9">
        <f>COUNTIF(D1506,"*_MAN_*")</f>
        <v>0</v>
      </c>
      <c r="U1506" s="9">
        <f>(RIGHT(D1506,4))*1</f>
        <v>180</v>
      </c>
      <c r="V1506" s="9" t="str">
        <f>IFERROR(VLOOKUP(I1506,#REF!,2,0),"Sinalização")</f>
        <v>Sinalização</v>
      </c>
    </row>
    <row r="1507" spans="1:22" x14ac:dyDescent="0.25">
      <c r="A1507" s="3" t="s">
        <v>22</v>
      </c>
      <c r="B1507" s="4">
        <v>23090268</v>
      </c>
      <c r="C1507" s="5" t="s">
        <v>23</v>
      </c>
      <c r="D1507" s="6" t="s">
        <v>265</v>
      </c>
      <c r="E1507" s="6" t="s">
        <v>25</v>
      </c>
      <c r="F1507" s="11">
        <v>46154</v>
      </c>
      <c r="G1507" s="6" t="s">
        <v>1079</v>
      </c>
      <c r="H1507" s="7"/>
      <c r="I1507" s="7" t="s">
        <v>298</v>
      </c>
      <c r="J1507" s="7" t="s">
        <v>248</v>
      </c>
      <c r="K1507" s="7" t="s">
        <v>29</v>
      </c>
      <c r="L1507" s="3" t="str">
        <f>E1507&amp;D1507</f>
        <v>E.SP.IPAEE_INS_CONF_C_I_MCH 110VCC GRS 55BR_0180</v>
      </c>
      <c r="M1507" s="3" t="str">
        <f>IFERROR(MID(D1507,SEARCH("S_I_",D1507,1),3),"")</f>
        <v/>
      </c>
      <c r="N1507" s="3" t="str">
        <f>IFERROR(MID(D1507,SEARCH("C_I_",D1507,1),3),"")</f>
        <v>C_I</v>
      </c>
      <c r="O1507" s="3" t="str">
        <f>IF(AND(M1507="",N1507=""),"Extra","")</f>
        <v/>
      </c>
      <c r="P1507" s="3" t="str">
        <f>IF(Q1507=0,"TERCEIRO","MRS")</f>
        <v>MRS</v>
      </c>
      <c r="Q1507" s="8" t="str">
        <f>IFERROR(VLOOKUP(L1507,#REF!,4,0),"0,00")</f>
        <v>0,00</v>
      </c>
      <c r="R1507" s="9" t="s">
        <v>30</v>
      </c>
      <c r="S1507" s="9">
        <f>COUNTIF(D1507,"*_SEG_*")</f>
        <v>0</v>
      </c>
      <c r="T1507" s="9">
        <f>COUNTIF(D1507,"*_MAN_*")</f>
        <v>0</v>
      </c>
      <c r="U1507" s="9">
        <f>(RIGHT(D1507,4))*1</f>
        <v>180</v>
      </c>
      <c r="V1507" s="9" t="str">
        <f>IFERROR(VLOOKUP(I1507,#REF!,2,0),"Sinalização")</f>
        <v>Sinalização</v>
      </c>
    </row>
    <row r="1508" spans="1:22" x14ac:dyDescent="0.25">
      <c r="A1508" s="3" t="s">
        <v>22</v>
      </c>
      <c r="B1508" s="4">
        <v>23090269</v>
      </c>
      <c r="C1508" s="5" t="s">
        <v>23</v>
      </c>
      <c r="D1508" s="6" t="s">
        <v>265</v>
      </c>
      <c r="E1508" s="6" t="s">
        <v>25</v>
      </c>
      <c r="F1508" s="11">
        <v>46154</v>
      </c>
      <c r="G1508" s="6" t="s">
        <v>1079</v>
      </c>
      <c r="H1508" s="7"/>
      <c r="I1508" s="7" t="s">
        <v>299</v>
      </c>
      <c r="J1508" s="7" t="s">
        <v>248</v>
      </c>
      <c r="K1508" s="7" t="s">
        <v>29</v>
      </c>
      <c r="L1508" s="3" t="str">
        <f>E1508&amp;D1508</f>
        <v>E.SP.IPAEE_INS_CONF_C_I_MCH 110VCC GRS 55BR_0180</v>
      </c>
      <c r="M1508" s="3" t="str">
        <f>IFERROR(MID(D1508,SEARCH("S_I_",D1508,1),3),"")</f>
        <v/>
      </c>
      <c r="N1508" s="3" t="str">
        <f>IFERROR(MID(D1508,SEARCH("C_I_",D1508,1),3),"")</f>
        <v>C_I</v>
      </c>
      <c r="O1508" s="3" t="str">
        <f>IF(AND(M1508="",N1508=""),"Extra","")</f>
        <v/>
      </c>
      <c r="P1508" s="3" t="str">
        <f>IF(Q1508=0,"TERCEIRO","MRS")</f>
        <v>MRS</v>
      </c>
      <c r="Q1508" s="8" t="str">
        <f>IFERROR(VLOOKUP(L1508,#REF!,4,0),"0,00")</f>
        <v>0,00</v>
      </c>
      <c r="R1508" s="9" t="s">
        <v>30</v>
      </c>
      <c r="S1508" s="9">
        <f>COUNTIF(D1508,"*_SEG_*")</f>
        <v>0</v>
      </c>
      <c r="T1508" s="9">
        <f>COUNTIF(D1508,"*_MAN_*")</f>
        <v>0</v>
      </c>
      <c r="U1508" s="9">
        <f>(RIGHT(D1508,4))*1</f>
        <v>180</v>
      </c>
      <c r="V1508" s="9" t="str">
        <f>IFERROR(VLOOKUP(I1508,#REF!,2,0),"Sinalização")</f>
        <v>Sinalização</v>
      </c>
    </row>
    <row r="1509" spans="1:22" x14ac:dyDescent="0.25">
      <c r="A1509" s="3" t="s">
        <v>22</v>
      </c>
      <c r="B1509" s="4">
        <v>23090562</v>
      </c>
      <c r="C1509" s="5" t="s">
        <v>23</v>
      </c>
      <c r="D1509" s="6" t="s">
        <v>328</v>
      </c>
      <c r="E1509" s="6" t="s">
        <v>25</v>
      </c>
      <c r="F1509" s="11">
        <v>46154</v>
      </c>
      <c r="G1509" s="6" t="s">
        <v>1079</v>
      </c>
      <c r="H1509" s="7"/>
      <c r="I1509" s="7" t="s">
        <v>297</v>
      </c>
      <c r="J1509" s="7" t="s">
        <v>257</v>
      </c>
      <c r="K1509" s="7" t="s">
        <v>29</v>
      </c>
      <c r="L1509" s="3" t="str">
        <f>E1509&amp;D1509</f>
        <v>E.SP.IPAEE_INS_CONF_S_I_MCH 110VCC GRS 55BR_0180</v>
      </c>
      <c r="M1509" s="3" t="str">
        <f>IFERROR(MID(D1509,SEARCH("S_I_",D1509,1),3),"")</f>
        <v>S_I</v>
      </c>
      <c r="N1509" s="3" t="str">
        <f>IFERROR(MID(D1509,SEARCH("C_I_",D1509,1),3),"")</f>
        <v/>
      </c>
      <c r="O1509" s="3" t="str">
        <f>IF(AND(M1509="",N1509=""),"Extra","")</f>
        <v/>
      </c>
      <c r="P1509" s="3" t="str">
        <f>IF(Q1509=0,"TERCEIRO","MRS")</f>
        <v>MRS</v>
      </c>
      <c r="Q1509" s="8" t="str">
        <f>IFERROR(VLOOKUP(L1509,#REF!,4,0),"0,00")</f>
        <v>0,00</v>
      </c>
      <c r="R1509" s="9" t="s">
        <v>30</v>
      </c>
      <c r="S1509" s="9">
        <f>COUNTIF(D1509,"*_SEG_*")</f>
        <v>0</v>
      </c>
      <c r="T1509" s="9">
        <f>COUNTIF(D1509,"*_MAN_*")</f>
        <v>0</v>
      </c>
      <c r="U1509" s="9">
        <f>(RIGHT(D1509,4))*1</f>
        <v>180</v>
      </c>
      <c r="V1509" s="9" t="str">
        <f>IFERROR(VLOOKUP(I1509,#REF!,2,0),"Sinalização")</f>
        <v>Sinalização</v>
      </c>
    </row>
    <row r="1510" spans="1:22" x14ac:dyDescent="0.25">
      <c r="A1510" s="3" t="s">
        <v>22</v>
      </c>
      <c r="B1510" s="4">
        <v>23090563</v>
      </c>
      <c r="C1510" s="5" t="s">
        <v>23</v>
      </c>
      <c r="D1510" s="6" t="s">
        <v>328</v>
      </c>
      <c r="E1510" s="6" t="s">
        <v>25</v>
      </c>
      <c r="F1510" s="11">
        <v>46154</v>
      </c>
      <c r="G1510" s="6" t="s">
        <v>1079</v>
      </c>
      <c r="H1510" s="7"/>
      <c r="I1510" s="7" t="s">
        <v>298</v>
      </c>
      <c r="J1510" s="7" t="s">
        <v>257</v>
      </c>
      <c r="K1510" s="7" t="s">
        <v>29</v>
      </c>
      <c r="L1510" s="3" t="str">
        <f>E1510&amp;D1510</f>
        <v>E.SP.IPAEE_INS_CONF_S_I_MCH 110VCC GRS 55BR_0180</v>
      </c>
      <c r="M1510" s="3" t="str">
        <f>IFERROR(MID(D1510,SEARCH("S_I_",D1510,1),3),"")</f>
        <v>S_I</v>
      </c>
      <c r="N1510" s="3" t="str">
        <f>IFERROR(MID(D1510,SEARCH("C_I_",D1510,1),3),"")</f>
        <v/>
      </c>
      <c r="O1510" s="3" t="str">
        <f>IF(AND(M1510="",N1510=""),"Extra","")</f>
        <v/>
      </c>
      <c r="P1510" s="3" t="str">
        <f>IF(Q1510=0,"TERCEIRO","MRS")</f>
        <v>MRS</v>
      </c>
      <c r="Q1510" s="8" t="str">
        <f>IFERROR(VLOOKUP(L1510,#REF!,4,0),"0,00")</f>
        <v>0,00</v>
      </c>
      <c r="R1510" s="9" t="s">
        <v>30</v>
      </c>
      <c r="S1510" s="9">
        <f>COUNTIF(D1510,"*_SEG_*")</f>
        <v>0</v>
      </c>
      <c r="T1510" s="9">
        <f>COUNTIF(D1510,"*_MAN_*")</f>
        <v>0</v>
      </c>
      <c r="U1510" s="9">
        <f>(RIGHT(D1510,4))*1</f>
        <v>180</v>
      </c>
      <c r="V1510" s="9" t="str">
        <f>IFERROR(VLOOKUP(I1510,#REF!,2,0),"Sinalização")</f>
        <v>Sinalização</v>
      </c>
    </row>
    <row r="1511" spans="1:22" x14ac:dyDescent="0.25">
      <c r="A1511" s="3" t="s">
        <v>22</v>
      </c>
      <c r="B1511" s="4">
        <v>23090564</v>
      </c>
      <c r="C1511" s="5" t="s">
        <v>23</v>
      </c>
      <c r="D1511" s="6" t="s">
        <v>328</v>
      </c>
      <c r="E1511" s="6" t="s">
        <v>25</v>
      </c>
      <c r="F1511" s="11">
        <v>46154</v>
      </c>
      <c r="G1511" s="6" t="s">
        <v>1079</v>
      </c>
      <c r="H1511" s="7"/>
      <c r="I1511" s="7" t="s">
        <v>299</v>
      </c>
      <c r="J1511" s="7" t="s">
        <v>257</v>
      </c>
      <c r="K1511" s="7" t="s">
        <v>29</v>
      </c>
      <c r="L1511" s="3" t="str">
        <f>E1511&amp;D1511</f>
        <v>E.SP.IPAEE_INS_CONF_S_I_MCH 110VCC GRS 55BR_0180</v>
      </c>
      <c r="M1511" s="3" t="str">
        <f>IFERROR(MID(D1511,SEARCH("S_I_",D1511,1),3),"")</f>
        <v>S_I</v>
      </c>
      <c r="N1511" s="3" t="str">
        <f>IFERROR(MID(D1511,SEARCH("C_I_",D1511,1),3),"")</f>
        <v/>
      </c>
      <c r="O1511" s="3" t="str">
        <f>IF(AND(M1511="",N1511=""),"Extra","")</f>
        <v/>
      </c>
      <c r="P1511" s="3" t="str">
        <f>IF(Q1511=0,"TERCEIRO","MRS")</f>
        <v>MRS</v>
      </c>
      <c r="Q1511" s="8" t="str">
        <f>IFERROR(VLOOKUP(L1511,#REF!,4,0),"0,00")</f>
        <v>0,00</v>
      </c>
      <c r="R1511" s="9" t="s">
        <v>30</v>
      </c>
      <c r="S1511" s="9">
        <f>COUNTIF(D1511,"*_SEG_*")</f>
        <v>0</v>
      </c>
      <c r="T1511" s="9">
        <f>COUNTIF(D1511,"*_MAN_*")</f>
        <v>0</v>
      </c>
      <c r="U1511" s="9">
        <f>(RIGHT(D1511,4))*1</f>
        <v>180</v>
      </c>
      <c r="V1511" s="9" t="str">
        <f>IFERROR(VLOOKUP(I1511,#REF!,2,0),"Sinalização")</f>
        <v>Sinalização</v>
      </c>
    </row>
    <row r="1512" spans="1:22" x14ac:dyDescent="0.25">
      <c r="A1512" s="3" t="s">
        <v>22</v>
      </c>
      <c r="B1512" s="4">
        <v>23090567</v>
      </c>
      <c r="C1512" s="5" t="s">
        <v>23</v>
      </c>
      <c r="D1512" s="6" t="s">
        <v>329</v>
      </c>
      <c r="E1512" s="6" t="s">
        <v>25</v>
      </c>
      <c r="F1512" s="11">
        <v>46154</v>
      </c>
      <c r="G1512" s="6" t="s">
        <v>1079</v>
      </c>
      <c r="H1512" s="7"/>
      <c r="I1512" s="7" t="s">
        <v>305</v>
      </c>
      <c r="J1512" s="7" t="s">
        <v>254</v>
      </c>
      <c r="K1512" s="7" t="s">
        <v>29</v>
      </c>
      <c r="L1512" s="3" t="str">
        <f>E1512&amp;D1512</f>
        <v>E.SP.IPAEE_INS_CONF_C_I_MAQ CHAVE M2/M3_0180</v>
      </c>
      <c r="M1512" s="3" t="str">
        <f>IFERROR(MID(D1512,SEARCH("S_I_",D1512,1),3),"")</f>
        <v/>
      </c>
      <c r="N1512" s="3" t="str">
        <f>IFERROR(MID(D1512,SEARCH("C_I_",D1512,1),3),"")</f>
        <v>C_I</v>
      </c>
      <c r="O1512" s="3" t="str">
        <f>IF(AND(M1512="",N1512=""),"Extra","")</f>
        <v/>
      </c>
      <c r="P1512" s="3" t="str">
        <f>IF(Q1512=0,"TERCEIRO","MRS")</f>
        <v>MRS</v>
      </c>
      <c r="Q1512" s="8" t="str">
        <f>IFERROR(VLOOKUP(L1512,#REF!,4,0),"0,00")</f>
        <v>0,00</v>
      </c>
      <c r="R1512" s="9" t="s">
        <v>42</v>
      </c>
      <c r="S1512" s="9">
        <f>COUNTIF(D1512,"*_SEG_*")</f>
        <v>0</v>
      </c>
      <c r="T1512" s="9">
        <f>COUNTIF(D1512,"*_MAN_*")</f>
        <v>0</v>
      </c>
      <c r="U1512" s="9">
        <f>(RIGHT(D1512,4))*1</f>
        <v>180</v>
      </c>
      <c r="V1512" s="9" t="str">
        <f>IFERROR(VLOOKUP(I1512,#REF!,2,0),"Sinalização")</f>
        <v>Sinalização</v>
      </c>
    </row>
    <row r="1513" spans="1:22" x14ac:dyDescent="0.25">
      <c r="A1513" s="3" t="s">
        <v>22</v>
      </c>
      <c r="B1513" s="4">
        <v>23090568</v>
      </c>
      <c r="C1513" s="5" t="s">
        <v>23</v>
      </c>
      <c r="D1513" s="6" t="s">
        <v>329</v>
      </c>
      <c r="E1513" s="6" t="s">
        <v>25</v>
      </c>
      <c r="F1513" s="11">
        <v>46154</v>
      </c>
      <c r="G1513" s="6" t="s">
        <v>1079</v>
      </c>
      <c r="H1513" s="7"/>
      <c r="I1513" s="7" t="s">
        <v>306</v>
      </c>
      <c r="J1513" s="7" t="s">
        <v>254</v>
      </c>
      <c r="K1513" s="7" t="s">
        <v>29</v>
      </c>
      <c r="L1513" s="3" t="str">
        <f>E1513&amp;D1513</f>
        <v>E.SP.IPAEE_INS_CONF_C_I_MAQ CHAVE M2/M3_0180</v>
      </c>
      <c r="M1513" s="3" t="str">
        <f>IFERROR(MID(D1513,SEARCH("S_I_",D1513,1),3),"")</f>
        <v/>
      </c>
      <c r="N1513" s="3" t="str">
        <f>IFERROR(MID(D1513,SEARCH("C_I_",D1513,1),3),"")</f>
        <v>C_I</v>
      </c>
      <c r="O1513" s="3" t="str">
        <f>IF(AND(M1513="",N1513=""),"Extra","")</f>
        <v/>
      </c>
      <c r="P1513" s="3" t="str">
        <f>IF(Q1513=0,"TERCEIRO","MRS")</f>
        <v>MRS</v>
      </c>
      <c r="Q1513" s="8" t="str">
        <f>IFERROR(VLOOKUP(L1513,#REF!,4,0),"0,00")</f>
        <v>0,00</v>
      </c>
      <c r="R1513" s="9" t="s">
        <v>42</v>
      </c>
      <c r="S1513" s="9">
        <f>COUNTIF(D1513,"*_SEG_*")</f>
        <v>0</v>
      </c>
      <c r="T1513" s="9">
        <f>COUNTIF(D1513,"*_MAN_*")</f>
        <v>0</v>
      </c>
      <c r="U1513" s="9">
        <f>(RIGHT(D1513,4))*1</f>
        <v>180</v>
      </c>
      <c r="V1513" s="9" t="str">
        <f>IFERROR(VLOOKUP(I1513,#REF!,2,0),"Sinalização")</f>
        <v>Sinalização</v>
      </c>
    </row>
    <row r="1514" spans="1:22" x14ac:dyDescent="0.25">
      <c r="A1514" s="3" t="s">
        <v>22</v>
      </c>
      <c r="B1514" s="4">
        <v>23090757</v>
      </c>
      <c r="C1514" s="5" t="s">
        <v>23</v>
      </c>
      <c r="D1514" s="6" t="s">
        <v>285</v>
      </c>
      <c r="E1514" s="6" t="s">
        <v>25</v>
      </c>
      <c r="F1514" s="11">
        <v>46154</v>
      </c>
      <c r="G1514" s="6" t="s">
        <v>1079</v>
      </c>
      <c r="H1514" s="7"/>
      <c r="I1514" s="7" t="s">
        <v>307</v>
      </c>
      <c r="J1514" s="7" t="s">
        <v>284</v>
      </c>
      <c r="K1514" s="7" t="s">
        <v>29</v>
      </c>
      <c r="L1514" s="3" t="str">
        <f>E1514&amp;D1514</f>
        <v>E.SP.IPAEE_INS_CONF_S_I_CIRCUITO VIA CA_0180</v>
      </c>
      <c r="M1514" s="3" t="str">
        <f>IFERROR(MID(D1514,SEARCH("S_I_",D1514,1),3),"")</f>
        <v>S_I</v>
      </c>
      <c r="N1514" s="3" t="str">
        <f>IFERROR(MID(D1514,SEARCH("C_I_",D1514,1),3),"")</f>
        <v/>
      </c>
      <c r="O1514" s="3" t="str">
        <f>IF(AND(M1514="",N1514=""),"Extra","")</f>
        <v/>
      </c>
      <c r="P1514" s="3" t="str">
        <f>IF(Q1514=0,"TERCEIRO","MRS")</f>
        <v>MRS</v>
      </c>
      <c r="Q1514" s="8" t="str">
        <f>IFERROR(VLOOKUP(L1514,#REF!,4,0),"0,00")</f>
        <v>0,00</v>
      </c>
      <c r="R1514" s="9" t="s">
        <v>57</v>
      </c>
      <c r="S1514" s="9">
        <f>COUNTIF(D1514,"*_SEG_*")</f>
        <v>0</v>
      </c>
      <c r="T1514" s="9">
        <f>COUNTIF(D1514,"*_MAN_*")</f>
        <v>0</v>
      </c>
      <c r="U1514" s="9">
        <f>(RIGHT(D1514,4))*1</f>
        <v>180</v>
      </c>
      <c r="V1514" s="9" t="str">
        <f>IFERROR(VLOOKUP(I1514,#REF!,2,0),"Sinalização")</f>
        <v>Sinalização</v>
      </c>
    </row>
    <row r="1515" spans="1:22" x14ac:dyDescent="0.25">
      <c r="A1515" s="3" t="s">
        <v>22</v>
      </c>
      <c r="B1515" s="4">
        <v>23090758</v>
      </c>
      <c r="C1515" s="5" t="s">
        <v>23</v>
      </c>
      <c r="D1515" s="6" t="s">
        <v>285</v>
      </c>
      <c r="E1515" s="6" t="s">
        <v>25</v>
      </c>
      <c r="F1515" s="11">
        <v>46154</v>
      </c>
      <c r="G1515" s="6" t="s">
        <v>1079</v>
      </c>
      <c r="H1515" s="7"/>
      <c r="I1515" s="7" t="s">
        <v>308</v>
      </c>
      <c r="J1515" s="7" t="s">
        <v>284</v>
      </c>
      <c r="K1515" s="7" t="s">
        <v>29</v>
      </c>
      <c r="L1515" s="3" t="str">
        <f>E1515&amp;D1515</f>
        <v>E.SP.IPAEE_INS_CONF_S_I_CIRCUITO VIA CA_0180</v>
      </c>
      <c r="M1515" s="3" t="str">
        <f>IFERROR(MID(D1515,SEARCH("S_I_",D1515,1),3),"")</f>
        <v>S_I</v>
      </c>
      <c r="N1515" s="3" t="str">
        <f>IFERROR(MID(D1515,SEARCH("C_I_",D1515,1),3),"")</f>
        <v/>
      </c>
      <c r="O1515" s="3" t="str">
        <f>IF(AND(M1515="",N1515=""),"Extra","")</f>
        <v/>
      </c>
      <c r="P1515" s="3" t="str">
        <f>IF(Q1515=0,"TERCEIRO","MRS")</f>
        <v>MRS</v>
      </c>
      <c r="Q1515" s="8" t="str">
        <f>IFERROR(VLOOKUP(L1515,#REF!,4,0),"0,00")</f>
        <v>0,00</v>
      </c>
      <c r="R1515" s="9" t="s">
        <v>57</v>
      </c>
      <c r="S1515" s="9">
        <f>COUNTIF(D1515,"*_SEG_*")</f>
        <v>0</v>
      </c>
      <c r="T1515" s="9">
        <f>COUNTIF(D1515,"*_MAN_*")</f>
        <v>0</v>
      </c>
      <c r="U1515" s="9">
        <f>(RIGHT(D1515,4))*1</f>
        <v>180</v>
      </c>
      <c r="V1515" s="9" t="str">
        <f>IFERROR(VLOOKUP(I1515,#REF!,2,0),"Sinalização")</f>
        <v>Sinalização</v>
      </c>
    </row>
    <row r="1516" spans="1:22" x14ac:dyDescent="0.25">
      <c r="A1516" s="3" t="s">
        <v>22</v>
      </c>
      <c r="B1516" s="4">
        <v>23091080</v>
      </c>
      <c r="C1516" s="5" t="s">
        <v>23</v>
      </c>
      <c r="D1516" s="6" t="s">
        <v>329</v>
      </c>
      <c r="E1516" s="6" t="s">
        <v>25</v>
      </c>
      <c r="F1516" s="11">
        <v>46154</v>
      </c>
      <c r="G1516" s="6" t="s">
        <v>1079</v>
      </c>
      <c r="H1516" s="7"/>
      <c r="I1516" s="7" t="s">
        <v>304</v>
      </c>
      <c r="J1516" s="7" t="s">
        <v>254</v>
      </c>
      <c r="K1516" s="7" t="s">
        <v>29</v>
      </c>
      <c r="L1516" s="3" t="str">
        <f>E1516&amp;D1516</f>
        <v>E.SP.IPAEE_INS_CONF_C_I_MAQ CHAVE M2/M3_0180</v>
      </c>
      <c r="M1516" s="3" t="str">
        <f>IFERROR(MID(D1516,SEARCH("S_I_",D1516,1),3),"")</f>
        <v/>
      </c>
      <c r="N1516" s="3" t="str">
        <f>IFERROR(MID(D1516,SEARCH("C_I_",D1516,1),3),"")</f>
        <v>C_I</v>
      </c>
      <c r="O1516" s="3" t="str">
        <f>IF(AND(M1516="",N1516=""),"Extra","")</f>
        <v/>
      </c>
      <c r="P1516" s="3" t="str">
        <f>IF(Q1516=0,"TERCEIRO","MRS")</f>
        <v>MRS</v>
      </c>
      <c r="Q1516" s="8" t="str">
        <f>IFERROR(VLOOKUP(L1516,#REF!,4,0),"0,00")</f>
        <v>0,00</v>
      </c>
      <c r="R1516" s="9" t="s">
        <v>42</v>
      </c>
      <c r="S1516" s="9">
        <f>COUNTIF(D1516,"*_SEG_*")</f>
        <v>0</v>
      </c>
      <c r="T1516" s="9">
        <f>COUNTIF(D1516,"*_MAN_*")</f>
        <v>0</v>
      </c>
      <c r="U1516" s="9">
        <f>(RIGHT(D1516,4))*1</f>
        <v>180</v>
      </c>
      <c r="V1516" s="9" t="str">
        <f>IFERROR(VLOOKUP(I1516,#REF!,2,0),"Sinalização")</f>
        <v>Sinalização</v>
      </c>
    </row>
    <row r="1517" spans="1:22" x14ac:dyDescent="0.25">
      <c r="A1517" s="3" t="s">
        <v>22</v>
      </c>
      <c r="B1517" s="4">
        <v>20630061</v>
      </c>
      <c r="C1517" s="5" t="s">
        <v>23</v>
      </c>
      <c r="D1517" s="6" t="s">
        <v>39</v>
      </c>
      <c r="E1517" s="6" t="s">
        <v>25</v>
      </c>
      <c r="F1517" s="11">
        <v>46153</v>
      </c>
      <c r="G1517" s="6" t="s">
        <v>1079</v>
      </c>
      <c r="H1517" s="7"/>
      <c r="I1517" s="7" t="s">
        <v>40</v>
      </c>
      <c r="J1517" s="7" t="s">
        <v>41</v>
      </c>
      <c r="K1517" s="7" t="s">
        <v>29</v>
      </c>
      <c r="L1517" s="3" t="str">
        <f>E1517&amp;D1517</f>
        <v>E.SP.IPAEE_INS_CONF_C_I_MCH 110V GRS 55BR R_1080</v>
      </c>
      <c r="M1517" s="3" t="str">
        <f>IFERROR(MID(D1517,SEARCH("S_I_",D1517,1),3),"")</f>
        <v/>
      </c>
      <c r="N1517" s="3" t="str">
        <f>IFERROR(MID(D1517,SEARCH("C_I_",D1517,1),3),"")</f>
        <v>C_I</v>
      </c>
      <c r="O1517" s="3" t="str">
        <f>IF(AND(M1517="",N1517=""),"Extra","")</f>
        <v/>
      </c>
      <c r="P1517" s="3" t="str">
        <f>IF(Q1517=0,"TERCEIRO","MRS")</f>
        <v>MRS</v>
      </c>
      <c r="Q1517" s="8" t="str">
        <f>IFERROR(VLOOKUP(L1517,#REF!,4,0),"0,00")</f>
        <v>0,00</v>
      </c>
      <c r="R1517" s="9" t="s">
        <v>42</v>
      </c>
      <c r="S1517" s="9">
        <f>COUNTIF(D1517,"*_SEG_*")</f>
        <v>0</v>
      </c>
      <c r="T1517" s="9">
        <f>COUNTIF(D1517,"*_MAN_*")</f>
        <v>0</v>
      </c>
      <c r="U1517" s="9">
        <f>(RIGHT(D1517,4))*1</f>
        <v>1080</v>
      </c>
      <c r="V1517" s="9" t="str">
        <f>IFERROR(VLOOKUP(I1517,#REF!,2,0),"Sinalização")</f>
        <v>Sinalização</v>
      </c>
    </row>
    <row r="1518" spans="1:22" x14ac:dyDescent="0.25">
      <c r="A1518" s="3" t="s">
        <v>22</v>
      </c>
      <c r="B1518" s="4">
        <v>22603318</v>
      </c>
      <c r="C1518" s="5" t="s">
        <v>23</v>
      </c>
      <c r="D1518" s="6" t="s">
        <v>88</v>
      </c>
      <c r="E1518" s="6" t="s">
        <v>25</v>
      </c>
      <c r="F1518" s="11">
        <v>46153</v>
      </c>
      <c r="G1518" s="6" t="s">
        <v>1079</v>
      </c>
      <c r="H1518" s="7"/>
      <c r="I1518" s="7" t="s">
        <v>89</v>
      </c>
      <c r="J1518" s="7" t="s">
        <v>90</v>
      </c>
      <c r="K1518" s="7" t="s">
        <v>29</v>
      </c>
      <c r="L1518" s="3" t="str">
        <f>E1518&amp;D1518</f>
        <v>E.SP.IPAEE_INS_CONF_S_I_REP DIG TT MEC MAN_0360</v>
      </c>
      <c r="M1518" s="3" t="str">
        <f>IFERROR(MID(D1518,SEARCH("S_I_",D1518,1),3),"")</f>
        <v>S_I</v>
      </c>
      <c r="N1518" s="3" t="str">
        <f>IFERROR(MID(D1518,SEARCH("C_I_",D1518,1),3),"")</f>
        <v/>
      </c>
      <c r="O1518" s="3" t="str">
        <f>IF(AND(M1518="",N1518=""),"Extra","")</f>
        <v/>
      </c>
      <c r="P1518" s="3" t="str">
        <f>IF(Q1518=0,"TERCEIRO","MRS")</f>
        <v>MRS</v>
      </c>
      <c r="Q1518" s="8" t="str">
        <f>IFERROR(VLOOKUP(L1518,#REF!,4,0),"0,00")</f>
        <v>0,00</v>
      </c>
      <c r="R1518" s="9" t="s">
        <v>42</v>
      </c>
      <c r="S1518" s="9">
        <f>COUNTIF(D1518,"*_SEG_*")</f>
        <v>0</v>
      </c>
      <c r="T1518" s="9">
        <f>COUNTIF(D1518,"*_MAN_*")</f>
        <v>0</v>
      </c>
      <c r="U1518" s="9">
        <f>(RIGHT(D1518,4))*1</f>
        <v>360</v>
      </c>
      <c r="V1518" s="9" t="str">
        <f>IFERROR(VLOOKUP(I1518,#REF!,2,0),"Sinalização")</f>
        <v>Sinalização</v>
      </c>
    </row>
    <row r="1519" spans="1:22" x14ac:dyDescent="0.25">
      <c r="A1519" s="3" t="s">
        <v>22</v>
      </c>
      <c r="B1519" s="4">
        <v>22603319</v>
      </c>
      <c r="C1519" s="5" t="s">
        <v>23</v>
      </c>
      <c r="D1519" s="6" t="s">
        <v>88</v>
      </c>
      <c r="E1519" s="6" t="s">
        <v>25</v>
      </c>
      <c r="F1519" s="11">
        <v>46153</v>
      </c>
      <c r="G1519" s="6" t="s">
        <v>1079</v>
      </c>
      <c r="H1519" s="7"/>
      <c r="I1519" s="7" t="s">
        <v>91</v>
      </c>
      <c r="J1519" s="7" t="s">
        <v>90</v>
      </c>
      <c r="K1519" s="7" t="s">
        <v>29</v>
      </c>
      <c r="L1519" s="3" t="str">
        <f>E1519&amp;D1519</f>
        <v>E.SP.IPAEE_INS_CONF_S_I_REP DIG TT MEC MAN_0360</v>
      </c>
      <c r="M1519" s="3" t="str">
        <f>IFERROR(MID(D1519,SEARCH("S_I_",D1519,1),3),"")</f>
        <v>S_I</v>
      </c>
      <c r="N1519" s="3" t="str">
        <f>IFERROR(MID(D1519,SEARCH("C_I_",D1519,1),3),"")</f>
        <v/>
      </c>
      <c r="O1519" s="3" t="str">
        <f>IF(AND(M1519="",N1519=""),"Extra","")</f>
        <v/>
      </c>
      <c r="P1519" s="3" t="str">
        <f>IF(Q1519=0,"TERCEIRO","MRS")</f>
        <v>MRS</v>
      </c>
      <c r="Q1519" s="8" t="str">
        <f>IFERROR(VLOOKUP(L1519,#REF!,4,0),"0,00")</f>
        <v>0,00</v>
      </c>
      <c r="R1519" s="9" t="s">
        <v>42</v>
      </c>
      <c r="S1519" s="9">
        <f>COUNTIF(D1519,"*_SEG_*")</f>
        <v>0</v>
      </c>
      <c r="T1519" s="9">
        <f>COUNTIF(D1519,"*_MAN_*")</f>
        <v>0</v>
      </c>
      <c r="U1519" s="9">
        <f>(RIGHT(D1519,4))*1</f>
        <v>360</v>
      </c>
      <c r="V1519" s="9" t="str">
        <f>IFERROR(VLOOKUP(I1519,#REF!,2,0),"Sinalização")</f>
        <v>Sinalização</v>
      </c>
    </row>
    <row r="1520" spans="1:22" x14ac:dyDescent="0.25">
      <c r="A1520" s="3" t="s">
        <v>22</v>
      </c>
      <c r="B1520" s="4">
        <v>22603320</v>
      </c>
      <c r="C1520" s="5" t="s">
        <v>23</v>
      </c>
      <c r="D1520" s="6" t="s">
        <v>88</v>
      </c>
      <c r="E1520" s="6" t="s">
        <v>25</v>
      </c>
      <c r="F1520" s="11">
        <v>46153</v>
      </c>
      <c r="G1520" s="6" t="s">
        <v>1079</v>
      </c>
      <c r="H1520" s="7"/>
      <c r="I1520" s="7" t="s">
        <v>92</v>
      </c>
      <c r="J1520" s="7" t="s">
        <v>90</v>
      </c>
      <c r="K1520" s="7" t="s">
        <v>29</v>
      </c>
      <c r="L1520" s="3" t="str">
        <f>E1520&amp;D1520</f>
        <v>E.SP.IPAEE_INS_CONF_S_I_REP DIG TT MEC MAN_0360</v>
      </c>
      <c r="M1520" s="3" t="str">
        <f>IFERROR(MID(D1520,SEARCH("S_I_",D1520,1),3),"")</f>
        <v>S_I</v>
      </c>
      <c r="N1520" s="3" t="str">
        <f>IFERROR(MID(D1520,SEARCH("C_I_",D1520,1),3),"")</f>
        <v/>
      </c>
      <c r="O1520" s="3" t="str">
        <f>IF(AND(M1520="",N1520=""),"Extra","")</f>
        <v/>
      </c>
      <c r="P1520" s="3" t="str">
        <f>IF(Q1520=0,"TERCEIRO","MRS")</f>
        <v>MRS</v>
      </c>
      <c r="Q1520" s="8" t="str">
        <f>IFERROR(VLOOKUP(L1520,#REF!,4,0),"0,00")</f>
        <v>0,00</v>
      </c>
      <c r="R1520" s="9" t="s">
        <v>42</v>
      </c>
      <c r="S1520" s="9">
        <f>COUNTIF(D1520,"*_SEG_*")</f>
        <v>0</v>
      </c>
      <c r="T1520" s="9">
        <f>COUNTIF(D1520,"*_MAN_*")</f>
        <v>0</v>
      </c>
      <c r="U1520" s="9">
        <f>(RIGHT(D1520,4))*1</f>
        <v>360</v>
      </c>
      <c r="V1520" s="9" t="str">
        <f>IFERROR(VLOOKUP(I1520,#REF!,2,0),"Sinalização")</f>
        <v>Sinalização</v>
      </c>
    </row>
    <row r="1521" spans="1:22" x14ac:dyDescent="0.25">
      <c r="A1521" s="3" t="s">
        <v>22</v>
      </c>
      <c r="B1521" s="4">
        <v>22603321</v>
      </c>
      <c r="C1521" s="5" t="s">
        <v>23</v>
      </c>
      <c r="D1521" s="6" t="s">
        <v>88</v>
      </c>
      <c r="E1521" s="6" t="s">
        <v>25</v>
      </c>
      <c r="F1521" s="11">
        <v>46153</v>
      </c>
      <c r="G1521" s="6" t="s">
        <v>1079</v>
      </c>
      <c r="H1521" s="7"/>
      <c r="I1521" s="7" t="s">
        <v>93</v>
      </c>
      <c r="J1521" s="7" t="s">
        <v>90</v>
      </c>
      <c r="K1521" s="7" t="s">
        <v>29</v>
      </c>
      <c r="L1521" s="3" t="str">
        <f>E1521&amp;D1521</f>
        <v>E.SP.IPAEE_INS_CONF_S_I_REP DIG TT MEC MAN_0360</v>
      </c>
      <c r="M1521" s="3" t="str">
        <f>IFERROR(MID(D1521,SEARCH("S_I_",D1521,1),3),"")</f>
        <v>S_I</v>
      </c>
      <c r="N1521" s="3" t="str">
        <f>IFERROR(MID(D1521,SEARCH("C_I_",D1521,1),3),"")</f>
        <v/>
      </c>
      <c r="O1521" s="3" t="str">
        <f>IF(AND(M1521="",N1521=""),"Extra","")</f>
        <v/>
      </c>
      <c r="P1521" s="3" t="str">
        <f>IF(Q1521=0,"TERCEIRO","MRS")</f>
        <v>MRS</v>
      </c>
      <c r="Q1521" s="8" t="str">
        <f>IFERROR(VLOOKUP(L1521,#REF!,4,0),"0,00")</f>
        <v>0,00</v>
      </c>
      <c r="R1521" s="9" t="s">
        <v>42</v>
      </c>
      <c r="S1521" s="9">
        <f>COUNTIF(D1521,"*_SEG_*")</f>
        <v>0</v>
      </c>
      <c r="T1521" s="9">
        <f>COUNTIF(D1521,"*_MAN_*")</f>
        <v>0</v>
      </c>
      <c r="U1521" s="9">
        <f>(RIGHT(D1521,4))*1</f>
        <v>360</v>
      </c>
      <c r="V1521" s="9" t="str">
        <f>IFERROR(VLOOKUP(I1521,#REF!,2,0),"Sinalização")</f>
        <v>Sinalização</v>
      </c>
    </row>
    <row r="1522" spans="1:22" x14ac:dyDescent="0.25">
      <c r="A1522" s="3" t="s">
        <v>22</v>
      </c>
      <c r="B1522" s="4">
        <v>22603322</v>
      </c>
      <c r="C1522" s="5" t="s">
        <v>23</v>
      </c>
      <c r="D1522" s="6" t="s">
        <v>88</v>
      </c>
      <c r="E1522" s="6" t="s">
        <v>25</v>
      </c>
      <c r="F1522" s="11">
        <v>46153</v>
      </c>
      <c r="G1522" s="6" t="s">
        <v>1079</v>
      </c>
      <c r="H1522" s="7"/>
      <c r="I1522" s="7" t="s">
        <v>94</v>
      </c>
      <c r="J1522" s="7" t="s">
        <v>90</v>
      </c>
      <c r="K1522" s="7" t="s">
        <v>29</v>
      </c>
      <c r="L1522" s="3" t="str">
        <f>E1522&amp;D1522</f>
        <v>E.SP.IPAEE_INS_CONF_S_I_REP DIG TT MEC MAN_0360</v>
      </c>
      <c r="M1522" s="3" t="str">
        <f>IFERROR(MID(D1522,SEARCH("S_I_",D1522,1),3),"")</f>
        <v>S_I</v>
      </c>
      <c r="N1522" s="3" t="str">
        <f>IFERROR(MID(D1522,SEARCH("C_I_",D1522,1),3),"")</f>
        <v/>
      </c>
      <c r="O1522" s="3" t="str">
        <f>IF(AND(M1522="",N1522=""),"Extra","")</f>
        <v/>
      </c>
      <c r="P1522" s="3" t="str">
        <f>IF(Q1522=0,"TERCEIRO","MRS")</f>
        <v>MRS</v>
      </c>
      <c r="Q1522" s="8" t="str">
        <f>IFERROR(VLOOKUP(L1522,#REF!,4,0),"0,00")</f>
        <v>0,00</v>
      </c>
      <c r="R1522" s="9" t="s">
        <v>42</v>
      </c>
      <c r="S1522" s="9">
        <f>COUNTIF(D1522,"*_SEG_*")</f>
        <v>0</v>
      </c>
      <c r="T1522" s="9">
        <f>COUNTIF(D1522,"*_MAN_*")</f>
        <v>0</v>
      </c>
      <c r="U1522" s="9">
        <f>(RIGHT(D1522,4))*1</f>
        <v>360</v>
      </c>
      <c r="V1522" s="9" t="str">
        <f>IFERROR(VLOOKUP(I1522,#REF!,2,0),"Sinalização")</f>
        <v>Sinalização</v>
      </c>
    </row>
    <row r="1523" spans="1:22" x14ac:dyDescent="0.25">
      <c r="A1523" s="3" t="s">
        <v>22</v>
      </c>
      <c r="B1523" s="4">
        <v>22603869</v>
      </c>
      <c r="C1523" s="5" t="s">
        <v>23</v>
      </c>
      <c r="D1523" s="6" t="s">
        <v>95</v>
      </c>
      <c r="E1523" s="6" t="s">
        <v>25</v>
      </c>
      <c r="F1523" s="11">
        <v>46153</v>
      </c>
      <c r="G1523" s="6" t="s">
        <v>1079</v>
      </c>
      <c r="H1523" s="7"/>
      <c r="I1523" s="7" t="s">
        <v>96</v>
      </c>
      <c r="J1523" s="7" t="s">
        <v>97</v>
      </c>
      <c r="K1523" s="7" t="s">
        <v>29</v>
      </c>
      <c r="L1523" s="3" t="str">
        <f>E1523&amp;D1523</f>
        <v>E.SP.IPAEE_MAN_CONF_S_I_QUADRO DISTR ENER_0360</v>
      </c>
      <c r="M1523" s="3" t="str">
        <f>IFERROR(MID(D1523,SEARCH("S_I_",D1523,1),3),"")</f>
        <v>S_I</v>
      </c>
      <c r="N1523" s="3" t="str">
        <f>IFERROR(MID(D1523,SEARCH("C_I_",D1523,1),3),"")</f>
        <v/>
      </c>
      <c r="O1523" s="3" t="str">
        <f>IF(AND(M1523="",N1523=""),"Extra","")</f>
        <v/>
      </c>
      <c r="P1523" s="3" t="str">
        <f>IF(Q1523=0,"TERCEIRO","MRS")</f>
        <v>MRS</v>
      </c>
      <c r="Q1523" s="8" t="str">
        <f>IFERROR(VLOOKUP(L1523,#REF!,4,0),"0,00")</f>
        <v>0,00</v>
      </c>
      <c r="R1523" s="9" t="s">
        <v>98</v>
      </c>
      <c r="S1523" s="9">
        <f>COUNTIF(D1523,"*_SEG_*")</f>
        <v>0</v>
      </c>
      <c r="T1523" s="9">
        <f>COUNTIF(D1523,"*_MAN_*")</f>
        <v>1</v>
      </c>
      <c r="U1523" s="9">
        <f>(RIGHT(D1523,4))*1</f>
        <v>360</v>
      </c>
      <c r="V1523" s="9" t="str">
        <f>IFERROR(VLOOKUP(I1523,#REF!,2,0),"Sinalização")</f>
        <v>Sinalização</v>
      </c>
    </row>
    <row r="1524" spans="1:22" x14ac:dyDescent="0.25">
      <c r="A1524" s="3" t="s">
        <v>22</v>
      </c>
      <c r="B1524" s="4">
        <v>22604323</v>
      </c>
      <c r="C1524" s="5" t="s">
        <v>23</v>
      </c>
      <c r="D1524" s="6" t="s">
        <v>99</v>
      </c>
      <c r="E1524" s="6" t="s">
        <v>25</v>
      </c>
      <c r="F1524" s="11">
        <v>46153</v>
      </c>
      <c r="G1524" s="6" t="s">
        <v>1079</v>
      </c>
      <c r="H1524" s="7"/>
      <c r="I1524" s="7" t="s">
        <v>100</v>
      </c>
      <c r="J1524" s="7" t="s">
        <v>101</v>
      </c>
      <c r="K1524" s="7" t="s">
        <v>29</v>
      </c>
      <c r="L1524" s="3" t="str">
        <f>E1524&amp;D1524</f>
        <v>E.SP.IPAT_EE_MAN_CONF_C_I_GRUP MOTOR GERAD_0360</v>
      </c>
      <c r="M1524" s="3" t="str">
        <f>IFERROR(MID(D1524,SEARCH("S_I_",D1524,1),3),"")</f>
        <v/>
      </c>
      <c r="N1524" s="3" t="str">
        <f>IFERROR(MID(D1524,SEARCH("C_I_",D1524,1),3),"")</f>
        <v>C_I</v>
      </c>
      <c r="O1524" s="3" t="str">
        <f>IF(AND(M1524="",N1524=""),"Extra","")</f>
        <v/>
      </c>
      <c r="P1524" s="3" t="str">
        <f>IF(Q1524=0,"TERCEIRO","MRS")</f>
        <v>MRS</v>
      </c>
      <c r="Q1524" s="8" t="str">
        <f>IFERROR(VLOOKUP(L1524,#REF!,4,0),"0,00")</f>
        <v>0,00</v>
      </c>
      <c r="R1524" s="9" t="s">
        <v>42</v>
      </c>
      <c r="S1524" s="9">
        <f>COUNTIF(D1524,"*_SEG_*")</f>
        <v>0</v>
      </c>
      <c r="T1524" s="9">
        <f>COUNTIF(D1524,"*_MAN_*")</f>
        <v>1</v>
      </c>
      <c r="U1524" s="9">
        <f>(RIGHT(D1524,4))*1</f>
        <v>360</v>
      </c>
      <c r="V1524" s="9" t="str">
        <f>IFERROR(VLOOKUP(I1524,#REF!,2,0),"Sinalização")</f>
        <v>Sinalização</v>
      </c>
    </row>
    <row r="1525" spans="1:22" x14ac:dyDescent="0.25">
      <c r="A1525" s="3" t="s">
        <v>22</v>
      </c>
      <c r="B1525" s="4">
        <v>22604368</v>
      </c>
      <c r="C1525" s="5" t="s">
        <v>23</v>
      </c>
      <c r="D1525" s="6" t="s">
        <v>102</v>
      </c>
      <c r="E1525" s="6" t="s">
        <v>25</v>
      </c>
      <c r="F1525" s="11">
        <v>46153</v>
      </c>
      <c r="G1525" s="6" t="s">
        <v>1079</v>
      </c>
      <c r="H1525" s="7"/>
      <c r="I1525" s="7" t="s">
        <v>103</v>
      </c>
      <c r="J1525" s="7" t="s">
        <v>104</v>
      </c>
      <c r="K1525" s="7" t="s">
        <v>29</v>
      </c>
      <c r="L1525" s="3" t="str">
        <f>E1525&amp;D1525</f>
        <v>E.SP.IPAEE_INS_CONF_S_I_EST DE VOZ E DADOS_0360</v>
      </c>
      <c r="M1525" s="3" t="str">
        <f>IFERROR(MID(D1525,SEARCH("S_I_",D1525,1),3),"")</f>
        <v>S_I</v>
      </c>
      <c r="N1525" s="3" t="str">
        <f>IFERROR(MID(D1525,SEARCH("C_I_",D1525,1),3),"")</f>
        <v/>
      </c>
      <c r="O1525" s="3" t="str">
        <f>IF(AND(M1525="",N1525=""),"Extra","")</f>
        <v/>
      </c>
      <c r="P1525" s="3" t="str">
        <f>IF(Q1525=0,"TERCEIRO","MRS")</f>
        <v>MRS</v>
      </c>
      <c r="Q1525" s="8" t="str">
        <f>IFERROR(VLOOKUP(L1525,#REF!,4,0),"0,00")</f>
        <v>0,00</v>
      </c>
      <c r="R1525" s="9" t="s">
        <v>42</v>
      </c>
      <c r="S1525" s="9">
        <f>COUNTIF(D1525,"*_SEG_*")</f>
        <v>0</v>
      </c>
      <c r="T1525" s="9">
        <f>COUNTIF(D1525,"*_MAN_*")</f>
        <v>0</v>
      </c>
      <c r="U1525" s="9">
        <f>(RIGHT(D1525,4))*1</f>
        <v>360</v>
      </c>
      <c r="V1525" s="9" t="str">
        <f>IFERROR(VLOOKUP(I1525,#REF!,2,0),"Sinalização")</f>
        <v>Sinalização</v>
      </c>
    </row>
    <row r="1526" spans="1:22" x14ac:dyDescent="0.25">
      <c r="A1526" s="3" t="s">
        <v>22</v>
      </c>
      <c r="B1526" s="4">
        <v>22604408</v>
      </c>
      <c r="C1526" s="5" t="s">
        <v>23</v>
      </c>
      <c r="D1526" s="6" t="s">
        <v>105</v>
      </c>
      <c r="E1526" s="6" t="s">
        <v>25</v>
      </c>
      <c r="F1526" s="11">
        <v>46153</v>
      </c>
      <c r="G1526" s="6" t="s">
        <v>1079</v>
      </c>
      <c r="H1526" s="7"/>
      <c r="I1526" s="7" t="s">
        <v>106</v>
      </c>
      <c r="J1526" s="7" t="s">
        <v>107</v>
      </c>
      <c r="K1526" s="7" t="s">
        <v>29</v>
      </c>
      <c r="L1526" s="3" t="str">
        <f>E1526&amp;D1526</f>
        <v>E.SP.IPAEE_INS_CONF_S_I_LOG PR C.PROGR REM_0360</v>
      </c>
      <c r="M1526" s="3" t="str">
        <f>IFERROR(MID(D1526,SEARCH("S_I_",D1526,1),3),"")</f>
        <v>S_I</v>
      </c>
      <c r="N1526" s="3" t="str">
        <f>IFERROR(MID(D1526,SEARCH("C_I_",D1526,1),3),"")</f>
        <v/>
      </c>
      <c r="O1526" s="3" t="str">
        <f>IF(AND(M1526="",N1526=""),"Extra","")</f>
        <v/>
      </c>
      <c r="P1526" s="3" t="str">
        <f>IF(Q1526=0,"TERCEIRO","MRS")</f>
        <v>MRS</v>
      </c>
      <c r="Q1526" s="8" t="str">
        <f>IFERROR(VLOOKUP(L1526,#REF!,4,0),"0,00")</f>
        <v>0,00</v>
      </c>
      <c r="R1526" s="9" t="s">
        <v>42</v>
      </c>
      <c r="S1526" s="9">
        <f>COUNTIF(D1526,"*_SEG_*")</f>
        <v>0</v>
      </c>
      <c r="T1526" s="9">
        <f>COUNTIF(D1526,"*_MAN_*")</f>
        <v>0</v>
      </c>
      <c r="U1526" s="9">
        <f>(RIGHT(D1526,4))*1</f>
        <v>360</v>
      </c>
      <c r="V1526" s="9" t="str">
        <f>IFERROR(VLOOKUP(I1526,#REF!,2,0),"Sinalização")</f>
        <v>Sinalização</v>
      </c>
    </row>
    <row r="1527" spans="1:22" x14ac:dyDescent="0.25">
      <c r="A1527" s="3" t="s">
        <v>22</v>
      </c>
      <c r="B1527" s="4">
        <v>22604486</v>
      </c>
      <c r="C1527" s="5" t="s">
        <v>23</v>
      </c>
      <c r="D1527" s="6" t="s">
        <v>85</v>
      </c>
      <c r="E1527" s="6" t="s">
        <v>25</v>
      </c>
      <c r="F1527" s="11">
        <v>46153</v>
      </c>
      <c r="G1527" s="6" t="s">
        <v>1079</v>
      </c>
      <c r="H1527" s="7"/>
      <c r="I1527" s="7" t="s">
        <v>108</v>
      </c>
      <c r="J1527" s="7" t="s">
        <v>87</v>
      </c>
      <c r="K1527" s="7" t="s">
        <v>29</v>
      </c>
      <c r="L1527" s="3" t="str">
        <f>E1527&amp;D1527</f>
        <v>E.SP.IPAEE_INS_CONF_S_I_BATERIAS_0360</v>
      </c>
      <c r="M1527" s="3" t="str">
        <f>IFERROR(MID(D1527,SEARCH("S_I_",D1527,1),3),"")</f>
        <v>S_I</v>
      </c>
      <c r="N1527" s="3" t="str">
        <f>IFERROR(MID(D1527,SEARCH("C_I_",D1527,1),3),"")</f>
        <v/>
      </c>
      <c r="O1527" s="3" t="str">
        <f>IF(AND(M1527="",N1527=""),"Extra","")</f>
        <v/>
      </c>
      <c r="P1527" s="3" t="str">
        <f>IF(Q1527=0,"TERCEIRO","MRS")</f>
        <v>MRS</v>
      </c>
      <c r="Q1527" s="8" t="str">
        <f>IFERROR(VLOOKUP(L1527,#REF!,4,0),"0,00")</f>
        <v>0,00</v>
      </c>
      <c r="R1527" s="9" t="s">
        <v>42</v>
      </c>
      <c r="S1527" s="9">
        <f>COUNTIF(D1527,"*_SEG_*")</f>
        <v>0</v>
      </c>
      <c r="T1527" s="9">
        <f>COUNTIF(D1527,"*_MAN_*")</f>
        <v>0</v>
      </c>
      <c r="U1527" s="9">
        <f>(RIGHT(D1527,4))*1</f>
        <v>360</v>
      </c>
      <c r="V1527" s="9" t="str">
        <f>IFERROR(VLOOKUP(I1527,#REF!,2,0),"Sinalização")</f>
        <v>Sinalização</v>
      </c>
    </row>
    <row r="1528" spans="1:22" x14ac:dyDescent="0.25">
      <c r="A1528" s="3" t="s">
        <v>22</v>
      </c>
      <c r="B1528" s="4">
        <v>22604488</v>
      </c>
      <c r="C1528" s="5" t="s">
        <v>23</v>
      </c>
      <c r="D1528" s="6" t="s">
        <v>85</v>
      </c>
      <c r="E1528" s="6" t="s">
        <v>25</v>
      </c>
      <c r="F1528" s="11">
        <v>46153</v>
      </c>
      <c r="G1528" s="6" t="s">
        <v>1079</v>
      </c>
      <c r="H1528" s="7"/>
      <c r="I1528" s="7" t="s">
        <v>109</v>
      </c>
      <c r="J1528" s="7" t="s">
        <v>87</v>
      </c>
      <c r="K1528" s="7" t="s">
        <v>29</v>
      </c>
      <c r="L1528" s="3" t="str">
        <f>E1528&amp;D1528</f>
        <v>E.SP.IPAEE_INS_CONF_S_I_BATERIAS_0360</v>
      </c>
      <c r="M1528" s="3" t="str">
        <f>IFERROR(MID(D1528,SEARCH("S_I_",D1528,1),3),"")</f>
        <v>S_I</v>
      </c>
      <c r="N1528" s="3" t="str">
        <f>IFERROR(MID(D1528,SEARCH("C_I_",D1528,1),3),"")</f>
        <v/>
      </c>
      <c r="O1528" s="3" t="str">
        <f>IF(AND(M1528="",N1528=""),"Extra","")</f>
        <v/>
      </c>
      <c r="P1528" s="3" t="str">
        <f>IF(Q1528=0,"TERCEIRO","MRS")</f>
        <v>MRS</v>
      </c>
      <c r="Q1528" s="8" t="str">
        <f>IFERROR(VLOOKUP(L1528,#REF!,4,0),"0,00")</f>
        <v>0,00</v>
      </c>
      <c r="R1528" s="9" t="s">
        <v>42</v>
      </c>
      <c r="S1528" s="9">
        <f>COUNTIF(D1528,"*_SEG_*")</f>
        <v>0</v>
      </c>
      <c r="T1528" s="9">
        <f>COUNTIF(D1528,"*_MAN_*")</f>
        <v>0</v>
      </c>
      <c r="U1528" s="9">
        <f>(RIGHT(D1528,4))*1</f>
        <v>360</v>
      </c>
      <c r="V1528" s="9" t="str">
        <f>IFERROR(VLOOKUP(I1528,#REF!,2,0),"Sinalização")</f>
        <v>Sinalização</v>
      </c>
    </row>
    <row r="1529" spans="1:22" x14ac:dyDescent="0.25">
      <c r="A1529" s="3" t="s">
        <v>22</v>
      </c>
      <c r="B1529" s="4">
        <v>22604489</v>
      </c>
      <c r="C1529" s="5" t="s">
        <v>23</v>
      </c>
      <c r="D1529" s="6" t="s">
        <v>85</v>
      </c>
      <c r="E1529" s="6" t="s">
        <v>25</v>
      </c>
      <c r="F1529" s="11">
        <v>46153</v>
      </c>
      <c r="G1529" s="6" t="s">
        <v>1079</v>
      </c>
      <c r="H1529" s="7"/>
      <c r="I1529" s="7" t="s">
        <v>110</v>
      </c>
      <c r="J1529" s="7" t="s">
        <v>87</v>
      </c>
      <c r="K1529" s="7" t="s">
        <v>29</v>
      </c>
      <c r="L1529" s="3" t="str">
        <f>E1529&amp;D1529</f>
        <v>E.SP.IPAEE_INS_CONF_S_I_BATERIAS_0360</v>
      </c>
      <c r="M1529" s="3" t="str">
        <f>IFERROR(MID(D1529,SEARCH("S_I_",D1529,1),3),"")</f>
        <v>S_I</v>
      </c>
      <c r="N1529" s="3" t="str">
        <f>IFERROR(MID(D1529,SEARCH("C_I_",D1529,1),3),"")</f>
        <v/>
      </c>
      <c r="O1529" s="3" t="str">
        <f>IF(AND(M1529="",N1529=""),"Extra","")</f>
        <v/>
      </c>
      <c r="P1529" s="3" t="str">
        <f>IF(Q1529=0,"TERCEIRO","MRS")</f>
        <v>MRS</v>
      </c>
      <c r="Q1529" s="8" t="str">
        <f>IFERROR(VLOOKUP(L1529,#REF!,4,0),"0,00")</f>
        <v>0,00</v>
      </c>
      <c r="R1529" s="9" t="s">
        <v>42</v>
      </c>
      <c r="S1529" s="9">
        <f>COUNTIF(D1529,"*_SEG_*")</f>
        <v>0</v>
      </c>
      <c r="T1529" s="9">
        <f>COUNTIF(D1529,"*_MAN_*")</f>
        <v>0</v>
      </c>
      <c r="U1529" s="9">
        <f>(RIGHT(D1529,4))*1</f>
        <v>360</v>
      </c>
      <c r="V1529" s="9" t="str">
        <f>IFERROR(VLOOKUP(I1529,#REF!,2,0),"Sinalização")</f>
        <v>Sinalização</v>
      </c>
    </row>
    <row r="1530" spans="1:22" x14ac:dyDescent="0.25">
      <c r="A1530" s="3" t="s">
        <v>22</v>
      </c>
      <c r="B1530" s="4">
        <v>22604712</v>
      </c>
      <c r="C1530" s="5" t="s">
        <v>23</v>
      </c>
      <c r="D1530" s="6" t="s">
        <v>111</v>
      </c>
      <c r="E1530" s="6" t="s">
        <v>25</v>
      </c>
      <c r="F1530" s="11">
        <v>46153</v>
      </c>
      <c r="G1530" s="6" t="s">
        <v>1079</v>
      </c>
      <c r="H1530" s="7"/>
      <c r="I1530" s="7" t="s">
        <v>112</v>
      </c>
      <c r="J1530" s="7" t="s">
        <v>113</v>
      </c>
      <c r="K1530" s="7" t="s">
        <v>29</v>
      </c>
      <c r="L1530" s="3" t="str">
        <f>E1530&amp;D1530</f>
        <v>E.SP.IPAEE_MAN_CONF_S_I_BAT ESTAC AES-FO_0360</v>
      </c>
      <c r="M1530" s="3" t="str">
        <f>IFERROR(MID(D1530,SEARCH("S_I_",D1530,1),3),"")</f>
        <v>S_I</v>
      </c>
      <c r="N1530" s="3" t="str">
        <f>IFERROR(MID(D1530,SEARCH("C_I_",D1530,1),3),"")</f>
        <v/>
      </c>
      <c r="O1530" s="3" t="str">
        <f>IF(AND(M1530="",N1530=""),"Extra","")</f>
        <v/>
      </c>
      <c r="P1530" s="3" t="str">
        <f>IF(Q1530=0,"TERCEIRO","MRS")</f>
        <v>MRS</v>
      </c>
      <c r="Q1530" s="8" t="str">
        <f>IFERROR(VLOOKUP(L1530,#REF!,4,0),"0,00")</f>
        <v>0,00</v>
      </c>
      <c r="R1530" s="9" t="s">
        <v>42</v>
      </c>
      <c r="S1530" s="9">
        <f>COUNTIF(D1530,"*_SEG_*")</f>
        <v>0</v>
      </c>
      <c r="T1530" s="9">
        <f>COUNTIF(D1530,"*_MAN_*")</f>
        <v>1</v>
      </c>
      <c r="U1530" s="9">
        <f>(RIGHT(D1530,4))*1</f>
        <v>360</v>
      </c>
      <c r="V1530" s="9" t="str">
        <f>IFERROR(VLOOKUP(I1530,#REF!,2,0),"Sinalização")</f>
        <v>Sinalização</v>
      </c>
    </row>
    <row r="1531" spans="1:22" x14ac:dyDescent="0.25">
      <c r="A1531" s="3" t="s">
        <v>22</v>
      </c>
      <c r="B1531" s="4">
        <v>22604774</v>
      </c>
      <c r="C1531" s="5" t="s">
        <v>23</v>
      </c>
      <c r="D1531" s="6" t="s">
        <v>114</v>
      </c>
      <c r="E1531" s="6" t="s">
        <v>25</v>
      </c>
      <c r="F1531" s="11">
        <v>46153</v>
      </c>
      <c r="G1531" s="6" t="s">
        <v>1079</v>
      </c>
      <c r="H1531" s="7"/>
      <c r="I1531" s="7" t="s">
        <v>115</v>
      </c>
      <c r="J1531" s="7" t="s">
        <v>77</v>
      </c>
      <c r="K1531" s="7" t="s">
        <v>29</v>
      </c>
      <c r="L1531" s="3" t="str">
        <f>E1531&amp;D1531</f>
        <v>E.SP.IPAEE_MAN_CONF_S_I_BAT ESTAC RTU_0090</v>
      </c>
      <c r="M1531" s="3" t="str">
        <f>IFERROR(MID(D1531,SEARCH("S_I_",D1531,1),3),"")</f>
        <v>S_I</v>
      </c>
      <c r="N1531" s="3" t="str">
        <f>IFERROR(MID(D1531,SEARCH("C_I_",D1531,1),3),"")</f>
        <v/>
      </c>
      <c r="O1531" s="3" t="str">
        <f>IF(AND(M1531="",N1531=""),"Extra","")</f>
        <v/>
      </c>
      <c r="P1531" s="3" t="str">
        <f>IF(Q1531=0,"TERCEIRO","MRS")</f>
        <v>MRS</v>
      </c>
      <c r="Q1531" s="8" t="str">
        <f>IFERROR(VLOOKUP(L1531,#REF!,4,0),"0,00")</f>
        <v>0,00</v>
      </c>
      <c r="R1531" s="9" t="s">
        <v>42</v>
      </c>
      <c r="S1531" s="9">
        <f>COUNTIF(D1531,"*_SEG_*")</f>
        <v>0</v>
      </c>
      <c r="T1531" s="9">
        <f>COUNTIF(D1531,"*_MAN_*")</f>
        <v>1</v>
      </c>
      <c r="U1531" s="9">
        <f>(RIGHT(D1531,4))*1</f>
        <v>90</v>
      </c>
      <c r="V1531" s="9" t="str">
        <f>IFERROR(VLOOKUP(I1531,#REF!,2,0),"Sinalização")</f>
        <v>Sinalização</v>
      </c>
    </row>
    <row r="1532" spans="1:22" x14ac:dyDescent="0.25">
      <c r="A1532" s="3" t="s">
        <v>22</v>
      </c>
      <c r="B1532" s="4">
        <v>22604957</v>
      </c>
      <c r="C1532" s="5" t="s">
        <v>23</v>
      </c>
      <c r="D1532" s="6" t="s">
        <v>116</v>
      </c>
      <c r="E1532" s="6" t="s">
        <v>25</v>
      </c>
      <c r="F1532" s="11">
        <v>46153</v>
      </c>
      <c r="G1532" s="6" t="s">
        <v>1079</v>
      </c>
      <c r="H1532" s="7"/>
      <c r="I1532" s="7" t="s">
        <v>112</v>
      </c>
      <c r="J1532" s="7" t="s">
        <v>117</v>
      </c>
      <c r="K1532" s="7" t="s">
        <v>29</v>
      </c>
      <c r="L1532" s="3" t="str">
        <f>E1532&amp;D1532</f>
        <v>E.SP.IPAEE_INS_CONF_S_I_BAT ESTAC AES-FO_0360</v>
      </c>
      <c r="M1532" s="3" t="str">
        <f>IFERROR(MID(D1532,SEARCH("S_I_",D1532,1),3),"")</f>
        <v>S_I</v>
      </c>
      <c r="N1532" s="3" t="str">
        <f>IFERROR(MID(D1532,SEARCH("C_I_",D1532,1),3),"")</f>
        <v/>
      </c>
      <c r="O1532" s="3" t="str">
        <f>IF(AND(M1532="",N1532=""),"Extra","")</f>
        <v/>
      </c>
      <c r="P1532" s="3" t="str">
        <f>IF(Q1532=0,"TERCEIRO","MRS")</f>
        <v>MRS</v>
      </c>
      <c r="Q1532" s="8" t="str">
        <f>IFERROR(VLOOKUP(L1532,#REF!,4,0),"0,00")</f>
        <v>0,00</v>
      </c>
      <c r="R1532" s="9" t="s">
        <v>42</v>
      </c>
      <c r="S1532" s="9">
        <f>COUNTIF(D1532,"*_SEG_*")</f>
        <v>0</v>
      </c>
      <c r="T1532" s="9">
        <f>COUNTIF(D1532,"*_MAN_*")</f>
        <v>0</v>
      </c>
      <c r="U1532" s="9">
        <f>(RIGHT(D1532,4))*1</f>
        <v>360</v>
      </c>
      <c r="V1532" s="9" t="str">
        <f>IFERROR(VLOOKUP(I1532,#REF!,2,0),"Sinalização")</f>
        <v>Sinalização</v>
      </c>
    </row>
    <row r="1533" spans="1:22" x14ac:dyDescent="0.25">
      <c r="A1533" s="3" t="s">
        <v>22</v>
      </c>
      <c r="B1533" s="4">
        <v>22604965</v>
      </c>
      <c r="C1533" s="5" t="s">
        <v>23</v>
      </c>
      <c r="D1533" s="6" t="s">
        <v>118</v>
      </c>
      <c r="E1533" s="6" t="s">
        <v>25</v>
      </c>
      <c r="F1533" s="11">
        <v>46153</v>
      </c>
      <c r="G1533" s="6" t="s">
        <v>1079</v>
      </c>
      <c r="H1533" s="7"/>
      <c r="I1533" s="7" t="s">
        <v>119</v>
      </c>
      <c r="J1533" s="7" t="s">
        <v>120</v>
      </c>
      <c r="K1533" s="7" t="s">
        <v>29</v>
      </c>
      <c r="L1533" s="3" t="str">
        <f>E1533&amp;D1533</f>
        <v>E.SP.IPAEE_INS_CONF_S_I_RADIO DADOS CBTC_0360</v>
      </c>
      <c r="M1533" s="3" t="str">
        <f>IFERROR(MID(D1533,SEARCH("S_I_",D1533,1),3),"")</f>
        <v>S_I</v>
      </c>
      <c r="N1533" s="3" t="str">
        <f>IFERROR(MID(D1533,SEARCH("C_I_",D1533,1),3),"")</f>
        <v/>
      </c>
      <c r="O1533" s="3" t="str">
        <f>IF(AND(M1533="",N1533=""),"Extra","")</f>
        <v/>
      </c>
      <c r="P1533" s="3" t="str">
        <f>IF(Q1533=0,"TERCEIRO","MRS")</f>
        <v>MRS</v>
      </c>
      <c r="Q1533" s="8" t="str">
        <f>IFERROR(VLOOKUP(L1533,#REF!,4,0),"0,00")</f>
        <v>0,00</v>
      </c>
      <c r="R1533" s="9" t="s">
        <v>42</v>
      </c>
      <c r="S1533" s="9">
        <f>COUNTIF(D1533,"*_SEG_*")</f>
        <v>0</v>
      </c>
      <c r="T1533" s="9">
        <f>COUNTIF(D1533,"*_MAN_*")</f>
        <v>0</v>
      </c>
      <c r="U1533" s="9">
        <f>(RIGHT(D1533,4))*1</f>
        <v>360</v>
      </c>
      <c r="V1533" s="9" t="str">
        <f>IFERROR(VLOOKUP(I1533,#REF!,2,0),"Sinalização")</f>
        <v>Sinalização</v>
      </c>
    </row>
    <row r="1534" spans="1:22" x14ac:dyDescent="0.25">
      <c r="A1534" s="3" t="s">
        <v>22</v>
      </c>
      <c r="B1534" s="4">
        <v>23082179</v>
      </c>
      <c r="C1534" s="5" t="s">
        <v>23</v>
      </c>
      <c r="D1534" s="6" t="s">
        <v>179</v>
      </c>
      <c r="E1534" s="6" t="s">
        <v>25</v>
      </c>
      <c r="F1534" s="11">
        <v>46152</v>
      </c>
      <c r="G1534" s="6" t="s">
        <v>1079</v>
      </c>
      <c r="H1534" s="7"/>
      <c r="I1534" s="7" t="s">
        <v>180</v>
      </c>
      <c r="J1534" s="7" t="s">
        <v>181</v>
      </c>
      <c r="K1534" s="7" t="s">
        <v>29</v>
      </c>
      <c r="L1534" s="3" t="str">
        <f>E1534&amp;D1534</f>
        <v>E.SP.IPAEE_INS_CONF_S_I_BAT ESTAC RTU_0180</v>
      </c>
      <c r="M1534" s="3" t="str">
        <f>IFERROR(MID(D1534,SEARCH("S_I_",D1534,1),3),"")</f>
        <v>S_I</v>
      </c>
      <c r="N1534" s="3" t="str">
        <f>IFERROR(MID(D1534,SEARCH("C_I_",D1534,1),3),"")</f>
        <v/>
      </c>
      <c r="O1534" s="3" t="str">
        <f>IF(AND(M1534="",N1534=""),"Extra","")</f>
        <v/>
      </c>
      <c r="P1534" s="3" t="str">
        <f>IF(Q1534=0,"TERCEIRO","MRS")</f>
        <v>MRS</v>
      </c>
      <c r="Q1534" s="8" t="str">
        <f>IFERROR(VLOOKUP(L1534,#REF!,4,0),"0,00")</f>
        <v>0,00</v>
      </c>
      <c r="R1534" s="9" t="s">
        <v>42</v>
      </c>
      <c r="S1534" s="9">
        <f>COUNTIF(D1534,"*_SEG_*")</f>
        <v>0</v>
      </c>
      <c r="T1534" s="9">
        <f>COUNTIF(D1534,"*_MAN_*")</f>
        <v>0</v>
      </c>
      <c r="U1534" s="9">
        <f>(RIGHT(D1534,4))*1</f>
        <v>180</v>
      </c>
      <c r="V1534" s="9" t="str">
        <f>IFERROR(VLOOKUP(I1534,#REF!,2,0),"Sinalização")</f>
        <v>Sinalização</v>
      </c>
    </row>
    <row r="1535" spans="1:22" x14ac:dyDescent="0.25">
      <c r="A1535" s="3" t="s">
        <v>22</v>
      </c>
      <c r="B1535" s="4">
        <v>23082237</v>
      </c>
      <c r="C1535" s="5" t="s">
        <v>23</v>
      </c>
      <c r="D1535" s="6" t="s">
        <v>182</v>
      </c>
      <c r="E1535" s="6" t="s">
        <v>25</v>
      </c>
      <c r="F1535" s="11">
        <v>46152</v>
      </c>
      <c r="G1535" s="6" t="s">
        <v>1079</v>
      </c>
      <c r="H1535" s="7"/>
      <c r="I1535" s="7" t="s">
        <v>52</v>
      </c>
      <c r="J1535" s="7" t="s">
        <v>181</v>
      </c>
      <c r="K1535" s="7" t="s">
        <v>29</v>
      </c>
      <c r="L1535" s="3" t="str">
        <f>E1535&amp;D1535</f>
        <v>E.SP.IPAEE_INS_CONF_S_I_BAT ESTAC SINAL_0180</v>
      </c>
      <c r="M1535" s="3" t="str">
        <f>IFERROR(MID(D1535,SEARCH("S_I_",D1535,1),3),"")</f>
        <v>S_I</v>
      </c>
      <c r="N1535" s="3" t="str">
        <f>IFERROR(MID(D1535,SEARCH("C_I_",D1535,1),3),"")</f>
        <v/>
      </c>
      <c r="O1535" s="3" t="str">
        <f>IF(AND(M1535="",N1535=""),"Extra","")</f>
        <v/>
      </c>
      <c r="P1535" s="3" t="str">
        <f>IF(Q1535=0,"TERCEIRO","MRS")</f>
        <v>MRS</v>
      </c>
      <c r="Q1535" s="8" t="str">
        <f>IFERROR(VLOOKUP(L1535,#REF!,4,0),"0,00")</f>
        <v>0,00</v>
      </c>
      <c r="R1535" s="9" t="s">
        <v>42</v>
      </c>
      <c r="S1535" s="9">
        <f>COUNTIF(D1535,"*_SEG_*")</f>
        <v>0</v>
      </c>
      <c r="T1535" s="9">
        <f>COUNTIF(D1535,"*_MAN_*")</f>
        <v>0</v>
      </c>
      <c r="U1535" s="9">
        <f>(RIGHT(D1535,4))*1</f>
        <v>180</v>
      </c>
      <c r="V1535" s="9" t="str">
        <f>IFERROR(VLOOKUP(I1535,#REF!,2,0),"Sinalização")</f>
        <v>Sinalização</v>
      </c>
    </row>
    <row r="1536" spans="1:22" x14ac:dyDescent="0.25">
      <c r="A1536" s="3" t="s">
        <v>22</v>
      </c>
      <c r="B1536" s="4">
        <v>23082238</v>
      </c>
      <c r="C1536" s="5" t="s">
        <v>23</v>
      </c>
      <c r="D1536" s="6" t="s">
        <v>182</v>
      </c>
      <c r="E1536" s="6" t="s">
        <v>25</v>
      </c>
      <c r="F1536" s="11">
        <v>46152</v>
      </c>
      <c r="G1536" s="6" t="s">
        <v>1079</v>
      </c>
      <c r="H1536" s="7"/>
      <c r="I1536" s="7" t="s">
        <v>53</v>
      </c>
      <c r="J1536" s="7" t="s">
        <v>181</v>
      </c>
      <c r="K1536" s="7" t="s">
        <v>29</v>
      </c>
      <c r="L1536" s="3" t="str">
        <f>E1536&amp;D1536</f>
        <v>E.SP.IPAEE_INS_CONF_S_I_BAT ESTAC SINAL_0180</v>
      </c>
      <c r="M1536" s="3" t="str">
        <f>IFERROR(MID(D1536,SEARCH("S_I_",D1536,1),3),"")</f>
        <v>S_I</v>
      </c>
      <c r="N1536" s="3" t="str">
        <f>IFERROR(MID(D1536,SEARCH("C_I_",D1536,1),3),"")</f>
        <v/>
      </c>
      <c r="O1536" s="3" t="str">
        <f>IF(AND(M1536="",N1536=""),"Extra","")</f>
        <v/>
      </c>
      <c r="P1536" s="3" t="str">
        <f>IF(Q1536=0,"TERCEIRO","MRS")</f>
        <v>MRS</v>
      </c>
      <c r="Q1536" s="8" t="str">
        <f>IFERROR(VLOOKUP(L1536,#REF!,4,0),"0,00")</f>
        <v>0,00</v>
      </c>
      <c r="R1536" s="9" t="s">
        <v>42</v>
      </c>
      <c r="S1536" s="9">
        <f>COUNTIF(D1536,"*_SEG_*")</f>
        <v>0</v>
      </c>
      <c r="T1536" s="9">
        <f>COUNTIF(D1536,"*_MAN_*")</f>
        <v>0</v>
      </c>
      <c r="U1536" s="9">
        <f>(RIGHT(D1536,4))*1</f>
        <v>180</v>
      </c>
      <c r="V1536" s="9" t="str">
        <f>IFERROR(VLOOKUP(I1536,#REF!,2,0),"Sinalização")</f>
        <v>Sinalização</v>
      </c>
    </row>
    <row r="1537" spans="1:22" x14ac:dyDescent="0.25">
      <c r="A1537" s="3" t="s">
        <v>22</v>
      </c>
      <c r="B1537" s="4">
        <v>23082239</v>
      </c>
      <c r="C1537" s="5" t="s">
        <v>23</v>
      </c>
      <c r="D1537" s="6" t="s">
        <v>182</v>
      </c>
      <c r="E1537" s="6" t="s">
        <v>25</v>
      </c>
      <c r="F1537" s="11">
        <v>46152</v>
      </c>
      <c r="G1537" s="6" t="s">
        <v>1079</v>
      </c>
      <c r="H1537" s="7"/>
      <c r="I1537" s="7" t="s">
        <v>131</v>
      </c>
      <c r="J1537" s="7" t="s">
        <v>181</v>
      </c>
      <c r="K1537" s="7" t="s">
        <v>29</v>
      </c>
      <c r="L1537" s="3" t="str">
        <f>E1537&amp;D1537</f>
        <v>E.SP.IPAEE_INS_CONF_S_I_BAT ESTAC SINAL_0180</v>
      </c>
      <c r="M1537" s="3" t="str">
        <f>IFERROR(MID(D1537,SEARCH("S_I_",D1537,1),3),"")</f>
        <v>S_I</v>
      </c>
      <c r="N1537" s="3" t="str">
        <f>IFERROR(MID(D1537,SEARCH("C_I_",D1537,1),3),"")</f>
        <v/>
      </c>
      <c r="O1537" s="3" t="str">
        <f>IF(AND(M1537="",N1537=""),"Extra","")</f>
        <v/>
      </c>
      <c r="P1537" s="3" t="str">
        <f>IF(Q1537=0,"TERCEIRO","MRS")</f>
        <v>MRS</v>
      </c>
      <c r="Q1537" s="8" t="str">
        <f>IFERROR(VLOOKUP(L1537,#REF!,4,0),"0,00")</f>
        <v>0,00</v>
      </c>
      <c r="R1537" s="9" t="s">
        <v>42</v>
      </c>
      <c r="S1537" s="9">
        <f>COUNTIF(D1537,"*_SEG_*")</f>
        <v>0</v>
      </c>
      <c r="T1537" s="9">
        <f>COUNTIF(D1537,"*_MAN_*")</f>
        <v>0</v>
      </c>
      <c r="U1537" s="9">
        <f>(RIGHT(D1537,4))*1</f>
        <v>180</v>
      </c>
      <c r="V1537" s="9" t="str">
        <f>IFERROR(VLOOKUP(I1537,#REF!,2,0),"Sinalização")</f>
        <v>Sinalização</v>
      </c>
    </row>
    <row r="1538" spans="1:22" x14ac:dyDescent="0.25">
      <c r="A1538" s="3" t="s">
        <v>22</v>
      </c>
      <c r="B1538" s="4">
        <v>23082240</v>
      </c>
      <c r="C1538" s="5" t="s">
        <v>23</v>
      </c>
      <c r="D1538" s="6" t="s">
        <v>182</v>
      </c>
      <c r="E1538" s="6" t="s">
        <v>25</v>
      </c>
      <c r="F1538" s="11">
        <v>46152</v>
      </c>
      <c r="G1538" s="6" t="s">
        <v>1079</v>
      </c>
      <c r="H1538" s="7"/>
      <c r="I1538" s="7" t="s">
        <v>132</v>
      </c>
      <c r="J1538" s="7" t="s">
        <v>181</v>
      </c>
      <c r="K1538" s="7" t="s">
        <v>29</v>
      </c>
      <c r="L1538" s="3" t="str">
        <f>E1538&amp;D1538</f>
        <v>E.SP.IPAEE_INS_CONF_S_I_BAT ESTAC SINAL_0180</v>
      </c>
      <c r="M1538" s="3" t="str">
        <f>IFERROR(MID(D1538,SEARCH("S_I_",D1538,1),3),"")</f>
        <v>S_I</v>
      </c>
      <c r="N1538" s="3" t="str">
        <f>IFERROR(MID(D1538,SEARCH("C_I_",D1538,1),3),"")</f>
        <v/>
      </c>
      <c r="O1538" s="3" t="str">
        <f>IF(AND(M1538="",N1538=""),"Extra","")</f>
        <v/>
      </c>
      <c r="P1538" s="3" t="str">
        <f>IF(Q1538=0,"TERCEIRO","MRS")</f>
        <v>MRS</v>
      </c>
      <c r="Q1538" s="8" t="str">
        <f>IFERROR(VLOOKUP(L1538,#REF!,4,0),"0,00")</f>
        <v>0,00</v>
      </c>
      <c r="R1538" s="9" t="s">
        <v>42</v>
      </c>
      <c r="S1538" s="9">
        <f>COUNTIF(D1538,"*_SEG_*")</f>
        <v>0</v>
      </c>
      <c r="T1538" s="9">
        <f>COUNTIF(D1538,"*_MAN_*")</f>
        <v>0</v>
      </c>
      <c r="U1538" s="9">
        <f>(RIGHT(D1538,4))*1</f>
        <v>180</v>
      </c>
      <c r="V1538" s="9" t="str">
        <f>IFERROR(VLOOKUP(I1538,#REF!,2,0),"Sinalização")</f>
        <v>Sinalização</v>
      </c>
    </row>
    <row r="1539" spans="1:22" x14ac:dyDescent="0.25">
      <c r="A1539" s="3" t="s">
        <v>22</v>
      </c>
      <c r="B1539" s="4">
        <v>23082274</v>
      </c>
      <c r="C1539" s="5" t="s">
        <v>23</v>
      </c>
      <c r="D1539" s="6" t="s">
        <v>183</v>
      </c>
      <c r="E1539" s="6" t="s">
        <v>25</v>
      </c>
      <c r="F1539" s="11">
        <v>46152</v>
      </c>
      <c r="G1539" s="6" t="s">
        <v>1079</v>
      </c>
      <c r="H1539" s="7"/>
      <c r="I1539" s="7" t="s">
        <v>184</v>
      </c>
      <c r="J1539" s="7" t="s">
        <v>185</v>
      </c>
      <c r="K1539" s="7" t="s">
        <v>29</v>
      </c>
      <c r="L1539" s="3" t="str">
        <f>E1539&amp;D1539</f>
        <v>E.SP.IPAEE_INS_CONF_S_I_BARRAMENTO 3KV_0180</v>
      </c>
      <c r="M1539" s="3" t="str">
        <f>IFERROR(MID(D1539,SEARCH("S_I_",D1539,1),3),"")</f>
        <v>S_I</v>
      </c>
      <c r="N1539" s="3" t="str">
        <f>IFERROR(MID(D1539,SEARCH("C_I_",D1539,1),3),"")</f>
        <v/>
      </c>
      <c r="O1539" s="3" t="str">
        <f>IF(AND(M1539="",N1539=""),"Extra","")</f>
        <v/>
      </c>
      <c r="P1539" s="3" t="str">
        <f>IF(Q1539=0,"TERCEIRO","MRS")</f>
        <v>MRS</v>
      </c>
      <c r="Q1539" s="8" t="str">
        <f>IFERROR(VLOOKUP(L1539,#REF!,4,0),"0,00")</f>
        <v>0,00</v>
      </c>
      <c r="R1539" s="9" t="s">
        <v>42</v>
      </c>
      <c r="S1539" s="9">
        <f>COUNTIF(D1539,"*_SEG_*")</f>
        <v>0</v>
      </c>
      <c r="T1539" s="9">
        <f>COUNTIF(D1539,"*_MAN_*")</f>
        <v>0</v>
      </c>
      <c r="U1539" s="9">
        <f>(RIGHT(D1539,4))*1</f>
        <v>180</v>
      </c>
      <c r="V1539" s="9" t="str">
        <f>IFERROR(VLOOKUP(I1539,#REF!,2,0),"Sinalização")</f>
        <v>Sinalização</v>
      </c>
    </row>
    <row r="1540" spans="1:22" x14ac:dyDescent="0.25">
      <c r="A1540" s="3" t="s">
        <v>22</v>
      </c>
      <c r="B1540" s="4">
        <v>23082275</v>
      </c>
      <c r="C1540" s="5" t="s">
        <v>23</v>
      </c>
      <c r="D1540" s="6" t="s">
        <v>183</v>
      </c>
      <c r="E1540" s="6" t="s">
        <v>25</v>
      </c>
      <c r="F1540" s="11">
        <v>46152</v>
      </c>
      <c r="G1540" s="6" t="s">
        <v>1079</v>
      </c>
      <c r="H1540" s="7"/>
      <c r="I1540" s="7" t="s">
        <v>186</v>
      </c>
      <c r="J1540" s="7" t="s">
        <v>185</v>
      </c>
      <c r="K1540" s="7" t="s">
        <v>29</v>
      </c>
      <c r="L1540" s="3" t="str">
        <f>E1540&amp;D1540</f>
        <v>E.SP.IPAEE_INS_CONF_S_I_BARRAMENTO 3KV_0180</v>
      </c>
      <c r="M1540" s="3" t="str">
        <f>IFERROR(MID(D1540,SEARCH("S_I_",D1540,1),3),"")</f>
        <v>S_I</v>
      </c>
      <c r="N1540" s="3" t="str">
        <f>IFERROR(MID(D1540,SEARCH("C_I_",D1540,1),3),"")</f>
        <v/>
      </c>
      <c r="O1540" s="3" t="str">
        <f>IF(AND(M1540="",N1540=""),"Extra","")</f>
        <v/>
      </c>
      <c r="P1540" s="3" t="str">
        <f>IF(Q1540=0,"TERCEIRO","MRS")</f>
        <v>MRS</v>
      </c>
      <c r="Q1540" s="8" t="str">
        <f>IFERROR(VLOOKUP(L1540,#REF!,4,0),"0,00")</f>
        <v>0,00</v>
      </c>
      <c r="R1540" s="9" t="s">
        <v>42</v>
      </c>
      <c r="S1540" s="9">
        <f>COUNTIF(D1540,"*_SEG_*")</f>
        <v>0</v>
      </c>
      <c r="T1540" s="9">
        <f>COUNTIF(D1540,"*_MAN_*")</f>
        <v>0</v>
      </c>
      <c r="U1540" s="9">
        <f>(RIGHT(D1540,4))*1</f>
        <v>180</v>
      </c>
      <c r="V1540" s="9" t="str">
        <f>IFERROR(VLOOKUP(I1540,#REF!,2,0),"Sinalização")</f>
        <v>Sinalização</v>
      </c>
    </row>
    <row r="1541" spans="1:22" x14ac:dyDescent="0.25">
      <c r="A1541" s="3" t="s">
        <v>22</v>
      </c>
      <c r="B1541" s="4">
        <v>23082293</v>
      </c>
      <c r="C1541" s="5" t="s">
        <v>23</v>
      </c>
      <c r="D1541" s="6" t="s">
        <v>187</v>
      </c>
      <c r="E1541" s="6" t="s">
        <v>25</v>
      </c>
      <c r="F1541" s="11">
        <v>46152</v>
      </c>
      <c r="G1541" s="6" t="s">
        <v>1079</v>
      </c>
      <c r="H1541" s="7"/>
      <c r="I1541" s="7" t="s">
        <v>188</v>
      </c>
      <c r="J1541" s="7" t="s">
        <v>189</v>
      </c>
      <c r="K1541" s="7" t="s">
        <v>29</v>
      </c>
      <c r="L1541" s="3" t="str">
        <f>E1541&amp;D1541</f>
        <v>E.SP.IPAEE_INS_SEG_C_I_MCH 110VCC GRS 55BR_0180</v>
      </c>
      <c r="M1541" s="3" t="str">
        <f>IFERROR(MID(D1541,SEARCH("S_I_",D1541,1),3),"")</f>
        <v/>
      </c>
      <c r="N1541" s="3" t="str">
        <f>IFERROR(MID(D1541,SEARCH("C_I_",D1541,1),3),"")</f>
        <v>C_I</v>
      </c>
      <c r="O1541" s="3" t="str">
        <f>IF(AND(M1541="",N1541=""),"Extra","")</f>
        <v/>
      </c>
      <c r="P1541" s="3" t="str">
        <f>IF(Q1541=0,"TERCEIRO","MRS")</f>
        <v>MRS</v>
      </c>
      <c r="Q1541" s="8" t="str">
        <f>IFERROR(VLOOKUP(L1541,#REF!,4,0),"0,00")</f>
        <v>0,00</v>
      </c>
      <c r="R1541" s="9" t="s">
        <v>30</v>
      </c>
      <c r="S1541" s="9">
        <f>COUNTIF(D1541,"*_SEG_*")</f>
        <v>1</v>
      </c>
      <c r="T1541" s="9">
        <f>COUNTIF(D1541,"*_MAN_*")</f>
        <v>0</v>
      </c>
      <c r="U1541" s="9">
        <f>(RIGHT(D1541,4))*1</f>
        <v>180</v>
      </c>
      <c r="V1541" s="9" t="str">
        <f>IFERROR(VLOOKUP(I1541,#REF!,2,0),"Sinalização")</f>
        <v>Sinalização</v>
      </c>
    </row>
    <row r="1542" spans="1:22" x14ac:dyDescent="0.25">
      <c r="A1542" s="3" t="s">
        <v>22</v>
      </c>
      <c r="B1542" s="4">
        <v>23082294</v>
      </c>
      <c r="C1542" s="5" t="s">
        <v>23</v>
      </c>
      <c r="D1542" s="6" t="s">
        <v>187</v>
      </c>
      <c r="E1542" s="6" t="s">
        <v>25</v>
      </c>
      <c r="F1542" s="11">
        <v>46152</v>
      </c>
      <c r="G1542" s="6" t="s">
        <v>1079</v>
      </c>
      <c r="H1542" s="7"/>
      <c r="I1542" s="7" t="s">
        <v>190</v>
      </c>
      <c r="J1542" s="7" t="s">
        <v>189</v>
      </c>
      <c r="K1542" s="7" t="s">
        <v>29</v>
      </c>
      <c r="L1542" s="3" t="str">
        <f>E1542&amp;D1542</f>
        <v>E.SP.IPAEE_INS_SEG_C_I_MCH 110VCC GRS 55BR_0180</v>
      </c>
      <c r="M1542" s="3" t="str">
        <f>IFERROR(MID(D1542,SEARCH("S_I_",D1542,1),3),"")</f>
        <v/>
      </c>
      <c r="N1542" s="3" t="str">
        <f>IFERROR(MID(D1542,SEARCH("C_I_",D1542,1),3),"")</f>
        <v>C_I</v>
      </c>
      <c r="O1542" s="3" t="str">
        <f>IF(AND(M1542="",N1542=""),"Extra","")</f>
        <v/>
      </c>
      <c r="P1542" s="3" t="str">
        <f>IF(Q1542=0,"TERCEIRO","MRS")</f>
        <v>MRS</v>
      </c>
      <c r="Q1542" s="8" t="str">
        <f>IFERROR(VLOOKUP(L1542,#REF!,4,0),"0,00")</f>
        <v>0,00</v>
      </c>
      <c r="R1542" s="9" t="s">
        <v>30</v>
      </c>
      <c r="S1542" s="9">
        <f>COUNTIF(D1542,"*_SEG_*")</f>
        <v>1</v>
      </c>
      <c r="T1542" s="9">
        <f>COUNTIF(D1542,"*_MAN_*")</f>
        <v>0</v>
      </c>
      <c r="U1542" s="9">
        <f>(RIGHT(D1542,4))*1</f>
        <v>180</v>
      </c>
      <c r="V1542" s="9" t="str">
        <f>IFERROR(VLOOKUP(I1542,#REF!,2,0),"Sinalização")</f>
        <v>Sinalização</v>
      </c>
    </row>
    <row r="1543" spans="1:22" x14ac:dyDescent="0.25">
      <c r="A1543" s="3" t="s">
        <v>22</v>
      </c>
      <c r="B1543" s="4">
        <v>23082295</v>
      </c>
      <c r="C1543" s="5" t="s">
        <v>23</v>
      </c>
      <c r="D1543" s="6" t="s">
        <v>187</v>
      </c>
      <c r="E1543" s="6" t="s">
        <v>25</v>
      </c>
      <c r="F1543" s="11">
        <v>46152</v>
      </c>
      <c r="G1543" s="6" t="s">
        <v>1079</v>
      </c>
      <c r="H1543" s="7"/>
      <c r="I1543" s="7" t="s">
        <v>191</v>
      </c>
      <c r="J1543" s="7" t="s">
        <v>189</v>
      </c>
      <c r="K1543" s="7" t="s">
        <v>29</v>
      </c>
      <c r="L1543" s="3" t="str">
        <f>E1543&amp;D1543</f>
        <v>E.SP.IPAEE_INS_SEG_C_I_MCH 110VCC GRS 55BR_0180</v>
      </c>
      <c r="M1543" s="3" t="str">
        <f>IFERROR(MID(D1543,SEARCH("S_I_",D1543,1),3),"")</f>
        <v/>
      </c>
      <c r="N1543" s="3" t="str">
        <f>IFERROR(MID(D1543,SEARCH("C_I_",D1543,1),3),"")</f>
        <v>C_I</v>
      </c>
      <c r="O1543" s="3" t="str">
        <f>IF(AND(M1543="",N1543=""),"Extra","")</f>
        <v/>
      </c>
      <c r="P1543" s="3" t="str">
        <f>IF(Q1543=0,"TERCEIRO","MRS")</f>
        <v>MRS</v>
      </c>
      <c r="Q1543" s="8" t="str">
        <f>IFERROR(VLOOKUP(L1543,#REF!,4,0),"0,00")</f>
        <v>0,00</v>
      </c>
      <c r="R1543" s="9" t="s">
        <v>30</v>
      </c>
      <c r="S1543" s="9">
        <f>COUNTIF(D1543,"*_SEG_*")</f>
        <v>1</v>
      </c>
      <c r="T1543" s="9">
        <f>COUNTIF(D1543,"*_MAN_*")</f>
        <v>0</v>
      </c>
      <c r="U1543" s="9">
        <f>(RIGHT(D1543,4))*1</f>
        <v>180</v>
      </c>
      <c r="V1543" s="9" t="str">
        <f>IFERROR(VLOOKUP(I1543,#REF!,2,0),"Sinalização")</f>
        <v>Sinalização</v>
      </c>
    </row>
    <row r="1544" spans="1:22" x14ac:dyDescent="0.25">
      <c r="A1544" s="3" t="s">
        <v>22</v>
      </c>
      <c r="B1544" s="4">
        <v>23082296</v>
      </c>
      <c r="C1544" s="5" t="s">
        <v>23</v>
      </c>
      <c r="D1544" s="6" t="s">
        <v>187</v>
      </c>
      <c r="E1544" s="6" t="s">
        <v>25</v>
      </c>
      <c r="F1544" s="11">
        <v>46152</v>
      </c>
      <c r="G1544" s="6" t="s">
        <v>1079</v>
      </c>
      <c r="H1544" s="7"/>
      <c r="I1544" s="7" t="s">
        <v>192</v>
      </c>
      <c r="J1544" s="7" t="s">
        <v>189</v>
      </c>
      <c r="K1544" s="7" t="s">
        <v>29</v>
      </c>
      <c r="L1544" s="3" t="str">
        <f>E1544&amp;D1544</f>
        <v>E.SP.IPAEE_INS_SEG_C_I_MCH 110VCC GRS 55BR_0180</v>
      </c>
      <c r="M1544" s="3" t="str">
        <f>IFERROR(MID(D1544,SEARCH("S_I_",D1544,1),3),"")</f>
        <v/>
      </c>
      <c r="N1544" s="3" t="str">
        <f>IFERROR(MID(D1544,SEARCH("C_I_",D1544,1),3),"")</f>
        <v>C_I</v>
      </c>
      <c r="O1544" s="3" t="str">
        <f>IF(AND(M1544="",N1544=""),"Extra","")</f>
        <v/>
      </c>
      <c r="P1544" s="3" t="str">
        <f>IF(Q1544=0,"TERCEIRO","MRS")</f>
        <v>MRS</v>
      </c>
      <c r="Q1544" s="8" t="str">
        <f>IFERROR(VLOOKUP(L1544,#REF!,4,0),"0,00")</f>
        <v>0,00</v>
      </c>
      <c r="R1544" s="9" t="s">
        <v>30</v>
      </c>
      <c r="S1544" s="9">
        <f>COUNTIF(D1544,"*_SEG_*")</f>
        <v>1</v>
      </c>
      <c r="T1544" s="9">
        <f>COUNTIF(D1544,"*_MAN_*")</f>
        <v>0</v>
      </c>
      <c r="U1544" s="9">
        <f>(RIGHT(D1544,4))*1</f>
        <v>180</v>
      </c>
      <c r="V1544" s="9" t="str">
        <f>IFERROR(VLOOKUP(I1544,#REF!,2,0),"Sinalização")</f>
        <v>Sinalização</v>
      </c>
    </row>
    <row r="1545" spans="1:22" x14ac:dyDescent="0.25">
      <c r="A1545" s="3" t="s">
        <v>22</v>
      </c>
      <c r="B1545" s="4">
        <v>23082325</v>
      </c>
      <c r="C1545" s="5" t="s">
        <v>23</v>
      </c>
      <c r="D1545" s="6" t="s">
        <v>193</v>
      </c>
      <c r="E1545" s="6" t="s">
        <v>25</v>
      </c>
      <c r="F1545" s="11">
        <v>46152</v>
      </c>
      <c r="G1545" s="6" t="s">
        <v>1079</v>
      </c>
      <c r="H1545" s="7"/>
      <c r="I1545" s="7" t="s">
        <v>194</v>
      </c>
      <c r="J1545" s="7" t="s">
        <v>195</v>
      </c>
      <c r="K1545" s="7" t="s">
        <v>29</v>
      </c>
      <c r="L1545" s="3" t="str">
        <f>E1545&amp;D1545</f>
        <v>E.SP.IPAEE_INS_SEG_S_I_CIRCUITO VIA CA_0180</v>
      </c>
      <c r="M1545" s="3" t="str">
        <f>IFERROR(MID(D1545,SEARCH("S_I_",D1545,1),3),"")</f>
        <v>S_I</v>
      </c>
      <c r="N1545" s="3" t="str">
        <f>IFERROR(MID(D1545,SEARCH("C_I_",D1545,1),3),"")</f>
        <v/>
      </c>
      <c r="O1545" s="3" t="str">
        <f>IF(AND(M1545="",N1545=""),"Extra","")</f>
        <v/>
      </c>
      <c r="P1545" s="3" t="str">
        <f>IF(Q1545=0,"TERCEIRO","MRS")</f>
        <v>MRS</v>
      </c>
      <c r="Q1545" s="8" t="str">
        <f>IFERROR(VLOOKUP(L1545,#REF!,4,0),"0,00")</f>
        <v>0,00</v>
      </c>
      <c r="R1545" s="9" t="s">
        <v>30</v>
      </c>
      <c r="S1545" s="9">
        <f>COUNTIF(D1545,"*_SEG_*")</f>
        <v>1</v>
      </c>
      <c r="T1545" s="9">
        <f>COUNTIF(D1545,"*_MAN_*")</f>
        <v>0</v>
      </c>
      <c r="U1545" s="9">
        <f>(RIGHT(D1545,4))*1</f>
        <v>180</v>
      </c>
      <c r="V1545" s="9" t="str">
        <f>IFERROR(VLOOKUP(I1545,#REF!,2,0),"Sinalização")</f>
        <v>Sinalização</v>
      </c>
    </row>
    <row r="1546" spans="1:22" x14ac:dyDescent="0.25">
      <c r="A1546" s="3" t="s">
        <v>22</v>
      </c>
      <c r="B1546" s="4">
        <v>23082411</v>
      </c>
      <c r="C1546" s="5" t="s">
        <v>23</v>
      </c>
      <c r="D1546" s="6" t="s">
        <v>196</v>
      </c>
      <c r="E1546" s="6" t="s">
        <v>25</v>
      </c>
      <c r="F1546" s="11">
        <v>46152</v>
      </c>
      <c r="G1546" s="6" t="s">
        <v>1079</v>
      </c>
      <c r="H1546" s="7"/>
      <c r="I1546" s="7" t="s">
        <v>174</v>
      </c>
      <c r="J1546" s="7" t="s">
        <v>197</v>
      </c>
      <c r="K1546" s="7" t="s">
        <v>29</v>
      </c>
      <c r="L1546" s="3" t="str">
        <f>E1546&amp;D1546</f>
        <v>E.SP.IPAEE_INS_CONF_S_I_BAT ESTAC AES-FO_0180</v>
      </c>
      <c r="M1546" s="3" t="str">
        <f>IFERROR(MID(D1546,SEARCH("S_I_",D1546,1),3),"")</f>
        <v>S_I</v>
      </c>
      <c r="N1546" s="3" t="str">
        <f>IFERROR(MID(D1546,SEARCH("C_I_",D1546,1),3),"")</f>
        <v/>
      </c>
      <c r="O1546" s="3" t="str">
        <f>IF(AND(M1546="",N1546=""),"Extra","")</f>
        <v/>
      </c>
      <c r="P1546" s="3" t="str">
        <f>IF(Q1546=0,"TERCEIRO","MRS")</f>
        <v>MRS</v>
      </c>
      <c r="Q1546" s="8" t="str">
        <f>IFERROR(VLOOKUP(L1546,#REF!,4,0),"0,00")</f>
        <v>0,00</v>
      </c>
      <c r="R1546" s="9" t="s">
        <v>42</v>
      </c>
      <c r="S1546" s="9">
        <f>COUNTIF(D1546,"*_SEG_*")</f>
        <v>0</v>
      </c>
      <c r="T1546" s="9">
        <f>COUNTIF(D1546,"*_MAN_*")</f>
        <v>0</v>
      </c>
      <c r="U1546" s="9">
        <f>(RIGHT(D1546,4))*1</f>
        <v>180</v>
      </c>
      <c r="V1546" s="9" t="str">
        <f>IFERROR(VLOOKUP(I1546,#REF!,2,0),"Sinalização")</f>
        <v>Sinalização</v>
      </c>
    </row>
    <row r="1547" spans="1:22" x14ac:dyDescent="0.25">
      <c r="A1547" s="3" t="s">
        <v>22</v>
      </c>
      <c r="B1547" s="4">
        <v>23082421</v>
      </c>
      <c r="C1547" s="5" t="s">
        <v>23</v>
      </c>
      <c r="D1547" s="6" t="s">
        <v>198</v>
      </c>
      <c r="E1547" s="6" t="s">
        <v>25</v>
      </c>
      <c r="F1547" s="11">
        <v>46152</v>
      </c>
      <c r="G1547" s="6" t="s">
        <v>1079</v>
      </c>
      <c r="H1547" s="7"/>
      <c r="I1547" s="7" t="s">
        <v>199</v>
      </c>
      <c r="J1547" s="7" t="s">
        <v>200</v>
      </c>
      <c r="K1547" s="7" t="s">
        <v>29</v>
      </c>
      <c r="L1547" s="3" t="str">
        <f>E1547&amp;D1547</f>
        <v>E.SP.IPAEE_INS_CONF_S_I_CAIXA DE LOCAÇÃO_0180</v>
      </c>
      <c r="M1547" s="3" t="str">
        <f>IFERROR(MID(D1547,SEARCH("S_I_",D1547,1),3),"")</f>
        <v>S_I</v>
      </c>
      <c r="N1547" s="3" t="str">
        <f>IFERROR(MID(D1547,SEARCH("C_I_",D1547,1),3),"")</f>
        <v/>
      </c>
      <c r="O1547" s="3" t="str">
        <f>IF(AND(M1547="",N1547=""),"Extra","")</f>
        <v/>
      </c>
      <c r="P1547" s="3" t="str">
        <f>IF(Q1547=0,"TERCEIRO","MRS")</f>
        <v>MRS</v>
      </c>
      <c r="Q1547" s="8" t="str">
        <f>IFERROR(VLOOKUP(L1547,#REF!,4,0),"0,00")</f>
        <v>0,00</v>
      </c>
      <c r="R1547" s="9" t="s">
        <v>98</v>
      </c>
      <c r="S1547" s="9">
        <f>COUNTIF(D1547,"*_SEG_*")</f>
        <v>0</v>
      </c>
      <c r="T1547" s="9">
        <f>COUNTIF(D1547,"*_MAN_*")</f>
        <v>0</v>
      </c>
      <c r="U1547" s="9">
        <f>(RIGHT(D1547,4))*1</f>
        <v>180</v>
      </c>
      <c r="V1547" s="9" t="str">
        <f>IFERROR(VLOOKUP(I1547,#REF!,2,0),"Sinalização")</f>
        <v>Sinalização</v>
      </c>
    </row>
    <row r="1548" spans="1:22" x14ac:dyDescent="0.25">
      <c r="A1548" s="3" t="s">
        <v>22</v>
      </c>
      <c r="B1548" s="4">
        <v>23082422</v>
      </c>
      <c r="C1548" s="5" t="s">
        <v>23</v>
      </c>
      <c r="D1548" s="6" t="s">
        <v>198</v>
      </c>
      <c r="E1548" s="6" t="s">
        <v>25</v>
      </c>
      <c r="F1548" s="11">
        <v>46152</v>
      </c>
      <c r="G1548" s="6" t="s">
        <v>1079</v>
      </c>
      <c r="H1548" s="7"/>
      <c r="I1548" s="7" t="s">
        <v>201</v>
      </c>
      <c r="J1548" s="7" t="s">
        <v>200</v>
      </c>
      <c r="K1548" s="7" t="s">
        <v>29</v>
      </c>
      <c r="L1548" s="3" t="str">
        <f>E1548&amp;D1548</f>
        <v>E.SP.IPAEE_INS_CONF_S_I_CAIXA DE LOCAÇÃO_0180</v>
      </c>
      <c r="M1548" s="3" t="str">
        <f>IFERROR(MID(D1548,SEARCH("S_I_",D1548,1),3),"")</f>
        <v>S_I</v>
      </c>
      <c r="N1548" s="3" t="str">
        <f>IFERROR(MID(D1548,SEARCH("C_I_",D1548,1),3),"")</f>
        <v/>
      </c>
      <c r="O1548" s="3" t="str">
        <f>IF(AND(M1548="",N1548=""),"Extra","")</f>
        <v/>
      </c>
      <c r="P1548" s="3" t="str">
        <f>IF(Q1548=0,"TERCEIRO","MRS")</f>
        <v>MRS</v>
      </c>
      <c r="Q1548" s="8" t="str">
        <f>IFERROR(VLOOKUP(L1548,#REF!,4,0),"0,00")</f>
        <v>0,00</v>
      </c>
      <c r="R1548" s="9" t="s">
        <v>98</v>
      </c>
      <c r="S1548" s="9">
        <f>COUNTIF(D1548,"*_SEG_*")</f>
        <v>0</v>
      </c>
      <c r="T1548" s="9">
        <f>COUNTIF(D1548,"*_MAN_*")</f>
        <v>0</v>
      </c>
      <c r="U1548" s="9">
        <f>(RIGHT(D1548,4))*1</f>
        <v>180</v>
      </c>
      <c r="V1548" s="9" t="str">
        <f>IFERROR(VLOOKUP(I1548,#REF!,2,0),"Sinalização")</f>
        <v>Sinalização</v>
      </c>
    </row>
    <row r="1549" spans="1:22" x14ac:dyDescent="0.25">
      <c r="A1549" s="3" t="s">
        <v>22</v>
      </c>
      <c r="B1549" s="4">
        <v>23082423</v>
      </c>
      <c r="C1549" s="5" t="s">
        <v>23</v>
      </c>
      <c r="D1549" s="6" t="s">
        <v>198</v>
      </c>
      <c r="E1549" s="6" t="s">
        <v>25</v>
      </c>
      <c r="F1549" s="11">
        <v>46152</v>
      </c>
      <c r="G1549" s="6" t="s">
        <v>1079</v>
      </c>
      <c r="H1549" s="7"/>
      <c r="I1549" s="7" t="s">
        <v>202</v>
      </c>
      <c r="J1549" s="7" t="s">
        <v>200</v>
      </c>
      <c r="K1549" s="7" t="s">
        <v>29</v>
      </c>
      <c r="L1549" s="3" t="str">
        <f>E1549&amp;D1549</f>
        <v>E.SP.IPAEE_INS_CONF_S_I_CAIXA DE LOCAÇÃO_0180</v>
      </c>
      <c r="M1549" s="3" t="str">
        <f>IFERROR(MID(D1549,SEARCH("S_I_",D1549,1),3),"")</f>
        <v>S_I</v>
      </c>
      <c r="N1549" s="3" t="str">
        <f>IFERROR(MID(D1549,SEARCH("C_I_",D1549,1),3),"")</f>
        <v/>
      </c>
      <c r="O1549" s="3" t="str">
        <f>IF(AND(M1549="",N1549=""),"Extra","")</f>
        <v/>
      </c>
      <c r="P1549" s="3" t="str">
        <f>IF(Q1549=0,"TERCEIRO","MRS")</f>
        <v>MRS</v>
      </c>
      <c r="Q1549" s="8" t="str">
        <f>IFERROR(VLOOKUP(L1549,#REF!,4,0),"0,00")</f>
        <v>0,00</v>
      </c>
      <c r="R1549" s="9" t="s">
        <v>98</v>
      </c>
      <c r="S1549" s="9">
        <f>COUNTIF(D1549,"*_SEG_*")</f>
        <v>0</v>
      </c>
      <c r="T1549" s="9">
        <f>COUNTIF(D1549,"*_MAN_*")</f>
        <v>0</v>
      </c>
      <c r="U1549" s="9">
        <f>(RIGHT(D1549,4))*1</f>
        <v>180</v>
      </c>
      <c r="V1549" s="9" t="str">
        <f>IFERROR(VLOOKUP(I1549,#REF!,2,0),"Sinalização")</f>
        <v>Sinalização</v>
      </c>
    </row>
    <row r="1550" spans="1:22" x14ac:dyDescent="0.25">
      <c r="A1550" s="3" t="s">
        <v>22</v>
      </c>
      <c r="B1550" s="4">
        <v>23082424</v>
      </c>
      <c r="C1550" s="5" t="s">
        <v>23</v>
      </c>
      <c r="D1550" s="6" t="s">
        <v>198</v>
      </c>
      <c r="E1550" s="6" t="s">
        <v>25</v>
      </c>
      <c r="F1550" s="11">
        <v>46152</v>
      </c>
      <c r="G1550" s="6" t="s">
        <v>1079</v>
      </c>
      <c r="H1550" s="7"/>
      <c r="I1550" s="7" t="s">
        <v>203</v>
      </c>
      <c r="J1550" s="7" t="s">
        <v>200</v>
      </c>
      <c r="K1550" s="7" t="s">
        <v>29</v>
      </c>
      <c r="L1550" s="3" t="str">
        <f>E1550&amp;D1550</f>
        <v>E.SP.IPAEE_INS_CONF_S_I_CAIXA DE LOCAÇÃO_0180</v>
      </c>
      <c r="M1550" s="3" t="str">
        <f>IFERROR(MID(D1550,SEARCH("S_I_",D1550,1),3),"")</f>
        <v>S_I</v>
      </c>
      <c r="N1550" s="3" t="str">
        <f>IFERROR(MID(D1550,SEARCH("C_I_",D1550,1),3),"")</f>
        <v/>
      </c>
      <c r="O1550" s="3" t="str">
        <f>IF(AND(M1550="",N1550=""),"Extra","")</f>
        <v/>
      </c>
      <c r="P1550" s="3" t="str">
        <f>IF(Q1550=0,"TERCEIRO","MRS")</f>
        <v>MRS</v>
      </c>
      <c r="Q1550" s="8" t="str">
        <f>IFERROR(VLOOKUP(L1550,#REF!,4,0),"0,00")</f>
        <v>0,00</v>
      </c>
      <c r="R1550" s="9" t="s">
        <v>98</v>
      </c>
      <c r="S1550" s="9">
        <f>COUNTIF(D1550,"*_SEG_*")</f>
        <v>0</v>
      </c>
      <c r="T1550" s="9">
        <f>COUNTIF(D1550,"*_MAN_*")</f>
        <v>0</v>
      </c>
      <c r="U1550" s="9">
        <f>(RIGHT(D1550,4))*1</f>
        <v>180</v>
      </c>
      <c r="V1550" s="9" t="str">
        <f>IFERROR(VLOOKUP(I1550,#REF!,2,0),"Sinalização")</f>
        <v>Sinalização</v>
      </c>
    </row>
    <row r="1551" spans="1:22" x14ac:dyDescent="0.25">
      <c r="A1551" s="3" t="s">
        <v>22</v>
      </c>
      <c r="B1551" s="4">
        <v>23082425</v>
      </c>
      <c r="C1551" s="5" t="s">
        <v>23</v>
      </c>
      <c r="D1551" s="6" t="s">
        <v>198</v>
      </c>
      <c r="E1551" s="6" t="s">
        <v>25</v>
      </c>
      <c r="F1551" s="11">
        <v>46152</v>
      </c>
      <c r="G1551" s="6" t="s">
        <v>1079</v>
      </c>
      <c r="H1551" s="7"/>
      <c r="I1551" s="7" t="s">
        <v>204</v>
      </c>
      <c r="J1551" s="7" t="s">
        <v>200</v>
      </c>
      <c r="K1551" s="7" t="s">
        <v>29</v>
      </c>
      <c r="L1551" s="3" t="str">
        <f>E1551&amp;D1551</f>
        <v>E.SP.IPAEE_INS_CONF_S_I_CAIXA DE LOCAÇÃO_0180</v>
      </c>
      <c r="M1551" s="3" t="str">
        <f>IFERROR(MID(D1551,SEARCH("S_I_",D1551,1),3),"")</f>
        <v>S_I</v>
      </c>
      <c r="N1551" s="3" t="str">
        <f>IFERROR(MID(D1551,SEARCH("C_I_",D1551,1),3),"")</f>
        <v/>
      </c>
      <c r="O1551" s="3" t="str">
        <f>IF(AND(M1551="",N1551=""),"Extra","")</f>
        <v/>
      </c>
      <c r="P1551" s="3" t="str">
        <f>IF(Q1551=0,"TERCEIRO","MRS")</f>
        <v>MRS</v>
      </c>
      <c r="Q1551" s="8" t="str">
        <f>IFERROR(VLOOKUP(L1551,#REF!,4,0),"0,00")</f>
        <v>0,00</v>
      </c>
      <c r="R1551" s="9" t="s">
        <v>98</v>
      </c>
      <c r="S1551" s="9">
        <f>COUNTIF(D1551,"*_SEG_*")</f>
        <v>0</v>
      </c>
      <c r="T1551" s="9">
        <f>COUNTIF(D1551,"*_MAN_*")</f>
        <v>0</v>
      </c>
      <c r="U1551" s="9">
        <f>(RIGHT(D1551,4))*1</f>
        <v>180</v>
      </c>
      <c r="V1551" s="9" t="str">
        <f>IFERROR(VLOOKUP(I1551,#REF!,2,0),"Sinalização")</f>
        <v>Sinalização</v>
      </c>
    </row>
    <row r="1552" spans="1:22" x14ac:dyDescent="0.25">
      <c r="A1552" s="3" t="s">
        <v>22</v>
      </c>
      <c r="B1552" s="4">
        <v>23082433</v>
      </c>
      <c r="C1552" s="5" t="s">
        <v>23</v>
      </c>
      <c r="D1552" s="6" t="s">
        <v>205</v>
      </c>
      <c r="E1552" s="6" t="s">
        <v>25</v>
      </c>
      <c r="F1552" s="11">
        <v>46152</v>
      </c>
      <c r="G1552" s="6" t="s">
        <v>1079</v>
      </c>
      <c r="H1552" s="7"/>
      <c r="I1552" s="7" t="s">
        <v>59</v>
      </c>
      <c r="J1552" s="7" t="s">
        <v>181</v>
      </c>
      <c r="K1552" s="7" t="s">
        <v>29</v>
      </c>
      <c r="L1552" s="3" t="str">
        <f>E1552&amp;D1552</f>
        <v>E.SP.IPAEE_INS_CONF_S_I_BAT ESTAC B-LFR_0180</v>
      </c>
      <c r="M1552" s="3" t="str">
        <f>IFERROR(MID(D1552,SEARCH("S_I_",D1552,1),3),"")</f>
        <v>S_I</v>
      </c>
      <c r="N1552" s="3" t="str">
        <f>IFERROR(MID(D1552,SEARCH("C_I_",D1552,1),3),"")</f>
        <v/>
      </c>
      <c r="O1552" s="3" t="str">
        <f>IF(AND(M1552="",N1552=""),"Extra","")</f>
        <v/>
      </c>
      <c r="P1552" s="3" t="str">
        <f>IF(Q1552=0,"TERCEIRO","MRS")</f>
        <v>MRS</v>
      </c>
      <c r="Q1552" s="8" t="str">
        <f>IFERROR(VLOOKUP(L1552,#REF!,4,0),"0,00")</f>
        <v>0,00</v>
      </c>
      <c r="R1552" s="9" t="s">
        <v>42</v>
      </c>
      <c r="S1552" s="9">
        <f>COUNTIF(D1552,"*_SEG_*")</f>
        <v>0</v>
      </c>
      <c r="T1552" s="9">
        <f>COUNTIF(D1552,"*_MAN_*")</f>
        <v>0</v>
      </c>
      <c r="U1552" s="9">
        <f>(RIGHT(D1552,4))*1</f>
        <v>180</v>
      </c>
      <c r="V1552" s="9" t="str">
        <f>IFERROR(VLOOKUP(I1552,#REF!,2,0),"Sinalização")</f>
        <v>Sinalização</v>
      </c>
    </row>
    <row r="1553" spans="1:22" x14ac:dyDescent="0.25">
      <c r="A1553" s="3" t="s">
        <v>22</v>
      </c>
      <c r="B1553" s="4">
        <v>23082509</v>
      </c>
      <c r="C1553" s="5" t="s">
        <v>23</v>
      </c>
      <c r="D1553" s="6" t="s">
        <v>206</v>
      </c>
      <c r="E1553" s="6" t="s">
        <v>25</v>
      </c>
      <c r="F1553" s="11">
        <v>46152</v>
      </c>
      <c r="G1553" s="6" t="s">
        <v>1079</v>
      </c>
      <c r="H1553" s="7"/>
      <c r="I1553" s="7" t="s">
        <v>207</v>
      </c>
      <c r="J1553" s="7" t="s">
        <v>208</v>
      </c>
      <c r="K1553" s="7" t="s">
        <v>29</v>
      </c>
      <c r="L1553" s="3" t="str">
        <f>E1553&amp;D1553</f>
        <v>E.SP.IPAEE_INS_CONF_S_I_IAS_0180</v>
      </c>
      <c r="M1553" s="3" t="str">
        <f>IFERROR(MID(D1553,SEARCH("S_I_",D1553,1),3),"")</f>
        <v>S_I</v>
      </c>
      <c r="N1553" s="3" t="str">
        <f>IFERROR(MID(D1553,SEARCH("C_I_",D1553,1),3),"")</f>
        <v/>
      </c>
      <c r="O1553" s="3" t="str">
        <f>IF(AND(M1553="",N1553=""),"Extra","")</f>
        <v/>
      </c>
      <c r="P1553" s="3" t="str">
        <f>IF(Q1553=0,"TERCEIRO","MRS")</f>
        <v>MRS</v>
      </c>
      <c r="Q1553" s="8" t="str">
        <f>IFERROR(VLOOKUP(L1553,#REF!,4,0),"0,00")</f>
        <v>0,00</v>
      </c>
      <c r="R1553" s="9" t="s">
        <v>42</v>
      </c>
      <c r="S1553" s="9">
        <f>COUNTIF(D1553,"*_SEG_*")</f>
        <v>0</v>
      </c>
      <c r="T1553" s="9">
        <f>COUNTIF(D1553,"*_MAN_*")</f>
        <v>0</v>
      </c>
      <c r="U1553" s="9">
        <f>(RIGHT(D1553,4))*1</f>
        <v>180</v>
      </c>
      <c r="V1553" s="9" t="str">
        <f>IFERROR(VLOOKUP(I1553,#REF!,2,0),"Sinalização")</f>
        <v>Sinalização</v>
      </c>
    </row>
    <row r="1554" spans="1:22" x14ac:dyDescent="0.25">
      <c r="A1554" s="3" t="s">
        <v>22</v>
      </c>
      <c r="B1554" s="4">
        <v>23082564</v>
      </c>
      <c r="C1554" s="5" t="s">
        <v>23</v>
      </c>
      <c r="D1554" s="6" t="s">
        <v>206</v>
      </c>
      <c r="E1554" s="6" t="s">
        <v>25</v>
      </c>
      <c r="F1554" s="11">
        <v>46152</v>
      </c>
      <c r="G1554" s="6" t="s">
        <v>1079</v>
      </c>
      <c r="H1554" s="7"/>
      <c r="I1554" s="7" t="s">
        <v>209</v>
      </c>
      <c r="J1554" s="7" t="s">
        <v>208</v>
      </c>
      <c r="K1554" s="7" t="s">
        <v>29</v>
      </c>
      <c r="L1554" s="3" t="str">
        <f>E1554&amp;D1554</f>
        <v>E.SP.IPAEE_INS_CONF_S_I_IAS_0180</v>
      </c>
      <c r="M1554" s="3" t="str">
        <f>IFERROR(MID(D1554,SEARCH("S_I_",D1554,1),3),"")</f>
        <v>S_I</v>
      </c>
      <c r="N1554" s="3" t="str">
        <f>IFERROR(MID(D1554,SEARCH("C_I_",D1554,1),3),"")</f>
        <v/>
      </c>
      <c r="O1554" s="3" t="str">
        <f>IF(AND(M1554="",N1554=""),"Extra","")</f>
        <v/>
      </c>
      <c r="P1554" s="3" t="str">
        <f>IF(Q1554=0,"TERCEIRO","MRS")</f>
        <v>MRS</v>
      </c>
      <c r="Q1554" s="8" t="str">
        <f>IFERROR(VLOOKUP(L1554,#REF!,4,0),"0,00")</f>
        <v>0,00</v>
      </c>
      <c r="R1554" s="9" t="s">
        <v>42</v>
      </c>
      <c r="S1554" s="9">
        <f>COUNTIF(D1554,"*_SEG_*")</f>
        <v>0</v>
      </c>
      <c r="T1554" s="9">
        <f>COUNTIF(D1554,"*_MAN_*")</f>
        <v>0</v>
      </c>
      <c r="U1554" s="9">
        <f>(RIGHT(D1554,4))*1</f>
        <v>180</v>
      </c>
      <c r="V1554" s="9" t="str">
        <f>IFERROR(VLOOKUP(I1554,#REF!,2,0),"Sinalização")</f>
        <v>Sinalização</v>
      </c>
    </row>
    <row r="1555" spans="1:22" x14ac:dyDescent="0.25">
      <c r="A1555" s="3" t="s">
        <v>22</v>
      </c>
      <c r="B1555" s="4">
        <v>23082565</v>
      </c>
      <c r="C1555" s="5" t="s">
        <v>23</v>
      </c>
      <c r="D1555" s="6" t="s">
        <v>206</v>
      </c>
      <c r="E1555" s="6" t="s">
        <v>25</v>
      </c>
      <c r="F1555" s="11">
        <v>46152</v>
      </c>
      <c r="G1555" s="6" t="s">
        <v>1079</v>
      </c>
      <c r="H1555" s="7"/>
      <c r="I1555" s="7" t="s">
        <v>210</v>
      </c>
      <c r="J1555" s="7" t="s">
        <v>208</v>
      </c>
      <c r="K1555" s="7" t="s">
        <v>29</v>
      </c>
      <c r="L1555" s="3" t="str">
        <f>E1555&amp;D1555</f>
        <v>E.SP.IPAEE_INS_CONF_S_I_IAS_0180</v>
      </c>
      <c r="M1555" s="3" t="str">
        <f>IFERROR(MID(D1555,SEARCH("S_I_",D1555,1),3),"")</f>
        <v>S_I</v>
      </c>
      <c r="N1555" s="3" t="str">
        <f>IFERROR(MID(D1555,SEARCH("C_I_",D1555,1),3),"")</f>
        <v/>
      </c>
      <c r="O1555" s="3" t="str">
        <f>IF(AND(M1555="",N1555=""),"Extra","")</f>
        <v/>
      </c>
      <c r="P1555" s="3" t="str">
        <f>IF(Q1555=0,"TERCEIRO","MRS")</f>
        <v>MRS</v>
      </c>
      <c r="Q1555" s="8" t="str">
        <f>IFERROR(VLOOKUP(L1555,#REF!,4,0),"0,00")</f>
        <v>0,00</v>
      </c>
      <c r="R1555" s="9" t="s">
        <v>42</v>
      </c>
      <c r="S1555" s="9">
        <f>COUNTIF(D1555,"*_SEG_*")</f>
        <v>0</v>
      </c>
      <c r="T1555" s="9">
        <f>COUNTIF(D1555,"*_MAN_*")</f>
        <v>0</v>
      </c>
      <c r="U1555" s="9">
        <f>(RIGHT(D1555,4))*1</f>
        <v>180</v>
      </c>
      <c r="V1555" s="9" t="str">
        <f>IFERROR(VLOOKUP(I1555,#REF!,2,0),"Sinalização")</f>
        <v>Sinalização</v>
      </c>
    </row>
    <row r="1556" spans="1:22" x14ac:dyDescent="0.25">
      <c r="A1556" s="3" t="s">
        <v>22</v>
      </c>
      <c r="B1556" s="4">
        <v>23082568</v>
      </c>
      <c r="C1556" s="5" t="s">
        <v>23</v>
      </c>
      <c r="D1556" s="6" t="s">
        <v>206</v>
      </c>
      <c r="E1556" s="6" t="s">
        <v>25</v>
      </c>
      <c r="F1556" s="11">
        <v>46152</v>
      </c>
      <c r="G1556" s="6" t="s">
        <v>1079</v>
      </c>
      <c r="H1556" s="7"/>
      <c r="I1556" s="7" t="s">
        <v>211</v>
      </c>
      <c r="J1556" s="7" t="s">
        <v>208</v>
      </c>
      <c r="K1556" s="7" t="s">
        <v>29</v>
      </c>
      <c r="L1556" s="3" t="str">
        <f>E1556&amp;D1556</f>
        <v>E.SP.IPAEE_INS_CONF_S_I_IAS_0180</v>
      </c>
      <c r="M1556" s="3" t="str">
        <f>IFERROR(MID(D1556,SEARCH("S_I_",D1556,1),3),"")</f>
        <v>S_I</v>
      </c>
      <c r="N1556" s="3" t="str">
        <f>IFERROR(MID(D1556,SEARCH("C_I_",D1556,1),3),"")</f>
        <v/>
      </c>
      <c r="O1556" s="3" t="str">
        <f>IF(AND(M1556="",N1556=""),"Extra","")</f>
        <v/>
      </c>
      <c r="P1556" s="3" t="str">
        <f>IF(Q1556=0,"TERCEIRO","MRS")</f>
        <v>MRS</v>
      </c>
      <c r="Q1556" s="8" t="str">
        <f>IFERROR(VLOOKUP(L1556,#REF!,4,0),"0,00")</f>
        <v>0,00</v>
      </c>
      <c r="R1556" s="9" t="s">
        <v>42</v>
      </c>
      <c r="S1556" s="9">
        <f>COUNTIF(D1556,"*_SEG_*")</f>
        <v>0</v>
      </c>
      <c r="T1556" s="9">
        <f>COUNTIF(D1556,"*_MAN_*")</f>
        <v>0</v>
      </c>
      <c r="U1556" s="9">
        <f>(RIGHT(D1556,4))*1</f>
        <v>180</v>
      </c>
      <c r="V1556" s="9" t="str">
        <f>IFERROR(VLOOKUP(I1556,#REF!,2,0),"Sinalização")</f>
        <v>Sinalização</v>
      </c>
    </row>
    <row r="1557" spans="1:22" x14ac:dyDescent="0.25">
      <c r="A1557" s="3" t="s">
        <v>22</v>
      </c>
      <c r="B1557" s="4">
        <v>23082663</v>
      </c>
      <c r="C1557" s="5" t="s">
        <v>23</v>
      </c>
      <c r="D1557" s="6" t="s">
        <v>212</v>
      </c>
      <c r="E1557" s="6" t="s">
        <v>25</v>
      </c>
      <c r="F1557" s="11">
        <v>46152</v>
      </c>
      <c r="G1557" s="6" t="s">
        <v>1079</v>
      </c>
      <c r="H1557" s="7"/>
      <c r="I1557" s="7" t="s">
        <v>40</v>
      </c>
      <c r="J1557" s="7" t="s">
        <v>189</v>
      </c>
      <c r="K1557" s="7" t="s">
        <v>29</v>
      </c>
      <c r="L1557" s="3" t="str">
        <f>E1557&amp;D1557</f>
        <v>E.SP.IPAEE_INS_SEG_C_I_MCH 110V GRS 55BR R_0180</v>
      </c>
      <c r="M1557" s="3" t="str">
        <f>IFERROR(MID(D1557,SEARCH("S_I_",D1557,1),3),"")</f>
        <v/>
      </c>
      <c r="N1557" s="3" t="str">
        <f>IFERROR(MID(D1557,SEARCH("C_I_",D1557,1),3),"")</f>
        <v>C_I</v>
      </c>
      <c r="O1557" s="3" t="str">
        <f>IF(AND(M1557="",N1557=""),"Extra","")</f>
        <v/>
      </c>
      <c r="P1557" s="3" t="str">
        <f>IF(Q1557=0,"TERCEIRO","MRS")</f>
        <v>MRS</v>
      </c>
      <c r="Q1557" s="8" t="str">
        <f>IFERROR(VLOOKUP(L1557,#REF!,4,0),"0,00")</f>
        <v>0,00</v>
      </c>
      <c r="R1557" s="9" t="s">
        <v>30</v>
      </c>
      <c r="S1557" s="9">
        <f>COUNTIF(D1557,"*_SEG_*")</f>
        <v>1</v>
      </c>
      <c r="T1557" s="9">
        <f>COUNTIF(D1557,"*_MAN_*")</f>
        <v>0</v>
      </c>
      <c r="U1557" s="9">
        <f>(RIGHT(D1557,4))*1</f>
        <v>180</v>
      </c>
      <c r="V1557" s="9" t="str">
        <f>IFERROR(VLOOKUP(I1557,#REF!,2,0),"Sinalização")</f>
        <v>Sinalização</v>
      </c>
    </row>
    <row r="1558" spans="1:22" x14ac:dyDescent="0.25">
      <c r="A1558" s="3" t="s">
        <v>22</v>
      </c>
      <c r="B1558" s="4">
        <v>23082677</v>
      </c>
      <c r="C1558" s="5" t="s">
        <v>23</v>
      </c>
      <c r="D1558" s="6" t="s">
        <v>213</v>
      </c>
      <c r="E1558" s="6" t="s">
        <v>25</v>
      </c>
      <c r="F1558" s="11">
        <v>46152</v>
      </c>
      <c r="G1558" s="6" t="s">
        <v>1079</v>
      </c>
      <c r="H1558" s="7"/>
      <c r="I1558" s="7" t="s">
        <v>214</v>
      </c>
      <c r="J1558" s="7" t="s">
        <v>215</v>
      </c>
      <c r="K1558" s="7" t="s">
        <v>29</v>
      </c>
      <c r="L1558" s="3" t="str">
        <f>E1558&amp;D1558</f>
        <v>E.SP.IPAEE_MAN_CONF_S_I_CIRCUITO VIA CA_0180</v>
      </c>
      <c r="M1558" s="3" t="str">
        <f>IFERROR(MID(D1558,SEARCH("S_I_",D1558,1),3),"")</f>
        <v>S_I</v>
      </c>
      <c r="N1558" s="3" t="str">
        <f>IFERROR(MID(D1558,SEARCH("C_I_",D1558,1),3),"")</f>
        <v/>
      </c>
      <c r="O1558" s="3" t="str">
        <f>IF(AND(M1558="",N1558=""),"Extra","")</f>
        <v/>
      </c>
      <c r="P1558" s="3" t="str">
        <f>IF(Q1558=0,"TERCEIRO","MRS")</f>
        <v>MRS</v>
      </c>
      <c r="Q1558" s="8" t="str">
        <f>IFERROR(VLOOKUP(L1558,#REF!,4,0),"0,00")</f>
        <v>0,00</v>
      </c>
      <c r="R1558" s="9" t="s">
        <v>98</v>
      </c>
      <c r="S1558" s="9">
        <f>COUNTIF(D1558,"*_SEG_*")</f>
        <v>0</v>
      </c>
      <c r="T1558" s="9">
        <f>COUNTIF(D1558,"*_MAN_*")</f>
        <v>1</v>
      </c>
      <c r="U1558" s="9">
        <f>(RIGHT(D1558,4))*1</f>
        <v>180</v>
      </c>
      <c r="V1558" s="9" t="str">
        <f>IFERROR(VLOOKUP(I1558,#REF!,2,0),"Sinalização")</f>
        <v>Sinalização</v>
      </c>
    </row>
    <row r="1559" spans="1:22" x14ac:dyDescent="0.25">
      <c r="A1559" s="3" t="s">
        <v>22</v>
      </c>
      <c r="B1559" s="4">
        <v>23082680</v>
      </c>
      <c r="C1559" s="5" t="s">
        <v>23</v>
      </c>
      <c r="D1559" s="6" t="s">
        <v>213</v>
      </c>
      <c r="E1559" s="6" t="s">
        <v>25</v>
      </c>
      <c r="F1559" s="11">
        <v>46152</v>
      </c>
      <c r="G1559" s="6" t="s">
        <v>1079</v>
      </c>
      <c r="H1559" s="7"/>
      <c r="I1559" s="7" t="s">
        <v>216</v>
      </c>
      <c r="J1559" s="7" t="s">
        <v>215</v>
      </c>
      <c r="K1559" s="7" t="s">
        <v>29</v>
      </c>
      <c r="L1559" s="3" t="str">
        <f>E1559&amp;D1559</f>
        <v>E.SP.IPAEE_MAN_CONF_S_I_CIRCUITO VIA CA_0180</v>
      </c>
      <c r="M1559" s="3" t="str">
        <f>IFERROR(MID(D1559,SEARCH("S_I_",D1559,1),3),"")</f>
        <v>S_I</v>
      </c>
      <c r="N1559" s="3" t="str">
        <f>IFERROR(MID(D1559,SEARCH("C_I_",D1559,1),3),"")</f>
        <v/>
      </c>
      <c r="O1559" s="3" t="str">
        <f>IF(AND(M1559="",N1559=""),"Extra","")</f>
        <v/>
      </c>
      <c r="P1559" s="3" t="str">
        <f>IF(Q1559=0,"TERCEIRO","MRS")</f>
        <v>MRS</v>
      </c>
      <c r="Q1559" s="8" t="str">
        <f>IFERROR(VLOOKUP(L1559,#REF!,4,0),"0,00")</f>
        <v>0,00</v>
      </c>
      <c r="R1559" s="9" t="s">
        <v>98</v>
      </c>
      <c r="S1559" s="9">
        <f>COUNTIF(D1559,"*_SEG_*")</f>
        <v>0</v>
      </c>
      <c r="T1559" s="9">
        <f>COUNTIF(D1559,"*_MAN_*")</f>
        <v>1</v>
      </c>
      <c r="U1559" s="9">
        <f>(RIGHT(D1559,4))*1</f>
        <v>180</v>
      </c>
      <c r="V1559" s="9" t="str">
        <f>IFERROR(VLOOKUP(I1559,#REF!,2,0),"Sinalização")</f>
        <v>Sinalização</v>
      </c>
    </row>
    <row r="1560" spans="1:22" x14ac:dyDescent="0.25">
      <c r="A1560" s="3" t="s">
        <v>22</v>
      </c>
      <c r="B1560" s="4">
        <v>23082683</v>
      </c>
      <c r="C1560" s="5" t="s">
        <v>23</v>
      </c>
      <c r="D1560" s="6" t="s">
        <v>213</v>
      </c>
      <c r="E1560" s="6" t="s">
        <v>25</v>
      </c>
      <c r="F1560" s="11">
        <v>46152</v>
      </c>
      <c r="G1560" s="6" t="s">
        <v>1079</v>
      </c>
      <c r="H1560" s="7"/>
      <c r="I1560" s="7" t="s">
        <v>217</v>
      </c>
      <c r="J1560" s="7" t="s">
        <v>215</v>
      </c>
      <c r="K1560" s="7" t="s">
        <v>29</v>
      </c>
      <c r="L1560" s="3" t="str">
        <f>E1560&amp;D1560</f>
        <v>E.SP.IPAEE_MAN_CONF_S_I_CIRCUITO VIA CA_0180</v>
      </c>
      <c r="M1560" s="3" t="str">
        <f>IFERROR(MID(D1560,SEARCH("S_I_",D1560,1),3),"")</f>
        <v>S_I</v>
      </c>
      <c r="N1560" s="3" t="str">
        <f>IFERROR(MID(D1560,SEARCH("C_I_",D1560,1),3),"")</f>
        <v/>
      </c>
      <c r="O1560" s="3" t="str">
        <f>IF(AND(M1560="",N1560=""),"Extra","")</f>
        <v/>
      </c>
      <c r="P1560" s="3" t="str">
        <f>IF(Q1560=0,"TERCEIRO","MRS")</f>
        <v>MRS</v>
      </c>
      <c r="Q1560" s="8" t="str">
        <f>IFERROR(VLOOKUP(L1560,#REF!,4,0),"0,00")</f>
        <v>0,00</v>
      </c>
      <c r="R1560" s="9" t="s">
        <v>98</v>
      </c>
      <c r="S1560" s="9">
        <f>COUNTIF(D1560,"*_SEG_*")</f>
        <v>0</v>
      </c>
      <c r="T1560" s="9">
        <f>COUNTIF(D1560,"*_MAN_*")</f>
        <v>1</v>
      </c>
      <c r="U1560" s="9">
        <f>(RIGHT(D1560,4))*1</f>
        <v>180</v>
      </c>
      <c r="V1560" s="9" t="str">
        <f>IFERROR(VLOOKUP(I1560,#REF!,2,0),"Sinalização")</f>
        <v>Sinalização</v>
      </c>
    </row>
    <row r="1561" spans="1:22" x14ac:dyDescent="0.25">
      <c r="A1561" s="3" t="s">
        <v>22</v>
      </c>
      <c r="B1561" s="4">
        <v>23082684</v>
      </c>
      <c r="C1561" s="5" t="s">
        <v>23</v>
      </c>
      <c r="D1561" s="6" t="s">
        <v>213</v>
      </c>
      <c r="E1561" s="6" t="s">
        <v>25</v>
      </c>
      <c r="F1561" s="11">
        <v>46152</v>
      </c>
      <c r="G1561" s="6" t="s">
        <v>1079</v>
      </c>
      <c r="H1561" s="7"/>
      <c r="I1561" s="7" t="s">
        <v>218</v>
      </c>
      <c r="J1561" s="7" t="s">
        <v>215</v>
      </c>
      <c r="K1561" s="7" t="s">
        <v>29</v>
      </c>
      <c r="L1561" s="3" t="str">
        <f>E1561&amp;D1561</f>
        <v>E.SP.IPAEE_MAN_CONF_S_I_CIRCUITO VIA CA_0180</v>
      </c>
      <c r="M1561" s="3" t="str">
        <f>IFERROR(MID(D1561,SEARCH("S_I_",D1561,1),3),"")</f>
        <v>S_I</v>
      </c>
      <c r="N1561" s="3" t="str">
        <f>IFERROR(MID(D1561,SEARCH("C_I_",D1561,1),3),"")</f>
        <v/>
      </c>
      <c r="O1561" s="3" t="str">
        <f>IF(AND(M1561="",N1561=""),"Extra","")</f>
        <v/>
      </c>
      <c r="P1561" s="3" t="str">
        <f>IF(Q1561=0,"TERCEIRO","MRS")</f>
        <v>MRS</v>
      </c>
      <c r="Q1561" s="8" t="str">
        <f>IFERROR(VLOOKUP(L1561,#REF!,4,0),"0,00")</f>
        <v>0,00</v>
      </c>
      <c r="R1561" s="9" t="s">
        <v>98</v>
      </c>
      <c r="S1561" s="9">
        <f>COUNTIF(D1561,"*_SEG_*")</f>
        <v>0</v>
      </c>
      <c r="T1561" s="9">
        <f>COUNTIF(D1561,"*_MAN_*")</f>
        <v>1</v>
      </c>
      <c r="U1561" s="9">
        <f>(RIGHT(D1561,4))*1</f>
        <v>180</v>
      </c>
      <c r="V1561" s="9" t="str">
        <f>IFERROR(VLOOKUP(I1561,#REF!,2,0),"Sinalização")</f>
        <v>Sinalização</v>
      </c>
    </row>
    <row r="1562" spans="1:22" x14ac:dyDescent="0.25">
      <c r="A1562" s="3" t="s">
        <v>22</v>
      </c>
      <c r="B1562" s="4">
        <v>23082685</v>
      </c>
      <c r="C1562" s="5" t="s">
        <v>23</v>
      </c>
      <c r="D1562" s="6" t="s">
        <v>213</v>
      </c>
      <c r="E1562" s="6" t="s">
        <v>25</v>
      </c>
      <c r="F1562" s="11">
        <v>46152</v>
      </c>
      <c r="G1562" s="6" t="s">
        <v>1079</v>
      </c>
      <c r="H1562" s="7"/>
      <c r="I1562" s="7" t="s">
        <v>219</v>
      </c>
      <c r="J1562" s="7" t="s">
        <v>215</v>
      </c>
      <c r="K1562" s="7" t="s">
        <v>29</v>
      </c>
      <c r="L1562" s="3" t="str">
        <f>E1562&amp;D1562</f>
        <v>E.SP.IPAEE_MAN_CONF_S_I_CIRCUITO VIA CA_0180</v>
      </c>
      <c r="M1562" s="3" t="str">
        <f>IFERROR(MID(D1562,SEARCH("S_I_",D1562,1),3),"")</f>
        <v>S_I</v>
      </c>
      <c r="N1562" s="3" t="str">
        <f>IFERROR(MID(D1562,SEARCH("C_I_",D1562,1),3),"")</f>
        <v/>
      </c>
      <c r="O1562" s="3" t="str">
        <f>IF(AND(M1562="",N1562=""),"Extra","")</f>
        <v/>
      </c>
      <c r="P1562" s="3" t="str">
        <f>IF(Q1562=0,"TERCEIRO","MRS")</f>
        <v>MRS</v>
      </c>
      <c r="Q1562" s="8" t="str">
        <f>IFERROR(VLOOKUP(L1562,#REF!,4,0),"0,00")</f>
        <v>0,00</v>
      </c>
      <c r="R1562" s="9" t="s">
        <v>98</v>
      </c>
      <c r="S1562" s="9">
        <f>COUNTIF(D1562,"*_SEG_*")</f>
        <v>0</v>
      </c>
      <c r="T1562" s="9">
        <f>COUNTIF(D1562,"*_MAN_*")</f>
        <v>1</v>
      </c>
      <c r="U1562" s="9">
        <f>(RIGHT(D1562,4))*1</f>
        <v>180</v>
      </c>
      <c r="V1562" s="9" t="str">
        <f>IFERROR(VLOOKUP(I1562,#REF!,2,0),"Sinalização")</f>
        <v>Sinalização</v>
      </c>
    </row>
    <row r="1563" spans="1:22" x14ac:dyDescent="0.25">
      <c r="A1563" s="3" t="s">
        <v>22</v>
      </c>
      <c r="B1563" s="4">
        <v>23082686</v>
      </c>
      <c r="C1563" s="5" t="s">
        <v>23</v>
      </c>
      <c r="D1563" s="6" t="s">
        <v>220</v>
      </c>
      <c r="E1563" s="6" t="s">
        <v>25</v>
      </c>
      <c r="F1563" s="11">
        <v>46152</v>
      </c>
      <c r="G1563" s="6" t="s">
        <v>1079</v>
      </c>
      <c r="H1563" s="7"/>
      <c r="I1563" s="7" t="s">
        <v>221</v>
      </c>
      <c r="J1563" s="7" t="s">
        <v>222</v>
      </c>
      <c r="K1563" s="7" t="s">
        <v>29</v>
      </c>
      <c r="L1563" s="3" t="str">
        <f>E1563&amp;D1563</f>
        <v>E.SP.IPAEE_INS_SEG_S_I_SINAL L UNIFO CONT_0180</v>
      </c>
      <c r="M1563" s="3" t="str">
        <f>IFERROR(MID(D1563,SEARCH("S_I_",D1563,1),3),"")</f>
        <v>S_I</v>
      </c>
      <c r="N1563" s="3" t="str">
        <f>IFERROR(MID(D1563,SEARCH("C_I_",D1563,1),3),"")</f>
        <v/>
      </c>
      <c r="O1563" s="3" t="str">
        <f>IF(AND(M1563="",N1563=""),"Extra","")</f>
        <v/>
      </c>
      <c r="P1563" s="3" t="str">
        <f>IF(Q1563=0,"TERCEIRO","MRS")</f>
        <v>MRS</v>
      </c>
      <c r="Q1563" s="8" t="str">
        <f>IFERROR(VLOOKUP(L1563,#REF!,4,0),"0,00")</f>
        <v>0,00</v>
      </c>
      <c r="R1563" s="9" t="s">
        <v>30</v>
      </c>
      <c r="S1563" s="9">
        <f>COUNTIF(D1563,"*_SEG_*")</f>
        <v>1</v>
      </c>
      <c r="T1563" s="9">
        <f>COUNTIF(D1563,"*_MAN_*")</f>
        <v>0</v>
      </c>
      <c r="U1563" s="9">
        <f>(RIGHT(D1563,4))*1</f>
        <v>180</v>
      </c>
      <c r="V1563" s="9" t="str">
        <f>IFERROR(VLOOKUP(I1563,#REF!,2,0),"Sinalização")</f>
        <v>Sinalização</v>
      </c>
    </row>
    <row r="1564" spans="1:22" x14ac:dyDescent="0.25">
      <c r="A1564" s="3" t="s">
        <v>22</v>
      </c>
      <c r="B1564" s="4">
        <v>23082687</v>
      </c>
      <c r="C1564" s="5" t="s">
        <v>23</v>
      </c>
      <c r="D1564" s="6" t="s">
        <v>220</v>
      </c>
      <c r="E1564" s="6" t="s">
        <v>25</v>
      </c>
      <c r="F1564" s="11">
        <v>46152</v>
      </c>
      <c r="G1564" s="6" t="s">
        <v>1079</v>
      </c>
      <c r="H1564" s="7"/>
      <c r="I1564" s="7" t="s">
        <v>223</v>
      </c>
      <c r="J1564" s="7" t="s">
        <v>222</v>
      </c>
      <c r="K1564" s="7" t="s">
        <v>29</v>
      </c>
      <c r="L1564" s="3" t="str">
        <f>E1564&amp;D1564</f>
        <v>E.SP.IPAEE_INS_SEG_S_I_SINAL L UNIFO CONT_0180</v>
      </c>
      <c r="M1564" s="3" t="str">
        <f>IFERROR(MID(D1564,SEARCH("S_I_",D1564,1),3),"")</f>
        <v>S_I</v>
      </c>
      <c r="N1564" s="3" t="str">
        <f>IFERROR(MID(D1564,SEARCH("C_I_",D1564,1),3),"")</f>
        <v/>
      </c>
      <c r="O1564" s="3" t="str">
        <f>IF(AND(M1564="",N1564=""),"Extra","")</f>
        <v/>
      </c>
      <c r="P1564" s="3" t="str">
        <f>IF(Q1564=0,"TERCEIRO","MRS")</f>
        <v>MRS</v>
      </c>
      <c r="Q1564" s="8" t="str">
        <f>IFERROR(VLOOKUP(L1564,#REF!,4,0),"0,00")</f>
        <v>0,00</v>
      </c>
      <c r="R1564" s="9" t="s">
        <v>30</v>
      </c>
      <c r="S1564" s="9">
        <f>COUNTIF(D1564,"*_SEG_*")</f>
        <v>1</v>
      </c>
      <c r="T1564" s="9">
        <f>COUNTIF(D1564,"*_MAN_*")</f>
        <v>0</v>
      </c>
      <c r="U1564" s="9">
        <f>(RIGHT(D1564,4))*1</f>
        <v>180</v>
      </c>
      <c r="V1564" s="9" t="str">
        <f>IFERROR(VLOOKUP(I1564,#REF!,2,0),"Sinalização")</f>
        <v>Sinalização</v>
      </c>
    </row>
    <row r="1565" spans="1:22" x14ac:dyDescent="0.25">
      <c r="A1565" s="3" t="s">
        <v>22</v>
      </c>
      <c r="B1565" s="4">
        <v>23082688</v>
      </c>
      <c r="C1565" s="5" t="s">
        <v>23</v>
      </c>
      <c r="D1565" s="6" t="s">
        <v>220</v>
      </c>
      <c r="E1565" s="6" t="s">
        <v>25</v>
      </c>
      <c r="F1565" s="11">
        <v>46152</v>
      </c>
      <c r="G1565" s="6" t="s">
        <v>1079</v>
      </c>
      <c r="H1565" s="7"/>
      <c r="I1565" s="7" t="s">
        <v>224</v>
      </c>
      <c r="J1565" s="7" t="s">
        <v>222</v>
      </c>
      <c r="K1565" s="7" t="s">
        <v>29</v>
      </c>
      <c r="L1565" s="3" t="str">
        <f>E1565&amp;D1565</f>
        <v>E.SP.IPAEE_INS_SEG_S_I_SINAL L UNIFO CONT_0180</v>
      </c>
      <c r="M1565" s="3" t="str">
        <f>IFERROR(MID(D1565,SEARCH("S_I_",D1565,1),3),"")</f>
        <v>S_I</v>
      </c>
      <c r="N1565" s="3" t="str">
        <f>IFERROR(MID(D1565,SEARCH("C_I_",D1565,1),3),"")</f>
        <v/>
      </c>
      <c r="O1565" s="3" t="str">
        <f>IF(AND(M1565="",N1565=""),"Extra","")</f>
        <v/>
      </c>
      <c r="P1565" s="3" t="str">
        <f>IF(Q1565=0,"TERCEIRO","MRS")</f>
        <v>MRS</v>
      </c>
      <c r="Q1565" s="8" t="str">
        <f>IFERROR(VLOOKUP(L1565,#REF!,4,0),"0,00")</f>
        <v>0,00</v>
      </c>
      <c r="R1565" s="9" t="s">
        <v>30</v>
      </c>
      <c r="S1565" s="9">
        <f>COUNTIF(D1565,"*_SEG_*")</f>
        <v>1</v>
      </c>
      <c r="T1565" s="9">
        <f>COUNTIF(D1565,"*_MAN_*")</f>
        <v>0</v>
      </c>
      <c r="U1565" s="9">
        <f>(RIGHT(D1565,4))*1</f>
        <v>180</v>
      </c>
      <c r="V1565" s="9" t="str">
        <f>IFERROR(VLOOKUP(I1565,#REF!,2,0),"Sinalização")</f>
        <v>Sinalização</v>
      </c>
    </row>
    <row r="1566" spans="1:22" x14ac:dyDescent="0.25">
      <c r="A1566" s="3" t="s">
        <v>22</v>
      </c>
      <c r="B1566" s="4">
        <v>23082689</v>
      </c>
      <c r="C1566" s="5" t="s">
        <v>23</v>
      </c>
      <c r="D1566" s="6" t="s">
        <v>220</v>
      </c>
      <c r="E1566" s="6" t="s">
        <v>25</v>
      </c>
      <c r="F1566" s="11">
        <v>46152</v>
      </c>
      <c r="G1566" s="6" t="s">
        <v>1079</v>
      </c>
      <c r="H1566" s="7"/>
      <c r="I1566" s="7" t="s">
        <v>225</v>
      </c>
      <c r="J1566" s="7" t="s">
        <v>222</v>
      </c>
      <c r="K1566" s="7" t="s">
        <v>29</v>
      </c>
      <c r="L1566" s="3" t="str">
        <f>E1566&amp;D1566</f>
        <v>E.SP.IPAEE_INS_SEG_S_I_SINAL L UNIFO CONT_0180</v>
      </c>
      <c r="M1566" s="3" t="str">
        <f>IFERROR(MID(D1566,SEARCH("S_I_",D1566,1),3),"")</f>
        <v>S_I</v>
      </c>
      <c r="N1566" s="3" t="str">
        <f>IFERROR(MID(D1566,SEARCH("C_I_",D1566,1),3),"")</f>
        <v/>
      </c>
      <c r="O1566" s="3" t="str">
        <f>IF(AND(M1566="",N1566=""),"Extra","")</f>
        <v/>
      </c>
      <c r="P1566" s="3" t="str">
        <f>IF(Q1566=0,"TERCEIRO","MRS")</f>
        <v>MRS</v>
      </c>
      <c r="Q1566" s="8" t="str">
        <f>IFERROR(VLOOKUP(L1566,#REF!,4,0),"0,00")</f>
        <v>0,00</v>
      </c>
      <c r="R1566" s="9" t="s">
        <v>30</v>
      </c>
      <c r="S1566" s="9">
        <f>COUNTIF(D1566,"*_SEG_*")</f>
        <v>1</v>
      </c>
      <c r="T1566" s="9">
        <f>COUNTIF(D1566,"*_MAN_*")</f>
        <v>0</v>
      </c>
      <c r="U1566" s="9">
        <f>(RIGHT(D1566,4))*1</f>
        <v>180</v>
      </c>
      <c r="V1566" s="9" t="str">
        <f>IFERROR(VLOOKUP(I1566,#REF!,2,0),"Sinalização")</f>
        <v>Sinalização</v>
      </c>
    </row>
    <row r="1567" spans="1:22" x14ac:dyDescent="0.25">
      <c r="A1567" s="3" t="s">
        <v>22</v>
      </c>
      <c r="B1567" s="4">
        <v>23082690</v>
      </c>
      <c r="C1567" s="5" t="s">
        <v>23</v>
      </c>
      <c r="D1567" s="6" t="s">
        <v>220</v>
      </c>
      <c r="E1567" s="6" t="s">
        <v>25</v>
      </c>
      <c r="F1567" s="11">
        <v>46152</v>
      </c>
      <c r="G1567" s="6" t="s">
        <v>1079</v>
      </c>
      <c r="H1567" s="7"/>
      <c r="I1567" s="7" t="s">
        <v>226</v>
      </c>
      <c r="J1567" s="7" t="s">
        <v>222</v>
      </c>
      <c r="K1567" s="7" t="s">
        <v>29</v>
      </c>
      <c r="L1567" s="3" t="str">
        <f>E1567&amp;D1567</f>
        <v>E.SP.IPAEE_INS_SEG_S_I_SINAL L UNIFO CONT_0180</v>
      </c>
      <c r="M1567" s="3" t="str">
        <f>IFERROR(MID(D1567,SEARCH("S_I_",D1567,1),3),"")</f>
        <v>S_I</v>
      </c>
      <c r="N1567" s="3" t="str">
        <f>IFERROR(MID(D1567,SEARCH("C_I_",D1567,1),3),"")</f>
        <v/>
      </c>
      <c r="O1567" s="3" t="str">
        <f>IF(AND(M1567="",N1567=""),"Extra","")</f>
        <v/>
      </c>
      <c r="P1567" s="3" t="str">
        <f>IF(Q1567=0,"TERCEIRO","MRS")</f>
        <v>MRS</v>
      </c>
      <c r="Q1567" s="8" t="str">
        <f>IFERROR(VLOOKUP(L1567,#REF!,4,0),"0,00")</f>
        <v>0,00</v>
      </c>
      <c r="R1567" s="9" t="s">
        <v>30</v>
      </c>
      <c r="S1567" s="9">
        <f>COUNTIF(D1567,"*_SEG_*")</f>
        <v>1</v>
      </c>
      <c r="T1567" s="9">
        <f>COUNTIF(D1567,"*_MAN_*")</f>
        <v>0</v>
      </c>
      <c r="U1567" s="9">
        <f>(RIGHT(D1567,4))*1</f>
        <v>180</v>
      </c>
      <c r="V1567" s="9" t="str">
        <f>IFERROR(VLOOKUP(I1567,#REF!,2,0),"Sinalização")</f>
        <v>Sinalização</v>
      </c>
    </row>
    <row r="1568" spans="1:22" x14ac:dyDescent="0.25">
      <c r="A1568" s="3" t="s">
        <v>22</v>
      </c>
      <c r="B1568" s="4">
        <v>23082691</v>
      </c>
      <c r="C1568" s="5" t="s">
        <v>23</v>
      </c>
      <c r="D1568" s="6" t="s">
        <v>220</v>
      </c>
      <c r="E1568" s="6" t="s">
        <v>25</v>
      </c>
      <c r="F1568" s="11">
        <v>46152</v>
      </c>
      <c r="G1568" s="6" t="s">
        <v>1079</v>
      </c>
      <c r="H1568" s="7"/>
      <c r="I1568" s="7" t="s">
        <v>227</v>
      </c>
      <c r="J1568" s="7" t="s">
        <v>222</v>
      </c>
      <c r="K1568" s="7" t="s">
        <v>29</v>
      </c>
      <c r="L1568" s="3" t="str">
        <f>E1568&amp;D1568</f>
        <v>E.SP.IPAEE_INS_SEG_S_I_SINAL L UNIFO CONT_0180</v>
      </c>
      <c r="M1568" s="3" t="str">
        <f>IFERROR(MID(D1568,SEARCH("S_I_",D1568,1),3),"")</f>
        <v>S_I</v>
      </c>
      <c r="N1568" s="3" t="str">
        <f>IFERROR(MID(D1568,SEARCH("C_I_",D1568,1),3),"")</f>
        <v/>
      </c>
      <c r="O1568" s="3" t="str">
        <f>IF(AND(M1568="",N1568=""),"Extra","")</f>
        <v/>
      </c>
      <c r="P1568" s="3" t="str">
        <f>IF(Q1568=0,"TERCEIRO","MRS")</f>
        <v>MRS</v>
      </c>
      <c r="Q1568" s="8" t="str">
        <f>IFERROR(VLOOKUP(L1568,#REF!,4,0),"0,00")</f>
        <v>0,00</v>
      </c>
      <c r="R1568" s="9" t="s">
        <v>30</v>
      </c>
      <c r="S1568" s="9">
        <f>COUNTIF(D1568,"*_SEG_*")</f>
        <v>1</v>
      </c>
      <c r="T1568" s="9">
        <f>COUNTIF(D1568,"*_MAN_*")</f>
        <v>0</v>
      </c>
      <c r="U1568" s="9">
        <f>(RIGHT(D1568,4))*1</f>
        <v>180</v>
      </c>
      <c r="V1568" s="9" t="str">
        <f>IFERROR(VLOOKUP(I1568,#REF!,2,0),"Sinalização")</f>
        <v>Sinalização</v>
      </c>
    </row>
    <row r="1569" spans="1:22" x14ac:dyDescent="0.25">
      <c r="A1569" s="3" t="s">
        <v>22</v>
      </c>
      <c r="B1569" s="4">
        <v>23082693</v>
      </c>
      <c r="C1569" s="5" t="s">
        <v>23</v>
      </c>
      <c r="D1569" s="6" t="s">
        <v>220</v>
      </c>
      <c r="E1569" s="6" t="s">
        <v>25</v>
      </c>
      <c r="F1569" s="11">
        <v>46152</v>
      </c>
      <c r="G1569" s="6" t="s">
        <v>1079</v>
      </c>
      <c r="H1569" s="7"/>
      <c r="I1569" s="7" t="s">
        <v>78</v>
      </c>
      <c r="J1569" s="7" t="s">
        <v>222</v>
      </c>
      <c r="K1569" s="7" t="s">
        <v>29</v>
      </c>
      <c r="L1569" s="3" t="str">
        <f>E1569&amp;D1569</f>
        <v>E.SP.IPAEE_INS_SEG_S_I_SINAL L UNIFO CONT_0180</v>
      </c>
      <c r="M1569" s="3" t="str">
        <f>IFERROR(MID(D1569,SEARCH("S_I_",D1569,1),3),"")</f>
        <v>S_I</v>
      </c>
      <c r="N1569" s="3" t="str">
        <f>IFERROR(MID(D1569,SEARCH("C_I_",D1569,1),3),"")</f>
        <v/>
      </c>
      <c r="O1569" s="3" t="str">
        <f>IF(AND(M1569="",N1569=""),"Extra","")</f>
        <v/>
      </c>
      <c r="P1569" s="3" t="str">
        <f>IF(Q1569=0,"TERCEIRO","MRS")</f>
        <v>MRS</v>
      </c>
      <c r="Q1569" s="8" t="str">
        <f>IFERROR(VLOOKUP(L1569,#REF!,4,0),"0,00")</f>
        <v>0,00</v>
      </c>
      <c r="R1569" s="9" t="s">
        <v>30</v>
      </c>
      <c r="S1569" s="9">
        <f>COUNTIF(D1569,"*_SEG_*")</f>
        <v>1</v>
      </c>
      <c r="T1569" s="9">
        <f>COUNTIF(D1569,"*_MAN_*")</f>
        <v>0</v>
      </c>
      <c r="U1569" s="9">
        <f>(RIGHT(D1569,4))*1</f>
        <v>180</v>
      </c>
      <c r="V1569" s="9" t="str">
        <f>IFERROR(VLOOKUP(I1569,#REF!,2,0),"Sinalização")</f>
        <v>Sinalização</v>
      </c>
    </row>
    <row r="1570" spans="1:22" x14ac:dyDescent="0.25">
      <c r="A1570" s="3" t="s">
        <v>22</v>
      </c>
      <c r="B1570" s="4">
        <v>23082694</v>
      </c>
      <c r="C1570" s="5" t="s">
        <v>23</v>
      </c>
      <c r="D1570" s="6" t="s">
        <v>220</v>
      </c>
      <c r="E1570" s="6" t="s">
        <v>25</v>
      </c>
      <c r="F1570" s="11">
        <v>46152</v>
      </c>
      <c r="G1570" s="6" t="s">
        <v>1079</v>
      </c>
      <c r="H1570" s="7"/>
      <c r="I1570" s="7" t="s">
        <v>228</v>
      </c>
      <c r="J1570" s="7" t="s">
        <v>222</v>
      </c>
      <c r="K1570" s="7" t="s">
        <v>29</v>
      </c>
      <c r="L1570" s="3" t="str">
        <f>E1570&amp;D1570</f>
        <v>E.SP.IPAEE_INS_SEG_S_I_SINAL L UNIFO CONT_0180</v>
      </c>
      <c r="M1570" s="3" t="str">
        <f>IFERROR(MID(D1570,SEARCH("S_I_",D1570,1),3),"")</f>
        <v>S_I</v>
      </c>
      <c r="N1570" s="3" t="str">
        <f>IFERROR(MID(D1570,SEARCH("C_I_",D1570,1),3),"")</f>
        <v/>
      </c>
      <c r="O1570" s="3" t="str">
        <f>IF(AND(M1570="",N1570=""),"Extra","")</f>
        <v/>
      </c>
      <c r="P1570" s="3" t="str">
        <f>IF(Q1570=0,"TERCEIRO","MRS")</f>
        <v>MRS</v>
      </c>
      <c r="Q1570" s="8" t="str">
        <f>IFERROR(VLOOKUP(L1570,#REF!,4,0),"0,00")</f>
        <v>0,00</v>
      </c>
      <c r="R1570" s="9" t="s">
        <v>30</v>
      </c>
      <c r="S1570" s="9">
        <f>COUNTIF(D1570,"*_SEG_*")</f>
        <v>1</v>
      </c>
      <c r="T1570" s="9">
        <f>COUNTIF(D1570,"*_MAN_*")</f>
        <v>0</v>
      </c>
      <c r="U1570" s="9">
        <f>(RIGHT(D1570,4))*1</f>
        <v>180</v>
      </c>
      <c r="V1570" s="9" t="str">
        <f>IFERROR(VLOOKUP(I1570,#REF!,2,0),"Sinalização")</f>
        <v>Sinalização</v>
      </c>
    </row>
    <row r="1571" spans="1:22" x14ac:dyDescent="0.25">
      <c r="A1571" s="3" t="s">
        <v>22</v>
      </c>
      <c r="B1571" s="4">
        <v>23082695</v>
      </c>
      <c r="C1571" s="5" t="s">
        <v>23</v>
      </c>
      <c r="D1571" s="6" t="s">
        <v>220</v>
      </c>
      <c r="E1571" s="6" t="s">
        <v>25</v>
      </c>
      <c r="F1571" s="11">
        <v>46152</v>
      </c>
      <c r="G1571" s="6" t="s">
        <v>1079</v>
      </c>
      <c r="H1571" s="7"/>
      <c r="I1571" s="7" t="s">
        <v>229</v>
      </c>
      <c r="J1571" s="7" t="s">
        <v>222</v>
      </c>
      <c r="K1571" s="7" t="s">
        <v>29</v>
      </c>
      <c r="L1571" s="3" t="str">
        <f>E1571&amp;D1571</f>
        <v>E.SP.IPAEE_INS_SEG_S_I_SINAL L UNIFO CONT_0180</v>
      </c>
      <c r="M1571" s="3" t="str">
        <f>IFERROR(MID(D1571,SEARCH("S_I_",D1571,1),3),"")</f>
        <v>S_I</v>
      </c>
      <c r="N1571" s="3" t="str">
        <f>IFERROR(MID(D1571,SEARCH("C_I_",D1571,1),3),"")</f>
        <v/>
      </c>
      <c r="O1571" s="3" t="str">
        <f>IF(AND(M1571="",N1571=""),"Extra","")</f>
        <v/>
      </c>
      <c r="P1571" s="3" t="str">
        <f>IF(Q1571=0,"TERCEIRO","MRS")</f>
        <v>MRS</v>
      </c>
      <c r="Q1571" s="8" t="str">
        <f>IFERROR(VLOOKUP(L1571,#REF!,4,0),"0,00")</f>
        <v>0,00</v>
      </c>
      <c r="R1571" s="9" t="s">
        <v>30</v>
      </c>
      <c r="S1571" s="9">
        <f>COUNTIF(D1571,"*_SEG_*")</f>
        <v>1</v>
      </c>
      <c r="T1571" s="9">
        <f>COUNTIF(D1571,"*_MAN_*")</f>
        <v>0</v>
      </c>
      <c r="U1571" s="9">
        <f>(RIGHT(D1571,4))*1</f>
        <v>180</v>
      </c>
      <c r="V1571" s="9" t="str">
        <f>IFERROR(VLOOKUP(I1571,#REF!,2,0),"Sinalização")</f>
        <v>Sinalização</v>
      </c>
    </row>
    <row r="1572" spans="1:22" x14ac:dyDescent="0.25">
      <c r="A1572" s="3" t="s">
        <v>22</v>
      </c>
      <c r="B1572" s="4">
        <v>23082697</v>
      </c>
      <c r="C1572" s="5" t="s">
        <v>23</v>
      </c>
      <c r="D1572" s="6" t="s">
        <v>220</v>
      </c>
      <c r="E1572" s="6" t="s">
        <v>25</v>
      </c>
      <c r="F1572" s="11">
        <v>46152</v>
      </c>
      <c r="G1572" s="6" t="s">
        <v>1079</v>
      </c>
      <c r="H1572" s="7"/>
      <c r="I1572" s="7" t="s">
        <v>230</v>
      </c>
      <c r="J1572" s="7" t="s">
        <v>222</v>
      </c>
      <c r="K1572" s="7" t="s">
        <v>29</v>
      </c>
      <c r="L1572" s="3" t="str">
        <f>E1572&amp;D1572</f>
        <v>E.SP.IPAEE_INS_SEG_S_I_SINAL L UNIFO CONT_0180</v>
      </c>
      <c r="M1572" s="3" t="str">
        <f>IFERROR(MID(D1572,SEARCH("S_I_",D1572,1),3),"")</f>
        <v>S_I</v>
      </c>
      <c r="N1572" s="3" t="str">
        <f>IFERROR(MID(D1572,SEARCH("C_I_",D1572,1),3),"")</f>
        <v/>
      </c>
      <c r="O1572" s="3" t="str">
        <f>IF(AND(M1572="",N1572=""),"Extra","")</f>
        <v/>
      </c>
      <c r="P1572" s="3" t="str">
        <f>IF(Q1572=0,"TERCEIRO","MRS")</f>
        <v>MRS</v>
      </c>
      <c r="Q1572" s="8" t="str">
        <f>IFERROR(VLOOKUP(L1572,#REF!,4,0),"0,00")</f>
        <v>0,00</v>
      </c>
      <c r="R1572" s="9" t="s">
        <v>30</v>
      </c>
      <c r="S1572" s="9">
        <f>COUNTIF(D1572,"*_SEG_*")</f>
        <v>1</v>
      </c>
      <c r="T1572" s="9">
        <f>COUNTIF(D1572,"*_MAN_*")</f>
        <v>0</v>
      </c>
      <c r="U1572" s="9">
        <f>(RIGHT(D1572,4))*1</f>
        <v>180</v>
      </c>
      <c r="V1572" s="9" t="str">
        <f>IFERROR(VLOOKUP(I1572,#REF!,2,0),"Sinalização")</f>
        <v>Sinalização</v>
      </c>
    </row>
    <row r="1573" spans="1:22" x14ac:dyDescent="0.25">
      <c r="A1573" s="3" t="s">
        <v>22</v>
      </c>
      <c r="B1573" s="4">
        <v>23082698</v>
      </c>
      <c r="C1573" s="5" t="s">
        <v>23</v>
      </c>
      <c r="D1573" s="6" t="s">
        <v>220</v>
      </c>
      <c r="E1573" s="6" t="s">
        <v>25</v>
      </c>
      <c r="F1573" s="11">
        <v>46152</v>
      </c>
      <c r="G1573" s="6" t="s">
        <v>1079</v>
      </c>
      <c r="H1573" s="7"/>
      <c r="I1573" s="7" t="s">
        <v>231</v>
      </c>
      <c r="J1573" s="7" t="s">
        <v>222</v>
      </c>
      <c r="K1573" s="7" t="s">
        <v>29</v>
      </c>
      <c r="L1573" s="3" t="str">
        <f>E1573&amp;D1573</f>
        <v>E.SP.IPAEE_INS_SEG_S_I_SINAL L UNIFO CONT_0180</v>
      </c>
      <c r="M1573" s="3" t="str">
        <f>IFERROR(MID(D1573,SEARCH("S_I_",D1573,1),3),"")</f>
        <v>S_I</v>
      </c>
      <c r="N1573" s="3" t="str">
        <f>IFERROR(MID(D1573,SEARCH("C_I_",D1573,1),3),"")</f>
        <v/>
      </c>
      <c r="O1573" s="3" t="str">
        <f>IF(AND(M1573="",N1573=""),"Extra","")</f>
        <v/>
      </c>
      <c r="P1573" s="3" t="str">
        <f>IF(Q1573=0,"TERCEIRO","MRS")</f>
        <v>MRS</v>
      </c>
      <c r="Q1573" s="8" t="str">
        <f>IFERROR(VLOOKUP(L1573,#REF!,4,0),"0,00")</f>
        <v>0,00</v>
      </c>
      <c r="R1573" s="9" t="s">
        <v>30</v>
      </c>
      <c r="S1573" s="9">
        <f>COUNTIF(D1573,"*_SEG_*")</f>
        <v>1</v>
      </c>
      <c r="T1573" s="9">
        <f>COUNTIF(D1573,"*_MAN_*")</f>
        <v>0</v>
      </c>
      <c r="U1573" s="9">
        <f>(RIGHT(D1573,4))*1</f>
        <v>180</v>
      </c>
      <c r="V1573" s="9" t="str">
        <f>IFERROR(VLOOKUP(I1573,#REF!,2,0),"Sinalização")</f>
        <v>Sinalização</v>
      </c>
    </row>
    <row r="1574" spans="1:22" x14ac:dyDescent="0.25">
      <c r="A1574" s="3" t="s">
        <v>22</v>
      </c>
      <c r="B1574" s="4">
        <v>23082700</v>
      </c>
      <c r="C1574" s="5" t="s">
        <v>23</v>
      </c>
      <c r="D1574" s="6" t="s">
        <v>220</v>
      </c>
      <c r="E1574" s="6" t="s">
        <v>25</v>
      </c>
      <c r="F1574" s="11">
        <v>46152</v>
      </c>
      <c r="G1574" s="6" t="s">
        <v>1079</v>
      </c>
      <c r="H1574" s="7"/>
      <c r="I1574" s="7" t="s">
        <v>232</v>
      </c>
      <c r="J1574" s="7" t="s">
        <v>222</v>
      </c>
      <c r="K1574" s="7" t="s">
        <v>29</v>
      </c>
      <c r="L1574" s="3" t="str">
        <f>E1574&amp;D1574</f>
        <v>E.SP.IPAEE_INS_SEG_S_I_SINAL L UNIFO CONT_0180</v>
      </c>
      <c r="M1574" s="3" t="str">
        <f>IFERROR(MID(D1574,SEARCH("S_I_",D1574,1),3),"")</f>
        <v>S_I</v>
      </c>
      <c r="N1574" s="3" t="str">
        <f>IFERROR(MID(D1574,SEARCH("C_I_",D1574,1),3),"")</f>
        <v/>
      </c>
      <c r="O1574" s="3" t="str">
        <f>IF(AND(M1574="",N1574=""),"Extra","")</f>
        <v/>
      </c>
      <c r="P1574" s="3" t="str">
        <f>IF(Q1574=0,"TERCEIRO","MRS")</f>
        <v>MRS</v>
      </c>
      <c r="Q1574" s="8" t="str">
        <f>IFERROR(VLOOKUP(L1574,#REF!,4,0),"0,00")</f>
        <v>0,00</v>
      </c>
      <c r="R1574" s="9" t="s">
        <v>30</v>
      </c>
      <c r="S1574" s="9">
        <f>COUNTIF(D1574,"*_SEG_*")</f>
        <v>1</v>
      </c>
      <c r="T1574" s="9">
        <f>COUNTIF(D1574,"*_MAN_*")</f>
        <v>0</v>
      </c>
      <c r="U1574" s="9">
        <f>(RIGHT(D1574,4))*1</f>
        <v>180</v>
      </c>
      <c r="V1574" s="9" t="str">
        <f>IFERROR(VLOOKUP(I1574,#REF!,2,0),"Sinalização")</f>
        <v>Sinalização</v>
      </c>
    </row>
    <row r="1575" spans="1:22" x14ac:dyDescent="0.25">
      <c r="A1575" s="3" t="s">
        <v>22</v>
      </c>
      <c r="B1575" s="4">
        <v>23082703</v>
      </c>
      <c r="C1575" s="5" t="s">
        <v>23</v>
      </c>
      <c r="D1575" s="6" t="s">
        <v>213</v>
      </c>
      <c r="E1575" s="6" t="s">
        <v>25</v>
      </c>
      <c r="F1575" s="11">
        <v>46152</v>
      </c>
      <c r="G1575" s="6" t="s">
        <v>1079</v>
      </c>
      <c r="H1575" s="7"/>
      <c r="I1575" s="7" t="s">
        <v>233</v>
      </c>
      <c r="J1575" s="7" t="s">
        <v>215</v>
      </c>
      <c r="K1575" s="7" t="s">
        <v>29</v>
      </c>
      <c r="L1575" s="3" t="str">
        <f>E1575&amp;D1575</f>
        <v>E.SP.IPAEE_MAN_CONF_S_I_CIRCUITO VIA CA_0180</v>
      </c>
      <c r="M1575" s="3" t="str">
        <f>IFERROR(MID(D1575,SEARCH("S_I_",D1575,1),3),"")</f>
        <v>S_I</v>
      </c>
      <c r="N1575" s="3" t="str">
        <f>IFERROR(MID(D1575,SEARCH("C_I_",D1575,1),3),"")</f>
        <v/>
      </c>
      <c r="O1575" s="3" t="str">
        <f>IF(AND(M1575="",N1575=""),"Extra","")</f>
        <v/>
      </c>
      <c r="P1575" s="3" t="str">
        <f>IF(Q1575=0,"TERCEIRO","MRS")</f>
        <v>MRS</v>
      </c>
      <c r="Q1575" s="8" t="str">
        <f>IFERROR(VLOOKUP(L1575,#REF!,4,0),"0,00")</f>
        <v>0,00</v>
      </c>
      <c r="R1575" s="9" t="s">
        <v>98</v>
      </c>
      <c r="S1575" s="9">
        <f>COUNTIF(D1575,"*_SEG_*")</f>
        <v>0</v>
      </c>
      <c r="T1575" s="9">
        <f>COUNTIF(D1575,"*_MAN_*")</f>
        <v>1</v>
      </c>
      <c r="U1575" s="9">
        <f>(RIGHT(D1575,4))*1</f>
        <v>180</v>
      </c>
      <c r="V1575" s="9" t="str">
        <f>IFERROR(VLOOKUP(I1575,#REF!,2,0),"Sinalização")</f>
        <v>Sinalização</v>
      </c>
    </row>
    <row r="1576" spans="1:22" x14ac:dyDescent="0.25">
      <c r="A1576" s="3" t="s">
        <v>22</v>
      </c>
      <c r="B1576" s="4">
        <v>23082714</v>
      </c>
      <c r="C1576" s="5" t="s">
        <v>23</v>
      </c>
      <c r="D1576" s="6" t="s">
        <v>213</v>
      </c>
      <c r="E1576" s="6" t="s">
        <v>25</v>
      </c>
      <c r="F1576" s="11">
        <v>46152</v>
      </c>
      <c r="G1576" s="6" t="s">
        <v>1079</v>
      </c>
      <c r="H1576" s="7"/>
      <c r="I1576" s="7" t="s">
        <v>234</v>
      </c>
      <c r="J1576" s="7" t="s">
        <v>215</v>
      </c>
      <c r="K1576" s="7" t="s">
        <v>29</v>
      </c>
      <c r="L1576" s="3" t="str">
        <f>E1576&amp;D1576</f>
        <v>E.SP.IPAEE_MAN_CONF_S_I_CIRCUITO VIA CA_0180</v>
      </c>
      <c r="M1576" s="3" t="str">
        <f>IFERROR(MID(D1576,SEARCH("S_I_",D1576,1),3),"")</f>
        <v>S_I</v>
      </c>
      <c r="N1576" s="3" t="str">
        <f>IFERROR(MID(D1576,SEARCH("C_I_",D1576,1),3),"")</f>
        <v/>
      </c>
      <c r="O1576" s="3" t="str">
        <f>IF(AND(M1576="",N1576=""),"Extra","")</f>
        <v/>
      </c>
      <c r="P1576" s="3" t="str">
        <f>IF(Q1576=0,"TERCEIRO","MRS")</f>
        <v>MRS</v>
      </c>
      <c r="Q1576" s="8" t="str">
        <f>IFERROR(VLOOKUP(L1576,#REF!,4,0),"0,00")</f>
        <v>0,00</v>
      </c>
      <c r="R1576" s="9" t="s">
        <v>98</v>
      </c>
      <c r="S1576" s="9">
        <f>COUNTIF(D1576,"*_SEG_*")</f>
        <v>0</v>
      </c>
      <c r="T1576" s="9">
        <f>COUNTIF(D1576,"*_MAN_*")</f>
        <v>1</v>
      </c>
      <c r="U1576" s="9">
        <f>(RIGHT(D1576,4))*1</f>
        <v>180</v>
      </c>
      <c r="V1576" s="9" t="str">
        <f>IFERROR(VLOOKUP(I1576,#REF!,2,0),"Sinalização")</f>
        <v>Sinalização</v>
      </c>
    </row>
    <row r="1577" spans="1:22" x14ac:dyDescent="0.25">
      <c r="A1577" s="3" t="s">
        <v>22</v>
      </c>
      <c r="B1577" s="4">
        <v>23082752</v>
      </c>
      <c r="C1577" s="5" t="s">
        <v>23</v>
      </c>
      <c r="D1577" s="6" t="s">
        <v>213</v>
      </c>
      <c r="E1577" s="6" t="s">
        <v>25</v>
      </c>
      <c r="F1577" s="11">
        <v>46152</v>
      </c>
      <c r="G1577" s="6" t="s">
        <v>1079</v>
      </c>
      <c r="H1577" s="7"/>
      <c r="I1577" s="7" t="s">
        <v>235</v>
      </c>
      <c r="J1577" s="7" t="s">
        <v>215</v>
      </c>
      <c r="K1577" s="7" t="s">
        <v>29</v>
      </c>
      <c r="L1577" s="3" t="str">
        <f>E1577&amp;D1577</f>
        <v>E.SP.IPAEE_MAN_CONF_S_I_CIRCUITO VIA CA_0180</v>
      </c>
      <c r="M1577" s="3" t="str">
        <f>IFERROR(MID(D1577,SEARCH("S_I_",D1577,1),3),"")</f>
        <v>S_I</v>
      </c>
      <c r="N1577" s="3" t="str">
        <f>IFERROR(MID(D1577,SEARCH("C_I_",D1577,1),3),"")</f>
        <v/>
      </c>
      <c r="O1577" s="3" t="str">
        <f>IF(AND(M1577="",N1577=""),"Extra","")</f>
        <v/>
      </c>
      <c r="P1577" s="3" t="str">
        <f>IF(Q1577=0,"TERCEIRO","MRS")</f>
        <v>MRS</v>
      </c>
      <c r="Q1577" s="8" t="str">
        <f>IFERROR(VLOOKUP(L1577,#REF!,4,0),"0,00")</f>
        <v>0,00</v>
      </c>
      <c r="R1577" s="9" t="s">
        <v>98</v>
      </c>
      <c r="S1577" s="9">
        <f>COUNTIF(D1577,"*_SEG_*")</f>
        <v>0</v>
      </c>
      <c r="T1577" s="9">
        <f>COUNTIF(D1577,"*_MAN_*")</f>
        <v>1</v>
      </c>
      <c r="U1577" s="9">
        <f>(RIGHT(D1577,4))*1</f>
        <v>180</v>
      </c>
      <c r="V1577" s="9" t="str">
        <f>IFERROR(VLOOKUP(I1577,#REF!,2,0),"Sinalização")</f>
        <v>Sinalização</v>
      </c>
    </row>
    <row r="1578" spans="1:22" x14ac:dyDescent="0.25">
      <c r="A1578" s="3" t="s">
        <v>22</v>
      </c>
      <c r="B1578" s="4">
        <v>23082753</v>
      </c>
      <c r="C1578" s="5" t="s">
        <v>23</v>
      </c>
      <c r="D1578" s="6" t="s">
        <v>213</v>
      </c>
      <c r="E1578" s="6" t="s">
        <v>25</v>
      </c>
      <c r="F1578" s="11">
        <v>46152</v>
      </c>
      <c r="G1578" s="6" t="s">
        <v>1079</v>
      </c>
      <c r="H1578" s="7"/>
      <c r="I1578" s="7" t="s">
        <v>194</v>
      </c>
      <c r="J1578" s="7" t="s">
        <v>215</v>
      </c>
      <c r="K1578" s="7" t="s">
        <v>29</v>
      </c>
      <c r="L1578" s="3" t="str">
        <f>E1578&amp;D1578</f>
        <v>E.SP.IPAEE_MAN_CONF_S_I_CIRCUITO VIA CA_0180</v>
      </c>
      <c r="M1578" s="3" t="str">
        <f>IFERROR(MID(D1578,SEARCH("S_I_",D1578,1),3),"")</f>
        <v>S_I</v>
      </c>
      <c r="N1578" s="3" t="str">
        <f>IFERROR(MID(D1578,SEARCH("C_I_",D1578,1),3),"")</f>
        <v/>
      </c>
      <c r="O1578" s="3" t="str">
        <f>IF(AND(M1578="",N1578=""),"Extra","")</f>
        <v/>
      </c>
      <c r="P1578" s="3" t="str">
        <f>IF(Q1578=0,"TERCEIRO","MRS")</f>
        <v>MRS</v>
      </c>
      <c r="Q1578" s="8" t="str">
        <f>IFERROR(VLOOKUP(L1578,#REF!,4,0),"0,00")</f>
        <v>0,00</v>
      </c>
      <c r="R1578" s="9" t="s">
        <v>98</v>
      </c>
      <c r="S1578" s="9">
        <f>COUNTIF(D1578,"*_SEG_*")</f>
        <v>0</v>
      </c>
      <c r="T1578" s="9">
        <f>COUNTIF(D1578,"*_MAN_*")</f>
        <v>1</v>
      </c>
      <c r="U1578" s="9">
        <f>(RIGHT(D1578,4))*1</f>
        <v>180</v>
      </c>
      <c r="V1578" s="9" t="str">
        <f>IFERROR(VLOOKUP(I1578,#REF!,2,0),"Sinalização")</f>
        <v>Sinalização</v>
      </c>
    </row>
    <row r="1579" spans="1:22" x14ac:dyDescent="0.25">
      <c r="A1579" s="3" t="s">
        <v>22</v>
      </c>
      <c r="B1579" s="4">
        <v>23082755</v>
      </c>
      <c r="C1579" s="5" t="s">
        <v>23</v>
      </c>
      <c r="D1579" s="6" t="s">
        <v>236</v>
      </c>
      <c r="E1579" s="6" t="s">
        <v>25</v>
      </c>
      <c r="F1579" s="11">
        <v>46152</v>
      </c>
      <c r="G1579" s="6" t="s">
        <v>1079</v>
      </c>
      <c r="H1579" s="7"/>
      <c r="I1579" s="7" t="s">
        <v>230</v>
      </c>
      <c r="J1579" s="7" t="s">
        <v>237</v>
      </c>
      <c r="K1579" s="7" t="s">
        <v>29</v>
      </c>
      <c r="L1579" s="3" t="str">
        <f>E1579&amp;D1579</f>
        <v>E.SP.IPAEE_INS_CONF_S_I_SINAL L UNIFO CONT_0180</v>
      </c>
      <c r="M1579" s="3" t="str">
        <f>IFERROR(MID(D1579,SEARCH("S_I_",D1579,1),3),"")</f>
        <v>S_I</v>
      </c>
      <c r="N1579" s="3" t="str">
        <f>IFERROR(MID(D1579,SEARCH("C_I_",D1579,1),3),"")</f>
        <v/>
      </c>
      <c r="O1579" s="3" t="str">
        <f>IF(AND(M1579="",N1579=""),"Extra","")</f>
        <v/>
      </c>
      <c r="P1579" s="3" t="str">
        <f>IF(Q1579=0,"TERCEIRO","MRS")</f>
        <v>MRS</v>
      </c>
      <c r="Q1579" s="8" t="str">
        <f>IFERROR(VLOOKUP(L1579,#REF!,4,0),"0,00")</f>
        <v>0,00</v>
      </c>
      <c r="R1579" s="9" t="s">
        <v>98</v>
      </c>
      <c r="S1579" s="9">
        <f>COUNTIF(D1579,"*_SEG_*")</f>
        <v>0</v>
      </c>
      <c r="T1579" s="9">
        <f>COUNTIF(D1579,"*_MAN_*")</f>
        <v>0</v>
      </c>
      <c r="U1579" s="9">
        <f>(RIGHT(D1579,4))*1</f>
        <v>180</v>
      </c>
      <c r="V1579" s="9" t="str">
        <f>IFERROR(VLOOKUP(I1579,#REF!,2,0),"Sinalização")</f>
        <v>Sinalização</v>
      </c>
    </row>
    <row r="1580" spans="1:22" x14ac:dyDescent="0.25">
      <c r="A1580" s="3" t="s">
        <v>22</v>
      </c>
      <c r="B1580" s="4">
        <v>23082770</v>
      </c>
      <c r="C1580" s="5" t="s">
        <v>23</v>
      </c>
      <c r="D1580" s="6" t="s">
        <v>236</v>
      </c>
      <c r="E1580" s="6" t="s">
        <v>25</v>
      </c>
      <c r="F1580" s="11">
        <v>46152</v>
      </c>
      <c r="G1580" s="6" t="s">
        <v>1079</v>
      </c>
      <c r="H1580" s="7"/>
      <c r="I1580" s="7" t="s">
        <v>231</v>
      </c>
      <c r="J1580" s="7" t="s">
        <v>237</v>
      </c>
      <c r="K1580" s="7" t="s">
        <v>29</v>
      </c>
      <c r="L1580" s="3" t="str">
        <f>E1580&amp;D1580</f>
        <v>E.SP.IPAEE_INS_CONF_S_I_SINAL L UNIFO CONT_0180</v>
      </c>
      <c r="M1580" s="3" t="str">
        <f>IFERROR(MID(D1580,SEARCH("S_I_",D1580,1),3),"")</f>
        <v>S_I</v>
      </c>
      <c r="N1580" s="3" t="str">
        <f>IFERROR(MID(D1580,SEARCH("C_I_",D1580,1),3),"")</f>
        <v/>
      </c>
      <c r="O1580" s="3" t="str">
        <f>IF(AND(M1580="",N1580=""),"Extra","")</f>
        <v/>
      </c>
      <c r="P1580" s="3" t="str">
        <f>IF(Q1580=0,"TERCEIRO","MRS")</f>
        <v>MRS</v>
      </c>
      <c r="Q1580" s="8" t="str">
        <f>IFERROR(VLOOKUP(L1580,#REF!,4,0),"0,00")</f>
        <v>0,00</v>
      </c>
      <c r="R1580" s="9" t="s">
        <v>98</v>
      </c>
      <c r="S1580" s="9">
        <f>COUNTIF(D1580,"*_SEG_*")</f>
        <v>0</v>
      </c>
      <c r="T1580" s="9">
        <f>COUNTIF(D1580,"*_MAN_*")</f>
        <v>0</v>
      </c>
      <c r="U1580" s="9">
        <f>(RIGHT(D1580,4))*1</f>
        <v>180</v>
      </c>
      <c r="V1580" s="9" t="str">
        <f>IFERROR(VLOOKUP(I1580,#REF!,2,0),"Sinalização")</f>
        <v>Sinalização</v>
      </c>
    </row>
    <row r="1581" spans="1:22" x14ac:dyDescent="0.25">
      <c r="A1581" s="3" t="s">
        <v>22</v>
      </c>
      <c r="B1581" s="4">
        <v>23082771</v>
      </c>
      <c r="C1581" s="5" t="s">
        <v>23</v>
      </c>
      <c r="D1581" s="6" t="s">
        <v>236</v>
      </c>
      <c r="E1581" s="6" t="s">
        <v>25</v>
      </c>
      <c r="F1581" s="11">
        <v>46152</v>
      </c>
      <c r="G1581" s="6" t="s">
        <v>1079</v>
      </c>
      <c r="H1581" s="7"/>
      <c r="I1581" s="7" t="s">
        <v>232</v>
      </c>
      <c r="J1581" s="7" t="s">
        <v>237</v>
      </c>
      <c r="K1581" s="7" t="s">
        <v>29</v>
      </c>
      <c r="L1581" s="3" t="str">
        <f>E1581&amp;D1581</f>
        <v>E.SP.IPAEE_INS_CONF_S_I_SINAL L UNIFO CONT_0180</v>
      </c>
      <c r="M1581" s="3" t="str">
        <f>IFERROR(MID(D1581,SEARCH("S_I_",D1581,1),3),"")</f>
        <v>S_I</v>
      </c>
      <c r="N1581" s="3" t="str">
        <f>IFERROR(MID(D1581,SEARCH("C_I_",D1581,1),3),"")</f>
        <v/>
      </c>
      <c r="O1581" s="3" t="str">
        <f>IF(AND(M1581="",N1581=""),"Extra","")</f>
        <v/>
      </c>
      <c r="P1581" s="3" t="str">
        <f>IF(Q1581=0,"TERCEIRO","MRS")</f>
        <v>MRS</v>
      </c>
      <c r="Q1581" s="8" t="str">
        <f>IFERROR(VLOOKUP(L1581,#REF!,4,0),"0,00")</f>
        <v>0,00</v>
      </c>
      <c r="R1581" s="9" t="s">
        <v>98</v>
      </c>
      <c r="S1581" s="9">
        <f>COUNTIF(D1581,"*_SEG_*")</f>
        <v>0</v>
      </c>
      <c r="T1581" s="9">
        <f>COUNTIF(D1581,"*_MAN_*")</f>
        <v>0</v>
      </c>
      <c r="U1581" s="9">
        <f>(RIGHT(D1581,4))*1</f>
        <v>180</v>
      </c>
      <c r="V1581" s="9" t="str">
        <f>IFERROR(VLOOKUP(I1581,#REF!,2,0),"Sinalização")</f>
        <v>Sinalização</v>
      </c>
    </row>
    <row r="1582" spans="1:22" x14ac:dyDescent="0.25">
      <c r="A1582" s="3" t="s">
        <v>22</v>
      </c>
      <c r="B1582" s="4">
        <v>23082921</v>
      </c>
      <c r="C1582" s="5" t="s">
        <v>23</v>
      </c>
      <c r="D1582" s="6" t="s">
        <v>238</v>
      </c>
      <c r="E1582" s="6" t="s">
        <v>25</v>
      </c>
      <c r="F1582" s="11">
        <v>46152</v>
      </c>
      <c r="G1582" s="6" t="s">
        <v>1079</v>
      </c>
      <c r="H1582" s="7"/>
      <c r="I1582" s="7" t="s">
        <v>110</v>
      </c>
      <c r="J1582" s="7" t="s">
        <v>239</v>
      </c>
      <c r="K1582" s="7" t="s">
        <v>29</v>
      </c>
      <c r="L1582" s="3" t="str">
        <f>E1582&amp;D1582</f>
        <v>E.SP.IPAEE_INS_CONF_S_I_BATERIAS_0180</v>
      </c>
      <c r="M1582" s="3" t="str">
        <f>IFERROR(MID(D1582,SEARCH("S_I_",D1582,1),3),"")</f>
        <v>S_I</v>
      </c>
      <c r="N1582" s="3" t="str">
        <f>IFERROR(MID(D1582,SEARCH("C_I_",D1582,1),3),"")</f>
        <v/>
      </c>
      <c r="O1582" s="3" t="str">
        <f>IF(AND(M1582="",N1582=""),"Extra","")</f>
        <v/>
      </c>
      <c r="P1582" s="3" t="str">
        <f>IF(Q1582=0,"TERCEIRO","MRS")</f>
        <v>MRS</v>
      </c>
      <c r="Q1582" s="8" t="str">
        <f>IFERROR(VLOOKUP(L1582,#REF!,4,0),"0,00")</f>
        <v>0,00</v>
      </c>
      <c r="R1582" s="9" t="s">
        <v>42</v>
      </c>
      <c r="S1582" s="9">
        <f>COUNTIF(D1582,"*_SEG_*")</f>
        <v>0</v>
      </c>
      <c r="T1582" s="9">
        <f>COUNTIF(D1582,"*_MAN_*")</f>
        <v>0</v>
      </c>
      <c r="U1582" s="9">
        <f>(RIGHT(D1582,4))*1</f>
        <v>180</v>
      </c>
      <c r="V1582" s="9" t="str">
        <f>IFERROR(VLOOKUP(I1582,#REF!,2,0),"Sinalização")</f>
        <v>Sinalização</v>
      </c>
    </row>
    <row r="1583" spans="1:22" x14ac:dyDescent="0.25">
      <c r="A1583" s="3" t="s">
        <v>22</v>
      </c>
      <c r="B1583" s="4">
        <v>23082922</v>
      </c>
      <c r="C1583" s="5" t="s">
        <v>23</v>
      </c>
      <c r="D1583" s="6" t="s">
        <v>238</v>
      </c>
      <c r="E1583" s="6" t="s">
        <v>25</v>
      </c>
      <c r="F1583" s="11">
        <v>46152</v>
      </c>
      <c r="G1583" s="6" t="s">
        <v>1079</v>
      </c>
      <c r="H1583" s="7"/>
      <c r="I1583" s="7" t="s">
        <v>154</v>
      </c>
      <c r="J1583" s="7" t="s">
        <v>239</v>
      </c>
      <c r="K1583" s="7" t="s">
        <v>29</v>
      </c>
      <c r="L1583" s="3" t="str">
        <f>E1583&amp;D1583</f>
        <v>E.SP.IPAEE_INS_CONF_S_I_BATERIAS_0180</v>
      </c>
      <c r="M1583" s="3" t="str">
        <f>IFERROR(MID(D1583,SEARCH("S_I_",D1583,1),3),"")</f>
        <v>S_I</v>
      </c>
      <c r="N1583" s="3" t="str">
        <f>IFERROR(MID(D1583,SEARCH("C_I_",D1583,1),3),"")</f>
        <v/>
      </c>
      <c r="O1583" s="3" t="str">
        <f>IF(AND(M1583="",N1583=""),"Extra","")</f>
        <v/>
      </c>
      <c r="P1583" s="3" t="str">
        <f>IF(Q1583=0,"TERCEIRO","MRS")</f>
        <v>MRS</v>
      </c>
      <c r="Q1583" s="8" t="str">
        <f>IFERROR(VLOOKUP(L1583,#REF!,4,0),"0,00")</f>
        <v>0,00</v>
      </c>
      <c r="R1583" s="9" t="s">
        <v>42</v>
      </c>
      <c r="S1583" s="9">
        <f>COUNTIF(D1583,"*_SEG_*")</f>
        <v>0</v>
      </c>
      <c r="T1583" s="9">
        <f>COUNTIF(D1583,"*_MAN_*")</f>
        <v>0</v>
      </c>
      <c r="U1583" s="9">
        <f>(RIGHT(D1583,4))*1</f>
        <v>180</v>
      </c>
      <c r="V1583" s="9" t="str">
        <f>IFERROR(VLOOKUP(I1583,#REF!,2,0),"Sinalização")</f>
        <v>Sinalização</v>
      </c>
    </row>
    <row r="1584" spans="1:22" x14ac:dyDescent="0.25">
      <c r="A1584" s="3" t="s">
        <v>22</v>
      </c>
      <c r="B1584" s="4">
        <v>23082924</v>
      </c>
      <c r="C1584" s="5" t="s">
        <v>23</v>
      </c>
      <c r="D1584" s="6" t="s">
        <v>238</v>
      </c>
      <c r="E1584" s="6" t="s">
        <v>25</v>
      </c>
      <c r="F1584" s="11">
        <v>46152</v>
      </c>
      <c r="G1584" s="6" t="s">
        <v>1079</v>
      </c>
      <c r="H1584" s="7"/>
      <c r="I1584" s="7" t="s">
        <v>127</v>
      </c>
      <c r="J1584" s="7" t="s">
        <v>239</v>
      </c>
      <c r="K1584" s="7" t="s">
        <v>29</v>
      </c>
      <c r="L1584" s="3" t="str">
        <f>E1584&amp;D1584</f>
        <v>E.SP.IPAEE_INS_CONF_S_I_BATERIAS_0180</v>
      </c>
      <c r="M1584" s="3" t="str">
        <f>IFERROR(MID(D1584,SEARCH("S_I_",D1584,1),3),"")</f>
        <v>S_I</v>
      </c>
      <c r="N1584" s="3" t="str">
        <f>IFERROR(MID(D1584,SEARCH("C_I_",D1584,1),3),"")</f>
        <v/>
      </c>
      <c r="O1584" s="3" t="str">
        <f>IF(AND(M1584="",N1584=""),"Extra","")</f>
        <v/>
      </c>
      <c r="P1584" s="3" t="str">
        <f>IF(Q1584=0,"TERCEIRO","MRS")</f>
        <v>MRS</v>
      </c>
      <c r="Q1584" s="8" t="str">
        <f>IFERROR(VLOOKUP(L1584,#REF!,4,0),"0,00")</f>
        <v>0,00</v>
      </c>
      <c r="R1584" s="9" t="s">
        <v>42</v>
      </c>
      <c r="S1584" s="9">
        <f>COUNTIF(D1584,"*_SEG_*")</f>
        <v>0</v>
      </c>
      <c r="T1584" s="9">
        <f>COUNTIF(D1584,"*_MAN_*")</f>
        <v>0</v>
      </c>
      <c r="U1584" s="9">
        <f>(RIGHT(D1584,4))*1</f>
        <v>180</v>
      </c>
      <c r="V1584" s="9" t="str">
        <f>IFERROR(VLOOKUP(I1584,#REF!,2,0),"Sinalização")</f>
        <v>Sinalização</v>
      </c>
    </row>
    <row r="1585" spans="1:22" x14ac:dyDescent="0.25">
      <c r="A1585" s="3" t="s">
        <v>22</v>
      </c>
      <c r="B1585" s="4">
        <v>23083007</v>
      </c>
      <c r="C1585" s="5" t="s">
        <v>23</v>
      </c>
      <c r="D1585" s="6" t="s">
        <v>240</v>
      </c>
      <c r="E1585" s="6" t="s">
        <v>25</v>
      </c>
      <c r="F1585" s="11">
        <v>46152</v>
      </c>
      <c r="G1585" s="6" t="s">
        <v>1079</v>
      </c>
      <c r="H1585" s="7"/>
      <c r="I1585" s="7" t="s">
        <v>241</v>
      </c>
      <c r="J1585" s="7" t="s">
        <v>215</v>
      </c>
      <c r="K1585" s="7" t="s">
        <v>29</v>
      </c>
      <c r="L1585" s="3" t="str">
        <f>E1585&amp;D1585</f>
        <v>E.SP.IPAEE_MAN_CONF_S_I_CDV DETETORA CA_0180</v>
      </c>
      <c r="M1585" s="3" t="str">
        <f>IFERROR(MID(D1585,SEARCH("S_I_",D1585,1),3),"")</f>
        <v>S_I</v>
      </c>
      <c r="N1585" s="3" t="str">
        <f>IFERROR(MID(D1585,SEARCH("C_I_",D1585,1),3),"")</f>
        <v/>
      </c>
      <c r="O1585" s="3" t="str">
        <f>IF(AND(M1585="",N1585=""),"Extra","")</f>
        <v/>
      </c>
      <c r="P1585" s="3" t="str">
        <f>IF(Q1585=0,"TERCEIRO","MRS")</f>
        <v>MRS</v>
      </c>
      <c r="Q1585" s="8" t="str">
        <f>IFERROR(VLOOKUP(L1585,#REF!,4,0),"0,00")</f>
        <v>0,00</v>
      </c>
      <c r="R1585" s="9" t="s">
        <v>98</v>
      </c>
      <c r="S1585" s="9">
        <f>COUNTIF(D1585,"*_SEG_*")</f>
        <v>0</v>
      </c>
      <c r="T1585" s="9">
        <f>COUNTIF(D1585,"*_MAN_*")</f>
        <v>1</v>
      </c>
      <c r="U1585" s="9">
        <f>(RIGHT(D1585,4))*1</f>
        <v>180</v>
      </c>
      <c r="V1585" s="9" t="str">
        <f>IFERROR(VLOOKUP(I1585,#REF!,2,0),"Sinalização")</f>
        <v>Sinalização</v>
      </c>
    </row>
    <row r="1586" spans="1:22" x14ac:dyDescent="0.25">
      <c r="A1586" s="3" t="s">
        <v>22</v>
      </c>
      <c r="B1586" s="4">
        <v>23083020</v>
      </c>
      <c r="C1586" s="5" t="s">
        <v>23</v>
      </c>
      <c r="D1586" s="6" t="s">
        <v>242</v>
      </c>
      <c r="E1586" s="6" t="s">
        <v>25</v>
      </c>
      <c r="F1586" s="11">
        <v>46152</v>
      </c>
      <c r="G1586" s="6" t="s">
        <v>1079</v>
      </c>
      <c r="H1586" s="7"/>
      <c r="I1586" s="7" t="s">
        <v>243</v>
      </c>
      <c r="J1586" s="7" t="s">
        <v>244</v>
      </c>
      <c r="K1586" s="7" t="s">
        <v>29</v>
      </c>
      <c r="L1586" s="3" t="str">
        <f>E1586&amp;D1586</f>
        <v>E.SP.IPAEE_INS_CONF_S_I_P.N. AUT MD S BARRE_0180</v>
      </c>
      <c r="M1586" s="3" t="str">
        <f>IFERROR(MID(D1586,SEARCH("S_I_",D1586,1),3),"")</f>
        <v>S_I</v>
      </c>
      <c r="N1586" s="3" t="str">
        <f>IFERROR(MID(D1586,SEARCH("C_I_",D1586,1),3),"")</f>
        <v/>
      </c>
      <c r="O1586" s="3" t="str">
        <f>IF(AND(M1586="",N1586=""),"Extra","")</f>
        <v/>
      </c>
      <c r="P1586" s="3" t="str">
        <f>IF(Q1586=0,"TERCEIRO","MRS")</f>
        <v>MRS</v>
      </c>
      <c r="Q1586" s="8" t="str">
        <f>IFERROR(VLOOKUP(L1586,#REF!,4,0),"0,00")</f>
        <v>0,00</v>
      </c>
      <c r="R1586" s="9" t="s">
        <v>42</v>
      </c>
      <c r="S1586" s="9">
        <f>COUNTIF(D1586,"*_SEG_*")</f>
        <v>0</v>
      </c>
      <c r="T1586" s="9">
        <f>COUNTIF(D1586,"*_MAN_*")</f>
        <v>0</v>
      </c>
      <c r="U1586" s="9">
        <f>(RIGHT(D1586,4))*1</f>
        <v>180</v>
      </c>
      <c r="V1586" s="9" t="str">
        <f>IFERROR(VLOOKUP(I1586,#REF!,2,0),"Sinalização")</f>
        <v>Sinalização</v>
      </c>
    </row>
    <row r="1587" spans="1:22" x14ac:dyDescent="0.25">
      <c r="A1587" s="3" t="s">
        <v>22</v>
      </c>
      <c r="B1587" s="4">
        <v>23083033</v>
      </c>
      <c r="C1587" s="5" t="s">
        <v>23</v>
      </c>
      <c r="D1587" s="6" t="s">
        <v>240</v>
      </c>
      <c r="E1587" s="6" t="s">
        <v>25</v>
      </c>
      <c r="F1587" s="11">
        <v>46152</v>
      </c>
      <c r="G1587" s="6" t="s">
        <v>1079</v>
      </c>
      <c r="H1587" s="7"/>
      <c r="I1587" s="7" t="s">
        <v>245</v>
      </c>
      <c r="J1587" s="7" t="s">
        <v>215</v>
      </c>
      <c r="K1587" s="7" t="s">
        <v>29</v>
      </c>
      <c r="L1587" s="3" t="str">
        <f>E1587&amp;D1587</f>
        <v>E.SP.IPAEE_MAN_CONF_S_I_CDV DETETORA CA_0180</v>
      </c>
      <c r="M1587" s="3" t="str">
        <f>IFERROR(MID(D1587,SEARCH("S_I_",D1587,1),3),"")</f>
        <v>S_I</v>
      </c>
      <c r="N1587" s="3" t="str">
        <f>IFERROR(MID(D1587,SEARCH("C_I_",D1587,1),3),"")</f>
        <v/>
      </c>
      <c r="O1587" s="3" t="str">
        <f>IF(AND(M1587="",N1587=""),"Extra","")</f>
        <v/>
      </c>
      <c r="P1587" s="3" t="str">
        <f>IF(Q1587=0,"TERCEIRO","MRS")</f>
        <v>MRS</v>
      </c>
      <c r="Q1587" s="8" t="str">
        <f>IFERROR(VLOOKUP(L1587,#REF!,4,0),"0,00")</f>
        <v>0,00</v>
      </c>
      <c r="R1587" s="9" t="s">
        <v>98</v>
      </c>
      <c r="S1587" s="9">
        <f>COUNTIF(D1587,"*_SEG_*")</f>
        <v>0</v>
      </c>
      <c r="T1587" s="9">
        <f>COUNTIF(D1587,"*_MAN_*")</f>
        <v>1</v>
      </c>
      <c r="U1587" s="9">
        <f>(RIGHT(D1587,4))*1</f>
        <v>180</v>
      </c>
      <c r="V1587" s="9" t="str">
        <f>IFERROR(VLOOKUP(I1587,#REF!,2,0),"Sinalização")</f>
        <v>Sinalização</v>
      </c>
    </row>
    <row r="1588" spans="1:22" x14ac:dyDescent="0.25">
      <c r="A1588" s="3" t="s">
        <v>22</v>
      </c>
      <c r="B1588" s="4">
        <v>23083039</v>
      </c>
      <c r="C1588" s="5" t="s">
        <v>23</v>
      </c>
      <c r="D1588" s="6" t="s">
        <v>246</v>
      </c>
      <c r="E1588" s="6" t="s">
        <v>25</v>
      </c>
      <c r="F1588" s="11">
        <v>46152</v>
      </c>
      <c r="G1588" s="6" t="s">
        <v>1079</v>
      </c>
      <c r="H1588" s="7"/>
      <c r="I1588" s="7" t="s">
        <v>247</v>
      </c>
      <c r="J1588" s="7" t="s">
        <v>248</v>
      </c>
      <c r="K1588" s="7" t="s">
        <v>29</v>
      </c>
      <c r="L1588" s="3" t="str">
        <f>E1588&amp;D1588</f>
        <v>E.SP.IPAEE_INS_CONF_C_I_MCH 110V GRS 55BR R_0180</v>
      </c>
      <c r="M1588" s="3" t="str">
        <f>IFERROR(MID(D1588,SEARCH("S_I_",D1588,1),3),"")</f>
        <v/>
      </c>
      <c r="N1588" s="3" t="str">
        <f>IFERROR(MID(D1588,SEARCH("C_I_",D1588,1),3),"")</f>
        <v>C_I</v>
      </c>
      <c r="O1588" s="3" t="str">
        <f>IF(AND(M1588="",N1588=""),"Extra","")</f>
        <v/>
      </c>
      <c r="P1588" s="3" t="str">
        <f>IF(Q1588=0,"TERCEIRO","MRS")</f>
        <v>MRS</v>
      </c>
      <c r="Q1588" s="8" t="str">
        <f>IFERROR(VLOOKUP(L1588,#REF!,4,0),"0,00")</f>
        <v>0,00</v>
      </c>
      <c r="R1588" s="9" t="s">
        <v>42</v>
      </c>
      <c r="S1588" s="9">
        <f>COUNTIF(D1588,"*_SEG_*")</f>
        <v>0</v>
      </c>
      <c r="T1588" s="9">
        <f>COUNTIF(D1588,"*_MAN_*")</f>
        <v>0</v>
      </c>
      <c r="U1588" s="9">
        <f>(RIGHT(D1588,4))*1</f>
        <v>180</v>
      </c>
      <c r="V1588" s="9" t="str">
        <f>IFERROR(VLOOKUP(I1588,#REF!,2,0),"Sinalização")</f>
        <v>Sinalização</v>
      </c>
    </row>
    <row r="1589" spans="1:22" x14ac:dyDescent="0.25">
      <c r="A1589" s="3" t="s">
        <v>22</v>
      </c>
      <c r="B1589" s="4">
        <v>23083085</v>
      </c>
      <c r="C1589" s="5" t="s">
        <v>23</v>
      </c>
      <c r="D1589" s="6" t="s">
        <v>249</v>
      </c>
      <c r="E1589" s="6" t="s">
        <v>25</v>
      </c>
      <c r="F1589" s="11">
        <v>46152</v>
      </c>
      <c r="G1589" s="6" t="s">
        <v>1079</v>
      </c>
      <c r="H1589" s="7"/>
      <c r="I1589" s="7" t="s">
        <v>250</v>
      </c>
      <c r="J1589" s="7" t="s">
        <v>215</v>
      </c>
      <c r="K1589" s="7" t="s">
        <v>29</v>
      </c>
      <c r="L1589" s="3" t="str">
        <f>E1589&amp;D1589</f>
        <v>E.SP.IPAEE_MAN_CONF_S_I_CIRCUITO A DIODO_0180</v>
      </c>
      <c r="M1589" s="3" t="str">
        <f>IFERROR(MID(D1589,SEARCH("S_I_",D1589,1),3),"")</f>
        <v>S_I</v>
      </c>
      <c r="N1589" s="3" t="str">
        <f>IFERROR(MID(D1589,SEARCH("C_I_",D1589,1),3),"")</f>
        <v/>
      </c>
      <c r="O1589" s="3" t="str">
        <f>IF(AND(M1589="",N1589=""),"Extra","")</f>
        <v/>
      </c>
      <c r="P1589" s="3" t="str">
        <f>IF(Q1589=0,"TERCEIRO","MRS")</f>
        <v>MRS</v>
      </c>
      <c r="Q1589" s="8" t="str">
        <f>IFERROR(VLOOKUP(L1589,#REF!,4,0),"0,00")</f>
        <v>0,00</v>
      </c>
      <c r="R1589" s="9" t="s">
        <v>98</v>
      </c>
      <c r="S1589" s="9">
        <f>COUNTIF(D1589,"*_SEG_*")</f>
        <v>0</v>
      </c>
      <c r="T1589" s="9">
        <f>COUNTIF(D1589,"*_MAN_*")</f>
        <v>1</v>
      </c>
      <c r="U1589" s="9">
        <f>(RIGHT(D1589,4))*1</f>
        <v>180</v>
      </c>
      <c r="V1589" s="9" t="str">
        <f>IFERROR(VLOOKUP(I1589,#REF!,2,0),"Sinalização")</f>
        <v>Sinalização</v>
      </c>
    </row>
    <row r="1590" spans="1:22" x14ac:dyDescent="0.25">
      <c r="A1590" s="3" t="s">
        <v>22</v>
      </c>
      <c r="B1590" s="4">
        <v>23083086</v>
      </c>
      <c r="C1590" s="5" t="s">
        <v>23</v>
      </c>
      <c r="D1590" s="6" t="s">
        <v>249</v>
      </c>
      <c r="E1590" s="6" t="s">
        <v>25</v>
      </c>
      <c r="F1590" s="11">
        <v>46152</v>
      </c>
      <c r="G1590" s="6" t="s">
        <v>1079</v>
      </c>
      <c r="H1590" s="7"/>
      <c r="I1590" s="7" t="s">
        <v>251</v>
      </c>
      <c r="J1590" s="7" t="s">
        <v>215</v>
      </c>
      <c r="K1590" s="7" t="s">
        <v>29</v>
      </c>
      <c r="L1590" s="3" t="str">
        <f>E1590&amp;D1590</f>
        <v>E.SP.IPAEE_MAN_CONF_S_I_CIRCUITO A DIODO_0180</v>
      </c>
      <c r="M1590" s="3" t="str">
        <f>IFERROR(MID(D1590,SEARCH("S_I_",D1590,1),3),"")</f>
        <v>S_I</v>
      </c>
      <c r="N1590" s="3" t="str">
        <f>IFERROR(MID(D1590,SEARCH("C_I_",D1590,1),3),"")</f>
        <v/>
      </c>
      <c r="O1590" s="3" t="str">
        <f>IF(AND(M1590="",N1590=""),"Extra","")</f>
        <v/>
      </c>
      <c r="P1590" s="3" t="str">
        <f>IF(Q1590=0,"TERCEIRO","MRS")</f>
        <v>MRS</v>
      </c>
      <c r="Q1590" s="8" t="str">
        <f>IFERROR(VLOOKUP(L1590,#REF!,4,0),"0,00")</f>
        <v>0,00</v>
      </c>
      <c r="R1590" s="9" t="s">
        <v>98</v>
      </c>
      <c r="S1590" s="9">
        <f>COUNTIF(D1590,"*_SEG_*")</f>
        <v>0</v>
      </c>
      <c r="T1590" s="9">
        <f>COUNTIF(D1590,"*_MAN_*")</f>
        <v>1</v>
      </c>
      <c r="U1590" s="9">
        <f>(RIGHT(D1590,4))*1</f>
        <v>180</v>
      </c>
      <c r="V1590" s="9" t="str">
        <f>IFERROR(VLOOKUP(I1590,#REF!,2,0),"Sinalização")</f>
        <v>Sinalização</v>
      </c>
    </row>
    <row r="1591" spans="1:22" x14ac:dyDescent="0.25">
      <c r="A1591" s="3" t="s">
        <v>22</v>
      </c>
      <c r="B1591" s="4">
        <v>23083132</v>
      </c>
      <c r="C1591" s="5" t="s">
        <v>23</v>
      </c>
      <c r="D1591" s="6" t="s">
        <v>252</v>
      </c>
      <c r="E1591" s="6" t="s">
        <v>25</v>
      </c>
      <c r="F1591" s="11">
        <v>46152</v>
      </c>
      <c r="G1591" s="6" t="s">
        <v>1079</v>
      </c>
      <c r="H1591" s="7"/>
      <c r="I1591" s="7" t="s">
        <v>253</v>
      </c>
      <c r="J1591" s="7" t="s">
        <v>254</v>
      </c>
      <c r="K1591" s="7" t="s">
        <v>29</v>
      </c>
      <c r="L1591" s="3" t="str">
        <f>E1591&amp;D1591</f>
        <v>E.SP.IPAEE_INS_CONF_C_I_MCH 110VCC GRS 5C R_0180</v>
      </c>
      <c r="M1591" s="3" t="str">
        <f>IFERROR(MID(D1591,SEARCH("S_I_",D1591,1),3),"")</f>
        <v/>
      </c>
      <c r="N1591" s="3" t="str">
        <f>IFERROR(MID(D1591,SEARCH("C_I_",D1591,1),3),"")</f>
        <v>C_I</v>
      </c>
      <c r="O1591" s="3" t="str">
        <f>IF(AND(M1591="",N1591=""),"Extra","")</f>
        <v/>
      </c>
      <c r="P1591" s="3" t="str">
        <f>IF(Q1591=0,"TERCEIRO","MRS")</f>
        <v>MRS</v>
      </c>
      <c r="Q1591" s="8" t="str">
        <f>IFERROR(VLOOKUP(L1591,#REF!,4,0),"0,00")</f>
        <v>0,00</v>
      </c>
      <c r="R1591" s="9" t="s">
        <v>42</v>
      </c>
      <c r="S1591" s="9">
        <f>COUNTIF(D1591,"*_SEG_*")</f>
        <v>0</v>
      </c>
      <c r="T1591" s="9">
        <f>COUNTIF(D1591,"*_MAN_*")</f>
        <v>0</v>
      </c>
      <c r="U1591" s="9">
        <f>(RIGHT(D1591,4))*1</f>
        <v>180</v>
      </c>
      <c r="V1591" s="9" t="str">
        <f>IFERROR(VLOOKUP(I1591,#REF!,2,0),"Sinalização")</f>
        <v>Sinalização</v>
      </c>
    </row>
    <row r="1592" spans="1:22" x14ac:dyDescent="0.25">
      <c r="A1592" s="3" t="s">
        <v>22</v>
      </c>
      <c r="B1592" s="4">
        <v>23083183</v>
      </c>
      <c r="C1592" s="5" t="s">
        <v>23</v>
      </c>
      <c r="D1592" s="6" t="s">
        <v>255</v>
      </c>
      <c r="E1592" s="6" t="s">
        <v>25</v>
      </c>
      <c r="F1592" s="11">
        <v>46152</v>
      </c>
      <c r="G1592" s="6" t="s">
        <v>1079</v>
      </c>
      <c r="H1592" s="7"/>
      <c r="I1592" s="7" t="s">
        <v>256</v>
      </c>
      <c r="J1592" s="7" t="s">
        <v>257</v>
      </c>
      <c r="K1592" s="7" t="s">
        <v>29</v>
      </c>
      <c r="L1592" s="3" t="str">
        <f>E1592&amp;D1592</f>
        <v>E.SP.IPAEE_INS_CONF_S_I_MCH 110V GRS 55BR R_0180</v>
      </c>
      <c r="M1592" s="3" t="str">
        <f>IFERROR(MID(D1592,SEARCH("S_I_",D1592,1),3),"")</f>
        <v>S_I</v>
      </c>
      <c r="N1592" s="3" t="str">
        <f>IFERROR(MID(D1592,SEARCH("C_I_",D1592,1),3),"")</f>
        <v/>
      </c>
      <c r="O1592" s="3" t="str">
        <f>IF(AND(M1592="",N1592=""),"Extra","")</f>
        <v/>
      </c>
      <c r="P1592" s="3" t="str">
        <f>IF(Q1592=0,"TERCEIRO","MRS")</f>
        <v>MRS</v>
      </c>
      <c r="Q1592" s="8" t="str">
        <f>IFERROR(VLOOKUP(L1592,#REF!,4,0),"0,00")</f>
        <v>0,00</v>
      </c>
      <c r="R1592" s="9" t="s">
        <v>42</v>
      </c>
      <c r="S1592" s="9">
        <f>COUNTIF(D1592,"*_SEG_*")</f>
        <v>0</v>
      </c>
      <c r="T1592" s="9">
        <f>COUNTIF(D1592,"*_MAN_*")</f>
        <v>0</v>
      </c>
      <c r="U1592" s="9">
        <f>(RIGHT(D1592,4))*1</f>
        <v>180</v>
      </c>
      <c r="V1592" s="9" t="str">
        <f>IFERROR(VLOOKUP(I1592,#REF!,2,0),"Sinalização")</f>
        <v>Sinalização</v>
      </c>
    </row>
    <row r="1593" spans="1:22" x14ac:dyDescent="0.25">
      <c r="A1593" s="3" t="s">
        <v>22</v>
      </c>
      <c r="B1593" s="4">
        <v>23083184</v>
      </c>
      <c r="C1593" s="5" t="s">
        <v>23</v>
      </c>
      <c r="D1593" s="6" t="s">
        <v>255</v>
      </c>
      <c r="E1593" s="6" t="s">
        <v>25</v>
      </c>
      <c r="F1593" s="11">
        <v>46152</v>
      </c>
      <c r="G1593" s="6" t="s">
        <v>1079</v>
      </c>
      <c r="H1593" s="7"/>
      <c r="I1593" s="7" t="s">
        <v>247</v>
      </c>
      <c r="J1593" s="7" t="s">
        <v>257</v>
      </c>
      <c r="K1593" s="7" t="s">
        <v>29</v>
      </c>
      <c r="L1593" s="3" t="str">
        <f>E1593&amp;D1593</f>
        <v>E.SP.IPAEE_INS_CONF_S_I_MCH 110V GRS 55BR R_0180</v>
      </c>
      <c r="M1593" s="3" t="str">
        <f>IFERROR(MID(D1593,SEARCH("S_I_",D1593,1),3),"")</f>
        <v>S_I</v>
      </c>
      <c r="N1593" s="3" t="str">
        <f>IFERROR(MID(D1593,SEARCH("C_I_",D1593,1),3),"")</f>
        <v/>
      </c>
      <c r="O1593" s="3" t="str">
        <f>IF(AND(M1593="",N1593=""),"Extra","")</f>
        <v/>
      </c>
      <c r="P1593" s="3" t="str">
        <f>IF(Q1593=0,"TERCEIRO","MRS")</f>
        <v>MRS</v>
      </c>
      <c r="Q1593" s="8" t="str">
        <f>IFERROR(VLOOKUP(L1593,#REF!,4,0),"0,00")</f>
        <v>0,00</v>
      </c>
      <c r="R1593" s="9" t="s">
        <v>42</v>
      </c>
      <c r="S1593" s="9">
        <f>COUNTIF(D1593,"*_SEG_*")</f>
        <v>0</v>
      </c>
      <c r="T1593" s="9">
        <f>COUNTIF(D1593,"*_MAN_*")</f>
        <v>0</v>
      </c>
      <c r="U1593" s="9">
        <f>(RIGHT(D1593,4))*1</f>
        <v>180</v>
      </c>
      <c r="V1593" s="9" t="str">
        <f>IFERROR(VLOOKUP(I1593,#REF!,2,0),"Sinalização")</f>
        <v>Sinalização</v>
      </c>
    </row>
    <row r="1594" spans="1:22" x14ac:dyDescent="0.25">
      <c r="A1594" s="3" t="s">
        <v>22</v>
      </c>
      <c r="B1594" s="4">
        <v>23083189</v>
      </c>
      <c r="C1594" s="5" t="s">
        <v>23</v>
      </c>
      <c r="D1594" s="6" t="s">
        <v>255</v>
      </c>
      <c r="E1594" s="6" t="s">
        <v>25</v>
      </c>
      <c r="F1594" s="11">
        <v>46152</v>
      </c>
      <c r="G1594" s="6" t="s">
        <v>1079</v>
      </c>
      <c r="H1594" s="7"/>
      <c r="I1594" s="7" t="s">
        <v>258</v>
      </c>
      <c r="J1594" s="7" t="s">
        <v>257</v>
      </c>
      <c r="K1594" s="7" t="s">
        <v>29</v>
      </c>
      <c r="L1594" s="3" t="str">
        <f>E1594&amp;D1594</f>
        <v>E.SP.IPAEE_INS_CONF_S_I_MCH 110V GRS 55BR R_0180</v>
      </c>
      <c r="M1594" s="3" t="str">
        <f>IFERROR(MID(D1594,SEARCH("S_I_",D1594,1),3),"")</f>
        <v>S_I</v>
      </c>
      <c r="N1594" s="3" t="str">
        <f>IFERROR(MID(D1594,SEARCH("C_I_",D1594,1),3),"")</f>
        <v/>
      </c>
      <c r="O1594" s="3" t="str">
        <f>IF(AND(M1594="",N1594=""),"Extra","")</f>
        <v/>
      </c>
      <c r="P1594" s="3" t="str">
        <f>IF(Q1594=0,"TERCEIRO","MRS")</f>
        <v>MRS</v>
      </c>
      <c r="Q1594" s="8" t="str">
        <f>IFERROR(VLOOKUP(L1594,#REF!,4,0),"0,00")</f>
        <v>0,00</v>
      </c>
      <c r="R1594" s="9" t="s">
        <v>42</v>
      </c>
      <c r="S1594" s="9">
        <f>COUNTIF(D1594,"*_SEG_*")</f>
        <v>0</v>
      </c>
      <c r="T1594" s="9">
        <f>COUNTIF(D1594,"*_MAN_*")</f>
        <v>0</v>
      </c>
      <c r="U1594" s="9">
        <f>(RIGHT(D1594,4))*1</f>
        <v>180</v>
      </c>
      <c r="V1594" s="9" t="str">
        <f>IFERROR(VLOOKUP(I1594,#REF!,2,0),"Sinalização")</f>
        <v>Sinalização</v>
      </c>
    </row>
    <row r="1595" spans="1:22" x14ac:dyDescent="0.25">
      <c r="A1595" s="3" t="s">
        <v>22</v>
      </c>
      <c r="B1595" s="4">
        <v>23083331</v>
      </c>
      <c r="C1595" s="5" t="s">
        <v>23</v>
      </c>
      <c r="D1595" s="6" t="s">
        <v>259</v>
      </c>
      <c r="E1595" s="6" t="s">
        <v>25</v>
      </c>
      <c r="F1595" s="11">
        <v>46152</v>
      </c>
      <c r="G1595" s="6" t="s">
        <v>1079</v>
      </c>
      <c r="H1595" s="7"/>
      <c r="I1595" s="7" t="s">
        <v>260</v>
      </c>
      <c r="J1595" s="7" t="s">
        <v>261</v>
      </c>
      <c r="K1595" s="7" t="s">
        <v>29</v>
      </c>
      <c r="L1595" s="3" t="str">
        <f>E1595&amp;D1595</f>
        <v>E.SP.IPAEE_INS_SEG_S_I_BL INT RELÉ S/ BAT_0180</v>
      </c>
      <c r="M1595" s="3" t="str">
        <f>IFERROR(MID(D1595,SEARCH("S_I_",D1595,1),3),"")</f>
        <v>S_I</v>
      </c>
      <c r="N1595" s="3" t="str">
        <f>IFERROR(MID(D1595,SEARCH("C_I_",D1595,1),3),"")</f>
        <v/>
      </c>
      <c r="O1595" s="3" t="str">
        <f>IF(AND(M1595="",N1595=""),"Extra","")</f>
        <v/>
      </c>
      <c r="P1595" s="3" t="str">
        <f>IF(Q1595=0,"TERCEIRO","MRS")</f>
        <v>MRS</v>
      </c>
      <c r="Q1595" s="8" t="str">
        <f>IFERROR(VLOOKUP(L1595,#REF!,4,0),"0,00")</f>
        <v>0,00</v>
      </c>
      <c r="R1595" s="9" t="s">
        <v>30</v>
      </c>
      <c r="S1595" s="9">
        <f>COUNTIF(D1595,"*_SEG_*")</f>
        <v>1</v>
      </c>
      <c r="T1595" s="9">
        <f>COUNTIF(D1595,"*_MAN_*")</f>
        <v>0</v>
      </c>
      <c r="U1595" s="9">
        <f>(RIGHT(D1595,4))*1</f>
        <v>180</v>
      </c>
      <c r="V1595" s="9" t="str">
        <f>IFERROR(VLOOKUP(I1595,#REF!,2,0),"Sinalização")</f>
        <v>Sinalização</v>
      </c>
    </row>
    <row r="1596" spans="1:22" x14ac:dyDescent="0.25">
      <c r="A1596" s="3" t="s">
        <v>22</v>
      </c>
      <c r="B1596" s="4">
        <v>23083332</v>
      </c>
      <c r="C1596" s="5" t="s">
        <v>23</v>
      </c>
      <c r="D1596" s="6" t="s">
        <v>259</v>
      </c>
      <c r="E1596" s="6" t="s">
        <v>25</v>
      </c>
      <c r="F1596" s="11">
        <v>46152</v>
      </c>
      <c r="G1596" s="6" t="s">
        <v>1079</v>
      </c>
      <c r="H1596" s="7"/>
      <c r="I1596" s="7" t="s">
        <v>262</v>
      </c>
      <c r="J1596" s="7" t="s">
        <v>261</v>
      </c>
      <c r="K1596" s="7" t="s">
        <v>29</v>
      </c>
      <c r="L1596" s="3" t="str">
        <f>E1596&amp;D1596</f>
        <v>E.SP.IPAEE_INS_SEG_S_I_BL INT RELÉ S/ BAT_0180</v>
      </c>
      <c r="M1596" s="3" t="str">
        <f>IFERROR(MID(D1596,SEARCH("S_I_",D1596,1),3),"")</f>
        <v>S_I</v>
      </c>
      <c r="N1596" s="3" t="str">
        <f>IFERROR(MID(D1596,SEARCH("C_I_",D1596,1),3),"")</f>
        <v/>
      </c>
      <c r="O1596" s="3" t="str">
        <f>IF(AND(M1596="",N1596=""),"Extra","")</f>
        <v/>
      </c>
      <c r="P1596" s="3" t="str">
        <f>IF(Q1596=0,"TERCEIRO","MRS")</f>
        <v>MRS</v>
      </c>
      <c r="Q1596" s="8" t="str">
        <f>IFERROR(VLOOKUP(L1596,#REF!,4,0),"0,00")</f>
        <v>0,00</v>
      </c>
      <c r="R1596" s="9" t="s">
        <v>30</v>
      </c>
      <c r="S1596" s="9">
        <f>COUNTIF(D1596,"*_SEG_*")</f>
        <v>1</v>
      </c>
      <c r="T1596" s="9">
        <f>COUNTIF(D1596,"*_MAN_*")</f>
        <v>0</v>
      </c>
      <c r="U1596" s="9">
        <f>(RIGHT(D1596,4))*1</f>
        <v>180</v>
      </c>
      <c r="V1596" s="9" t="str">
        <f>IFERROR(VLOOKUP(I1596,#REF!,2,0),"Sinalização")</f>
        <v>Sinalização</v>
      </c>
    </row>
    <row r="1597" spans="1:22" x14ac:dyDescent="0.25">
      <c r="A1597" s="3" t="s">
        <v>22</v>
      </c>
      <c r="B1597" s="4">
        <v>23083333</v>
      </c>
      <c r="C1597" s="5" t="s">
        <v>23</v>
      </c>
      <c r="D1597" s="6" t="s">
        <v>259</v>
      </c>
      <c r="E1597" s="6" t="s">
        <v>25</v>
      </c>
      <c r="F1597" s="11">
        <v>46152</v>
      </c>
      <c r="G1597" s="6" t="s">
        <v>1079</v>
      </c>
      <c r="H1597" s="7"/>
      <c r="I1597" s="7" t="s">
        <v>263</v>
      </c>
      <c r="J1597" s="7" t="s">
        <v>261</v>
      </c>
      <c r="K1597" s="7" t="s">
        <v>29</v>
      </c>
      <c r="L1597" s="3" t="str">
        <f>E1597&amp;D1597</f>
        <v>E.SP.IPAEE_INS_SEG_S_I_BL INT RELÉ S/ BAT_0180</v>
      </c>
      <c r="M1597" s="3" t="str">
        <f>IFERROR(MID(D1597,SEARCH("S_I_",D1597,1),3),"")</f>
        <v>S_I</v>
      </c>
      <c r="N1597" s="3" t="str">
        <f>IFERROR(MID(D1597,SEARCH("C_I_",D1597,1),3),"")</f>
        <v/>
      </c>
      <c r="O1597" s="3" t="str">
        <f>IF(AND(M1597="",N1597=""),"Extra","")</f>
        <v/>
      </c>
      <c r="P1597" s="3" t="str">
        <f>IF(Q1597=0,"TERCEIRO","MRS")</f>
        <v>MRS</v>
      </c>
      <c r="Q1597" s="8" t="str">
        <f>IFERROR(VLOOKUP(L1597,#REF!,4,0),"0,00")</f>
        <v>0,00</v>
      </c>
      <c r="R1597" s="9" t="s">
        <v>30</v>
      </c>
      <c r="S1597" s="9">
        <f>COUNTIF(D1597,"*_SEG_*")</f>
        <v>1</v>
      </c>
      <c r="T1597" s="9">
        <f>COUNTIF(D1597,"*_MAN_*")</f>
        <v>0</v>
      </c>
      <c r="U1597" s="9">
        <f>(RIGHT(D1597,4))*1</f>
        <v>180</v>
      </c>
      <c r="V1597" s="9" t="str">
        <f>IFERROR(VLOOKUP(I1597,#REF!,2,0),"Sinalização")</f>
        <v>Sinalização</v>
      </c>
    </row>
    <row r="1598" spans="1:22" x14ac:dyDescent="0.25">
      <c r="A1598" s="3" t="s">
        <v>22</v>
      </c>
      <c r="B1598" s="4">
        <v>23083334</v>
      </c>
      <c r="C1598" s="5" t="s">
        <v>23</v>
      </c>
      <c r="D1598" s="6" t="s">
        <v>259</v>
      </c>
      <c r="E1598" s="6" t="s">
        <v>25</v>
      </c>
      <c r="F1598" s="11">
        <v>46152</v>
      </c>
      <c r="G1598" s="6" t="s">
        <v>1079</v>
      </c>
      <c r="H1598" s="7"/>
      <c r="I1598" s="7" t="s">
        <v>264</v>
      </c>
      <c r="J1598" s="7" t="s">
        <v>261</v>
      </c>
      <c r="K1598" s="7" t="s">
        <v>29</v>
      </c>
      <c r="L1598" s="3" t="str">
        <f>E1598&amp;D1598</f>
        <v>E.SP.IPAEE_INS_SEG_S_I_BL INT RELÉ S/ BAT_0180</v>
      </c>
      <c r="M1598" s="3" t="str">
        <f>IFERROR(MID(D1598,SEARCH("S_I_",D1598,1),3),"")</f>
        <v>S_I</v>
      </c>
      <c r="N1598" s="3" t="str">
        <f>IFERROR(MID(D1598,SEARCH("C_I_",D1598,1),3),"")</f>
        <v/>
      </c>
      <c r="O1598" s="3" t="str">
        <f>IF(AND(M1598="",N1598=""),"Extra","")</f>
        <v/>
      </c>
      <c r="P1598" s="3" t="str">
        <f>IF(Q1598=0,"TERCEIRO","MRS")</f>
        <v>MRS</v>
      </c>
      <c r="Q1598" s="8" t="str">
        <f>IFERROR(VLOOKUP(L1598,#REF!,4,0),"0,00")</f>
        <v>0,00</v>
      </c>
      <c r="R1598" s="9" t="s">
        <v>30</v>
      </c>
      <c r="S1598" s="9">
        <f>COUNTIF(D1598,"*_SEG_*")</f>
        <v>1</v>
      </c>
      <c r="T1598" s="9">
        <f>COUNTIF(D1598,"*_MAN_*")</f>
        <v>0</v>
      </c>
      <c r="U1598" s="9">
        <f>(RIGHT(D1598,4))*1</f>
        <v>180</v>
      </c>
      <c r="V1598" s="9" t="str">
        <f>IFERROR(VLOOKUP(I1598,#REF!,2,0),"Sinalização")</f>
        <v>Sinalização</v>
      </c>
    </row>
    <row r="1599" spans="1:22" x14ac:dyDescent="0.25">
      <c r="A1599" s="3" t="s">
        <v>22</v>
      </c>
      <c r="B1599" s="4">
        <v>23083468</v>
      </c>
      <c r="C1599" s="5" t="s">
        <v>23</v>
      </c>
      <c r="D1599" s="6" t="s">
        <v>265</v>
      </c>
      <c r="E1599" s="6" t="s">
        <v>25</v>
      </c>
      <c r="F1599" s="11">
        <v>46152</v>
      </c>
      <c r="G1599" s="6" t="s">
        <v>1079</v>
      </c>
      <c r="H1599" s="7"/>
      <c r="I1599" s="7" t="s">
        <v>191</v>
      </c>
      <c r="J1599" s="7" t="s">
        <v>248</v>
      </c>
      <c r="K1599" s="7" t="s">
        <v>29</v>
      </c>
      <c r="L1599" s="3" t="str">
        <f>E1599&amp;D1599</f>
        <v>E.SP.IPAEE_INS_CONF_C_I_MCH 110VCC GRS 55BR_0180</v>
      </c>
      <c r="M1599" s="3" t="str">
        <f>IFERROR(MID(D1599,SEARCH("S_I_",D1599,1),3),"")</f>
        <v/>
      </c>
      <c r="N1599" s="3" t="str">
        <f>IFERROR(MID(D1599,SEARCH("C_I_",D1599,1),3),"")</f>
        <v>C_I</v>
      </c>
      <c r="O1599" s="3" t="str">
        <f>IF(AND(M1599="",N1599=""),"Extra","")</f>
        <v/>
      </c>
      <c r="P1599" s="3" t="str">
        <f>IF(Q1599=0,"TERCEIRO","MRS")</f>
        <v>MRS</v>
      </c>
      <c r="Q1599" s="8" t="str">
        <f>IFERROR(VLOOKUP(L1599,#REF!,4,0),"0,00")</f>
        <v>0,00</v>
      </c>
      <c r="R1599" s="9" t="s">
        <v>30</v>
      </c>
      <c r="S1599" s="9">
        <f>COUNTIF(D1599,"*_SEG_*")</f>
        <v>0</v>
      </c>
      <c r="T1599" s="9">
        <f>COUNTIF(D1599,"*_MAN_*")</f>
        <v>0</v>
      </c>
      <c r="U1599" s="9">
        <f>(RIGHT(D1599,4))*1</f>
        <v>180</v>
      </c>
      <c r="V1599" s="9" t="str">
        <f>IFERROR(VLOOKUP(I1599,#REF!,2,0),"Sinalização")</f>
        <v>Sinalização</v>
      </c>
    </row>
    <row r="1600" spans="1:22" x14ac:dyDescent="0.25">
      <c r="A1600" s="3" t="s">
        <v>22</v>
      </c>
      <c r="B1600" s="4">
        <v>23083469</v>
      </c>
      <c r="C1600" s="5" t="s">
        <v>23</v>
      </c>
      <c r="D1600" s="6" t="s">
        <v>265</v>
      </c>
      <c r="E1600" s="6" t="s">
        <v>25</v>
      </c>
      <c r="F1600" s="11">
        <v>46152</v>
      </c>
      <c r="G1600" s="6" t="s">
        <v>1079</v>
      </c>
      <c r="H1600" s="7"/>
      <c r="I1600" s="7" t="s">
        <v>188</v>
      </c>
      <c r="J1600" s="7" t="s">
        <v>248</v>
      </c>
      <c r="K1600" s="7" t="s">
        <v>29</v>
      </c>
      <c r="L1600" s="3" t="str">
        <f>E1600&amp;D1600</f>
        <v>E.SP.IPAEE_INS_CONF_C_I_MCH 110VCC GRS 55BR_0180</v>
      </c>
      <c r="M1600" s="3" t="str">
        <f>IFERROR(MID(D1600,SEARCH("S_I_",D1600,1),3),"")</f>
        <v/>
      </c>
      <c r="N1600" s="3" t="str">
        <f>IFERROR(MID(D1600,SEARCH("C_I_",D1600,1),3),"")</f>
        <v>C_I</v>
      </c>
      <c r="O1600" s="3" t="str">
        <f>IF(AND(M1600="",N1600=""),"Extra","")</f>
        <v/>
      </c>
      <c r="P1600" s="3" t="str">
        <f>IF(Q1600=0,"TERCEIRO","MRS")</f>
        <v>MRS</v>
      </c>
      <c r="Q1600" s="8" t="str">
        <f>IFERROR(VLOOKUP(L1600,#REF!,4,0),"0,00")</f>
        <v>0,00</v>
      </c>
      <c r="R1600" s="9" t="s">
        <v>30</v>
      </c>
      <c r="S1600" s="9">
        <f>COUNTIF(D1600,"*_SEG_*")</f>
        <v>0</v>
      </c>
      <c r="T1600" s="9">
        <f>COUNTIF(D1600,"*_MAN_*")</f>
        <v>0</v>
      </c>
      <c r="U1600" s="9">
        <f>(RIGHT(D1600,4))*1</f>
        <v>180</v>
      </c>
      <c r="V1600" s="9" t="str">
        <f>IFERROR(VLOOKUP(I1600,#REF!,2,0),"Sinalização")</f>
        <v>Sinalização</v>
      </c>
    </row>
    <row r="1601" spans="1:22" x14ac:dyDescent="0.25">
      <c r="A1601" s="3" t="s">
        <v>22</v>
      </c>
      <c r="B1601" s="4">
        <v>23083470</v>
      </c>
      <c r="C1601" s="5" t="s">
        <v>23</v>
      </c>
      <c r="D1601" s="6" t="s">
        <v>265</v>
      </c>
      <c r="E1601" s="6" t="s">
        <v>25</v>
      </c>
      <c r="F1601" s="11">
        <v>46152</v>
      </c>
      <c r="G1601" s="6" t="s">
        <v>1079</v>
      </c>
      <c r="H1601" s="7"/>
      <c r="I1601" s="7" t="s">
        <v>190</v>
      </c>
      <c r="J1601" s="7" t="s">
        <v>248</v>
      </c>
      <c r="K1601" s="7" t="s">
        <v>29</v>
      </c>
      <c r="L1601" s="3" t="str">
        <f>E1601&amp;D1601</f>
        <v>E.SP.IPAEE_INS_CONF_C_I_MCH 110VCC GRS 55BR_0180</v>
      </c>
      <c r="M1601" s="3" t="str">
        <f>IFERROR(MID(D1601,SEARCH("S_I_",D1601,1),3),"")</f>
        <v/>
      </c>
      <c r="N1601" s="3" t="str">
        <f>IFERROR(MID(D1601,SEARCH("C_I_",D1601,1),3),"")</f>
        <v>C_I</v>
      </c>
      <c r="O1601" s="3" t="str">
        <f>IF(AND(M1601="",N1601=""),"Extra","")</f>
        <v/>
      </c>
      <c r="P1601" s="3" t="str">
        <f>IF(Q1601=0,"TERCEIRO","MRS")</f>
        <v>MRS</v>
      </c>
      <c r="Q1601" s="8" t="str">
        <f>IFERROR(VLOOKUP(L1601,#REF!,4,0),"0,00")</f>
        <v>0,00</v>
      </c>
      <c r="R1601" s="9" t="s">
        <v>30</v>
      </c>
      <c r="S1601" s="9">
        <f>COUNTIF(D1601,"*_SEG_*")</f>
        <v>0</v>
      </c>
      <c r="T1601" s="9">
        <f>COUNTIF(D1601,"*_MAN_*")</f>
        <v>0</v>
      </c>
      <c r="U1601" s="9">
        <f>(RIGHT(D1601,4))*1</f>
        <v>180</v>
      </c>
      <c r="V1601" s="9" t="str">
        <f>IFERROR(VLOOKUP(I1601,#REF!,2,0),"Sinalização")</f>
        <v>Sinalização</v>
      </c>
    </row>
    <row r="1602" spans="1:22" x14ac:dyDescent="0.25">
      <c r="A1602" s="3" t="s">
        <v>22</v>
      </c>
      <c r="B1602" s="4">
        <v>23083590</v>
      </c>
      <c r="C1602" s="5" t="s">
        <v>23</v>
      </c>
      <c r="D1602" s="6" t="s">
        <v>266</v>
      </c>
      <c r="E1602" s="6" t="s">
        <v>25</v>
      </c>
      <c r="F1602" s="11">
        <v>46152</v>
      </c>
      <c r="G1602" s="6" t="s">
        <v>1079</v>
      </c>
      <c r="H1602" s="7"/>
      <c r="I1602" s="7" t="s">
        <v>150</v>
      </c>
      <c r="J1602" s="7" t="s">
        <v>267</v>
      </c>
      <c r="K1602" s="7" t="s">
        <v>29</v>
      </c>
      <c r="L1602" s="3" t="str">
        <f>E1602&amp;D1602</f>
        <v>E.SP.IPAT_EE_MAN_CONF_C_I_CUBÍC FILTRO HARM_0180</v>
      </c>
      <c r="M1602" s="3" t="str">
        <f>IFERROR(MID(D1602,SEARCH("S_I_",D1602,1),3),"")</f>
        <v/>
      </c>
      <c r="N1602" s="3" t="str">
        <f>IFERROR(MID(D1602,SEARCH("C_I_",D1602,1),3),"")</f>
        <v>C_I</v>
      </c>
      <c r="O1602" s="3" t="str">
        <f>IF(AND(M1602="",N1602=""),"Extra","")</f>
        <v/>
      </c>
      <c r="P1602" s="3" t="str">
        <f>IF(Q1602=0,"TERCEIRO","MRS")</f>
        <v>MRS</v>
      </c>
      <c r="Q1602" s="8" t="str">
        <f>IFERROR(VLOOKUP(L1602,#REF!,4,0),"0,00")</f>
        <v>0,00</v>
      </c>
      <c r="R1602" s="9" t="s">
        <v>57</v>
      </c>
      <c r="S1602" s="9">
        <f>COUNTIF(D1602,"*_SEG_*")</f>
        <v>0</v>
      </c>
      <c r="T1602" s="9">
        <f>COUNTIF(D1602,"*_MAN_*")</f>
        <v>1</v>
      </c>
      <c r="U1602" s="9">
        <f>(RIGHT(D1602,4))*1</f>
        <v>180</v>
      </c>
      <c r="V1602" s="9" t="str">
        <f>IFERROR(VLOOKUP(I1602,#REF!,2,0),"Sinalização")</f>
        <v>Sinalização</v>
      </c>
    </row>
    <row r="1603" spans="1:22" x14ac:dyDescent="0.25">
      <c r="A1603" s="3" t="s">
        <v>22</v>
      </c>
      <c r="B1603" s="4">
        <v>23083878</v>
      </c>
      <c r="C1603" s="5" t="s">
        <v>23</v>
      </c>
      <c r="D1603" s="6" t="s">
        <v>236</v>
      </c>
      <c r="E1603" s="6" t="s">
        <v>25</v>
      </c>
      <c r="F1603" s="11">
        <v>46152</v>
      </c>
      <c r="G1603" s="6" t="s">
        <v>1079</v>
      </c>
      <c r="H1603" s="7"/>
      <c r="I1603" s="7" t="s">
        <v>268</v>
      </c>
      <c r="J1603" s="7" t="s">
        <v>237</v>
      </c>
      <c r="K1603" s="7" t="s">
        <v>29</v>
      </c>
      <c r="L1603" s="3" t="str">
        <f>E1603&amp;D1603</f>
        <v>E.SP.IPAEE_INS_CONF_S_I_SINAL L UNIFO CONT_0180</v>
      </c>
      <c r="M1603" s="3" t="str">
        <f>IFERROR(MID(D1603,SEARCH("S_I_",D1603,1),3),"")</f>
        <v>S_I</v>
      </c>
      <c r="N1603" s="3" t="str">
        <f>IFERROR(MID(D1603,SEARCH("C_I_",D1603,1),3),"")</f>
        <v/>
      </c>
      <c r="O1603" s="3" t="str">
        <f>IF(AND(M1603="",N1603=""),"Extra","")</f>
        <v/>
      </c>
      <c r="P1603" s="3" t="str">
        <f>IF(Q1603=0,"TERCEIRO","MRS")</f>
        <v>MRS</v>
      </c>
      <c r="Q1603" s="8" t="str">
        <f>IFERROR(VLOOKUP(L1603,#REF!,4,0),"0,00")</f>
        <v>0,00</v>
      </c>
      <c r="R1603" s="9" t="s">
        <v>98</v>
      </c>
      <c r="S1603" s="9">
        <f>COUNTIF(D1603,"*_SEG_*")</f>
        <v>0</v>
      </c>
      <c r="T1603" s="9">
        <f>COUNTIF(D1603,"*_MAN_*")</f>
        <v>0</v>
      </c>
      <c r="U1603" s="9">
        <f>(RIGHT(D1603,4))*1</f>
        <v>180</v>
      </c>
      <c r="V1603" s="9" t="str">
        <f>IFERROR(VLOOKUP(I1603,#REF!,2,0),"Sinalização")</f>
        <v>Sinalização</v>
      </c>
    </row>
    <row r="1604" spans="1:22" x14ac:dyDescent="0.25">
      <c r="A1604" s="3" t="s">
        <v>22</v>
      </c>
      <c r="B1604" s="4">
        <v>23083885</v>
      </c>
      <c r="C1604" s="5" t="s">
        <v>23</v>
      </c>
      <c r="D1604" s="6" t="s">
        <v>236</v>
      </c>
      <c r="E1604" s="6" t="s">
        <v>25</v>
      </c>
      <c r="F1604" s="11">
        <v>46152</v>
      </c>
      <c r="G1604" s="6" t="s">
        <v>1079</v>
      </c>
      <c r="H1604" s="7"/>
      <c r="I1604" s="7" t="s">
        <v>224</v>
      </c>
      <c r="J1604" s="7" t="s">
        <v>237</v>
      </c>
      <c r="K1604" s="7" t="s">
        <v>29</v>
      </c>
      <c r="L1604" s="3" t="str">
        <f>E1604&amp;D1604</f>
        <v>E.SP.IPAEE_INS_CONF_S_I_SINAL L UNIFO CONT_0180</v>
      </c>
      <c r="M1604" s="3" t="str">
        <f>IFERROR(MID(D1604,SEARCH("S_I_",D1604,1),3),"")</f>
        <v>S_I</v>
      </c>
      <c r="N1604" s="3" t="str">
        <f>IFERROR(MID(D1604,SEARCH("C_I_",D1604,1),3),"")</f>
        <v/>
      </c>
      <c r="O1604" s="3" t="str">
        <f>IF(AND(M1604="",N1604=""),"Extra","")</f>
        <v/>
      </c>
      <c r="P1604" s="3" t="str">
        <f>IF(Q1604=0,"TERCEIRO","MRS")</f>
        <v>MRS</v>
      </c>
      <c r="Q1604" s="8" t="str">
        <f>IFERROR(VLOOKUP(L1604,#REF!,4,0),"0,00")</f>
        <v>0,00</v>
      </c>
      <c r="R1604" s="9" t="s">
        <v>98</v>
      </c>
      <c r="S1604" s="9">
        <f>COUNTIF(D1604,"*_SEG_*")</f>
        <v>0</v>
      </c>
      <c r="T1604" s="9">
        <f>COUNTIF(D1604,"*_MAN_*")</f>
        <v>0</v>
      </c>
      <c r="U1604" s="9">
        <f>(RIGHT(D1604,4))*1</f>
        <v>180</v>
      </c>
      <c r="V1604" s="9" t="str">
        <f>IFERROR(VLOOKUP(I1604,#REF!,2,0),"Sinalização")</f>
        <v>Sinalização</v>
      </c>
    </row>
    <row r="1605" spans="1:22" x14ac:dyDescent="0.25">
      <c r="A1605" s="3" t="s">
        <v>22</v>
      </c>
      <c r="B1605" s="4">
        <v>23083895</v>
      </c>
      <c r="C1605" s="5" t="s">
        <v>23</v>
      </c>
      <c r="D1605" s="6" t="s">
        <v>269</v>
      </c>
      <c r="E1605" s="6" t="s">
        <v>25</v>
      </c>
      <c r="F1605" s="11">
        <v>46152</v>
      </c>
      <c r="G1605" s="6" t="s">
        <v>1079</v>
      </c>
      <c r="H1605" s="7"/>
      <c r="I1605" s="7" t="s">
        <v>253</v>
      </c>
      <c r="J1605" s="7" t="s">
        <v>257</v>
      </c>
      <c r="K1605" s="7" t="s">
        <v>29</v>
      </c>
      <c r="L1605" s="3" t="str">
        <f>E1605&amp;D1605</f>
        <v>E.SP.IPAEE_INS_CONF_S_I_MCH 110VCC GRS 5C R_0180</v>
      </c>
      <c r="M1605" s="3" t="str">
        <f>IFERROR(MID(D1605,SEARCH("S_I_",D1605,1),3),"")</f>
        <v>S_I</v>
      </c>
      <c r="N1605" s="3" t="str">
        <f>IFERROR(MID(D1605,SEARCH("C_I_",D1605,1),3),"")</f>
        <v/>
      </c>
      <c r="O1605" s="3" t="str">
        <f>IF(AND(M1605="",N1605=""),"Extra","")</f>
        <v/>
      </c>
      <c r="P1605" s="3" t="str">
        <f>IF(Q1605=0,"TERCEIRO","MRS")</f>
        <v>MRS</v>
      </c>
      <c r="Q1605" s="8" t="str">
        <f>IFERROR(VLOOKUP(L1605,#REF!,4,0),"0,00")</f>
        <v>0,00</v>
      </c>
      <c r="R1605" s="9" t="s">
        <v>42</v>
      </c>
      <c r="S1605" s="9">
        <f>COUNTIF(D1605,"*_SEG_*")</f>
        <v>0</v>
      </c>
      <c r="T1605" s="9">
        <f>COUNTIF(D1605,"*_MAN_*")</f>
        <v>0</v>
      </c>
      <c r="U1605" s="9">
        <f>(RIGHT(D1605,4))*1</f>
        <v>180</v>
      </c>
      <c r="V1605" s="9" t="str">
        <f>IFERROR(VLOOKUP(I1605,#REF!,2,0),"Sinalização")</f>
        <v>Sinalização</v>
      </c>
    </row>
    <row r="1606" spans="1:22" x14ac:dyDescent="0.25">
      <c r="A1606" s="3" t="s">
        <v>22</v>
      </c>
      <c r="B1606" s="4">
        <v>23083960</v>
      </c>
      <c r="C1606" s="5" t="s">
        <v>23</v>
      </c>
      <c r="D1606" s="6" t="s">
        <v>270</v>
      </c>
      <c r="E1606" s="6" t="s">
        <v>25</v>
      </c>
      <c r="F1606" s="11">
        <v>46152</v>
      </c>
      <c r="G1606" s="6" t="s">
        <v>1079</v>
      </c>
      <c r="H1606" s="7"/>
      <c r="I1606" s="7" t="s">
        <v>271</v>
      </c>
      <c r="J1606" s="7" t="s">
        <v>257</v>
      </c>
      <c r="K1606" s="7" t="s">
        <v>29</v>
      </c>
      <c r="L1606" s="3" t="str">
        <f>E1606&amp;D1606</f>
        <v>E.SP.IPAEE_INS_CONF_S_I_MAQ CHAVE MOLA_0180</v>
      </c>
      <c r="M1606" s="3" t="str">
        <f>IFERROR(MID(D1606,SEARCH("S_I_",D1606,1),3),"")</f>
        <v>S_I</v>
      </c>
      <c r="N1606" s="3" t="str">
        <f>IFERROR(MID(D1606,SEARCH("C_I_",D1606,1),3),"")</f>
        <v/>
      </c>
      <c r="O1606" s="3" t="str">
        <f>IF(AND(M1606="",N1606=""),"Extra","")</f>
        <v/>
      </c>
      <c r="P1606" s="3" t="str">
        <f>IF(Q1606=0,"TERCEIRO","MRS")</f>
        <v>MRS</v>
      </c>
      <c r="Q1606" s="8" t="str">
        <f>IFERROR(VLOOKUP(L1606,#REF!,4,0),"0,00")</f>
        <v>0,00</v>
      </c>
      <c r="R1606" s="9" t="s">
        <v>42</v>
      </c>
      <c r="S1606" s="9">
        <f>COUNTIF(D1606,"*_SEG_*")</f>
        <v>0</v>
      </c>
      <c r="T1606" s="9">
        <f>COUNTIF(D1606,"*_MAN_*")</f>
        <v>0</v>
      </c>
      <c r="U1606" s="9">
        <f>(RIGHT(D1606,4))*1</f>
        <v>180</v>
      </c>
      <c r="V1606" s="9" t="str">
        <f>IFERROR(VLOOKUP(I1606,#REF!,2,0),"Sinalização")</f>
        <v>Sinalização</v>
      </c>
    </row>
    <row r="1607" spans="1:22" x14ac:dyDescent="0.25">
      <c r="A1607" s="3" t="s">
        <v>22</v>
      </c>
      <c r="B1607" s="4">
        <v>23083967</v>
      </c>
      <c r="C1607" s="5" t="s">
        <v>23</v>
      </c>
      <c r="D1607" s="6" t="s">
        <v>270</v>
      </c>
      <c r="E1607" s="6" t="s">
        <v>25</v>
      </c>
      <c r="F1607" s="11">
        <v>46152</v>
      </c>
      <c r="G1607" s="6" t="s">
        <v>1079</v>
      </c>
      <c r="H1607" s="7"/>
      <c r="I1607" s="7" t="s">
        <v>272</v>
      </c>
      <c r="J1607" s="7" t="s">
        <v>257</v>
      </c>
      <c r="K1607" s="7" t="s">
        <v>29</v>
      </c>
      <c r="L1607" s="3" t="str">
        <f>E1607&amp;D1607</f>
        <v>E.SP.IPAEE_INS_CONF_S_I_MAQ CHAVE MOLA_0180</v>
      </c>
      <c r="M1607" s="3" t="str">
        <f>IFERROR(MID(D1607,SEARCH("S_I_",D1607,1),3),"")</f>
        <v>S_I</v>
      </c>
      <c r="N1607" s="3" t="str">
        <f>IFERROR(MID(D1607,SEARCH("C_I_",D1607,1),3),"")</f>
        <v/>
      </c>
      <c r="O1607" s="3" t="str">
        <f>IF(AND(M1607="",N1607=""),"Extra","")</f>
        <v/>
      </c>
      <c r="P1607" s="3" t="str">
        <f>IF(Q1607=0,"TERCEIRO","MRS")</f>
        <v>MRS</v>
      </c>
      <c r="Q1607" s="8" t="str">
        <f>IFERROR(VLOOKUP(L1607,#REF!,4,0),"0,00")</f>
        <v>0,00</v>
      </c>
      <c r="R1607" s="9" t="s">
        <v>42</v>
      </c>
      <c r="S1607" s="9">
        <f>COUNTIF(D1607,"*_SEG_*")</f>
        <v>0</v>
      </c>
      <c r="T1607" s="9">
        <f>COUNTIF(D1607,"*_MAN_*")</f>
        <v>0</v>
      </c>
      <c r="U1607" s="9">
        <f>(RIGHT(D1607,4))*1</f>
        <v>180</v>
      </c>
      <c r="V1607" s="9" t="str">
        <f>IFERROR(VLOOKUP(I1607,#REF!,2,0),"Sinalização")</f>
        <v>Sinalização</v>
      </c>
    </row>
    <row r="1608" spans="1:22" x14ac:dyDescent="0.25">
      <c r="A1608" s="3" t="s">
        <v>22</v>
      </c>
      <c r="B1608" s="4">
        <v>23083975</v>
      </c>
      <c r="C1608" s="5" t="s">
        <v>23</v>
      </c>
      <c r="D1608" s="6" t="s">
        <v>270</v>
      </c>
      <c r="E1608" s="6" t="s">
        <v>25</v>
      </c>
      <c r="F1608" s="11">
        <v>46152</v>
      </c>
      <c r="G1608" s="6" t="s">
        <v>1079</v>
      </c>
      <c r="H1608" s="7"/>
      <c r="I1608" s="7" t="s">
        <v>273</v>
      </c>
      <c r="J1608" s="7" t="s">
        <v>257</v>
      </c>
      <c r="K1608" s="7" t="s">
        <v>29</v>
      </c>
      <c r="L1608" s="3" t="str">
        <f>E1608&amp;D1608</f>
        <v>E.SP.IPAEE_INS_CONF_S_I_MAQ CHAVE MOLA_0180</v>
      </c>
      <c r="M1608" s="3" t="str">
        <f>IFERROR(MID(D1608,SEARCH("S_I_",D1608,1),3),"")</f>
        <v>S_I</v>
      </c>
      <c r="N1608" s="3" t="str">
        <f>IFERROR(MID(D1608,SEARCH("C_I_",D1608,1),3),"")</f>
        <v/>
      </c>
      <c r="O1608" s="3" t="str">
        <f>IF(AND(M1608="",N1608=""),"Extra","")</f>
        <v/>
      </c>
      <c r="P1608" s="3" t="str">
        <f>IF(Q1608=0,"TERCEIRO","MRS")</f>
        <v>MRS</v>
      </c>
      <c r="Q1608" s="8" t="str">
        <f>IFERROR(VLOOKUP(L1608,#REF!,4,0),"0,00")</f>
        <v>0,00</v>
      </c>
      <c r="R1608" s="9" t="s">
        <v>42</v>
      </c>
      <c r="S1608" s="9">
        <f>COUNTIF(D1608,"*_SEG_*")</f>
        <v>0</v>
      </c>
      <c r="T1608" s="9">
        <f>COUNTIF(D1608,"*_MAN_*")</f>
        <v>0</v>
      </c>
      <c r="U1608" s="9">
        <f>(RIGHT(D1608,4))*1</f>
        <v>180</v>
      </c>
      <c r="V1608" s="9" t="str">
        <f>IFERROR(VLOOKUP(I1608,#REF!,2,0),"Sinalização")</f>
        <v>Sinalização</v>
      </c>
    </row>
    <row r="1609" spans="1:22" x14ac:dyDescent="0.25">
      <c r="A1609" s="3" t="s">
        <v>22</v>
      </c>
      <c r="B1609" s="4">
        <v>23084107</v>
      </c>
      <c r="C1609" s="5" t="s">
        <v>23</v>
      </c>
      <c r="D1609" s="6" t="s">
        <v>274</v>
      </c>
      <c r="E1609" s="6" t="s">
        <v>25</v>
      </c>
      <c r="F1609" s="11">
        <v>46152</v>
      </c>
      <c r="G1609" s="6" t="s">
        <v>1079</v>
      </c>
      <c r="H1609" s="7"/>
      <c r="I1609" s="7" t="s">
        <v>231</v>
      </c>
      <c r="J1609" s="7" t="s">
        <v>275</v>
      </c>
      <c r="K1609" s="7" t="s">
        <v>29</v>
      </c>
      <c r="L1609" s="3" t="str">
        <f>E1609&amp;D1609</f>
        <v>E.SP.IPAEE_INS_SEG_C_I_SINAL L UNIFO CONT_0180</v>
      </c>
      <c r="M1609" s="3" t="str">
        <f>IFERROR(MID(D1609,SEARCH("S_I_",D1609,1),3),"")</f>
        <v/>
      </c>
      <c r="N1609" s="3" t="str">
        <f>IFERROR(MID(D1609,SEARCH("C_I_",D1609,1),3),"")</f>
        <v>C_I</v>
      </c>
      <c r="O1609" s="3" t="str">
        <f>IF(AND(M1609="",N1609=""),"Extra","")</f>
        <v/>
      </c>
      <c r="P1609" s="3" t="str">
        <f>IF(Q1609=0,"TERCEIRO","MRS")</f>
        <v>MRS</v>
      </c>
      <c r="Q1609" s="8" t="str">
        <f>IFERROR(VLOOKUP(L1609,#REF!,4,0),"0,00")</f>
        <v>0,00</v>
      </c>
      <c r="R1609" s="9" t="s">
        <v>30</v>
      </c>
      <c r="S1609" s="9">
        <f>COUNTIF(D1609,"*_SEG_*")</f>
        <v>1</v>
      </c>
      <c r="T1609" s="9">
        <f>COUNTIF(D1609,"*_MAN_*")</f>
        <v>0</v>
      </c>
      <c r="U1609" s="9">
        <f>(RIGHT(D1609,4))*1</f>
        <v>180</v>
      </c>
      <c r="V1609" s="9" t="str">
        <f>IFERROR(VLOOKUP(I1609,#REF!,2,0),"Sinalização")</f>
        <v>Sinalização</v>
      </c>
    </row>
    <row r="1610" spans="1:22" x14ac:dyDescent="0.25">
      <c r="A1610" s="3" t="s">
        <v>22</v>
      </c>
      <c r="B1610" s="4">
        <v>23084112</v>
      </c>
      <c r="C1610" s="5" t="s">
        <v>23</v>
      </c>
      <c r="D1610" s="6" t="s">
        <v>274</v>
      </c>
      <c r="E1610" s="6" t="s">
        <v>25</v>
      </c>
      <c r="F1610" s="11">
        <v>46152</v>
      </c>
      <c r="G1610" s="6" t="s">
        <v>1079</v>
      </c>
      <c r="H1610" s="7"/>
      <c r="I1610" s="7" t="s">
        <v>232</v>
      </c>
      <c r="J1610" s="7" t="s">
        <v>275</v>
      </c>
      <c r="K1610" s="7" t="s">
        <v>29</v>
      </c>
      <c r="L1610" s="3" t="str">
        <f>E1610&amp;D1610</f>
        <v>E.SP.IPAEE_INS_SEG_C_I_SINAL L UNIFO CONT_0180</v>
      </c>
      <c r="M1610" s="3" t="str">
        <f>IFERROR(MID(D1610,SEARCH("S_I_",D1610,1),3),"")</f>
        <v/>
      </c>
      <c r="N1610" s="3" t="str">
        <f>IFERROR(MID(D1610,SEARCH("C_I_",D1610,1),3),"")</f>
        <v>C_I</v>
      </c>
      <c r="O1610" s="3" t="str">
        <f>IF(AND(M1610="",N1610=""),"Extra","")</f>
        <v/>
      </c>
      <c r="P1610" s="3" t="str">
        <f>IF(Q1610=0,"TERCEIRO","MRS")</f>
        <v>MRS</v>
      </c>
      <c r="Q1610" s="8" t="str">
        <f>IFERROR(VLOOKUP(L1610,#REF!,4,0),"0,00")</f>
        <v>0,00</v>
      </c>
      <c r="R1610" s="9" t="s">
        <v>30</v>
      </c>
      <c r="S1610" s="9">
        <f>COUNTIF(D1610,"*_SEG_*")</f>
        <v>1</v>
      </c>
      <c r="T1610" s="9">
        <f>COUNTIF(D1610,"*_MAN_*")</f>
        <v>0</v>
      </c>
      <c r="U1610" s="9">
        <f>(RIGHT(D1610,4))*1</f>
        <v>180</v>
      </c>
      <c r="V1610" s="9" t="str">
        <f>IFERROR(VLOOKUP(I1610,#REF!,2,0),"Sinalização")</f>
        <v>Sinalização</v>
      </c>
    </row>
    <row r="1611" spans="1:22" x14ac:dyDescent="0.25">
      <c r="A1611" s="3" t="s">
        <v>22</v>
      </c>
      <c r="B1611" s="4">
        <v>23084124</v>
      </c>
      <c r="C1611" s="5" t="s">
        <v>23</v>
      </c>
      <c r="D1611" s="6" t="s">
        <v>274</v>
      </c>
      <c r="E1611" s="6" t="s">
        <v>25</v>
      </c>
      <c r="F1611" s="11">
        <v>46152</v>
      </c>
      <c r="G1611" s="6" t="s">
        <v>1079</v>
      </c>
      <c r="H1611" s="7"/>
      <c r="I1611" s="7" t="s">
        <v>268</v>
      </c>
      <c r="J1611" s="7" t="s">
        <v>275</v>
      </c>
      <c r="K1611" s="7" t="s">
        <v>29</v>
      </c>
      <c r="L1611" s="3" t="str">
        <f>E1611&amp;D1611</f>
        <v>E.SP.IPAEE_INS_SEG_C_I_SINAL L UNIFO CONT_0180</v>
      </c>
      <c r="M1611" s="3" t="str">
        <f>IFERROR(MID(D1611,SEARCH("S_I_",D1611,1),3),"")</f>
        <v/>
      </c>
      <c r="N1611" s="3" t="str">
        <f>IFERROR(MID(D1611,SEARCH("C_I_",D1611,1),3),"")</f>
        <v>C_I</v>
      </c>
      <c r="O1611" s="3" t="str">
        <f>IF(AND(M1611="",N1611=""),"Extra","")</f>
        <v/>
      </c>
      <c r="P1611" s="3" t="str">
        <f>IF(Q1611=0,"TERCEIRO","MRS")</f>
        <v>MRS</v>
      </c>
      <c r="Q1611" s="8" t="str">
        <f>IFERROR(VLOOKUP(L1611,#REF!,4,0),"0,00")</f>
        <v>0,00</v>
      </c>
      <c r="R1611" s="9" t="s">
        <v>30</v>
      </c>
      <c r="S1611" s="9">
        <f>COUNTIF(D1611,"*_SEG_*")</f>
        <v>1</v>
      </c>
      <c r="T1611" s="9">
        <f>COUNTIF(D1611,"*_MAN_*")</f>
        <v>0</v>
      </c>
      <c r="U1611" s="9">
        <f>(RIGHT(D1611,4))*1</f>
        <v>180</v>
      </c>
      <c r="V1611" s="9" t="str">
        <f>IFERROR(VLOOKUP(I1611,#REF!,2,0),"Sinalização")</f>
        <v>Sinalização</v>
      </c>
    </row>
    <row r="1612" spans="1:22" x14ac:dyDescent="0.25">
      <c r="A1612" s="3" t="s">
        <v>22</v>
      </c>
      <c r="B1612" s="4">
        <v>23084125</v>
      </c>
      <c r="C1612" s="5" t="s">
        <v>23</v>
      </c>
      <c r="D1612" s="6" t="s">
        <v>274</v>
      </c>
      <c r="E1612" s="6" t="s">
        <v>25</v>
      </c>
      <c r="F1612" s="11">
        <v>46152</v>
      </c>
      <c r="G1612" s="6" t="s">
        <v>1079</v>
      </c>
      <c r="H1612" s="7"/>
      <c r="I1612" s="7" t="s">
        <v>224</v>
      </c>
      <c r="J1612" s="7" t="s">
        <v>275</v>
      </c>
      <c r="K1612" s="7" t="s">
        <v>29</v>
      </c>
      <c r="L1612" s="3" t="str">
        <f>E1612&amp;D1612</f>
        <v>E.SP.IPAEE_INS_SEG_C_I_SINAL L UNIFO CONT_0180</v>
      </c>
      <c r="M1612" s="3" t="str">
        <f>IFERROR(MID(D1612,SEARCH("S_I_",D1612,1),3),"")</f>
        <v/>
      </c>
      <c r="N1612" s="3" t="str">
        <f>IFERROR(MID(D1612,SEARCH("C_I_",D1612,1),3),"")</f>
        <v>C_I</v>
      </c>
      <c r="O1612" s="3" t="str">
        <f>IF(AND(M1612="",N1612=""),"Extra","")</f>
        <v/>
      </c>
      <c r="P1612" s="3" t="str">
        <f>IF(Q1612=0,"TERCEIRO","MRS")</f>
        <v>MRS</v>
      </c>
      <c r="Q1612" s="8" t="str">
        <f>IFERROR(VLOOKUP(L1612,#REF!,4,0),"0,00")</f>
        <v>0,00</v>
      </c>
      <c r="R1612" s="9" t="s">
        <v>30</v>
      </c>
      <c r="S1612" s="9">
        <f>COUNTIF(D1612,"*_SEG_*")</f>
        <v>1</v>
      </c>
      <c r="T1612" s="9">
        <f>COUNTIF(D1612,"*_MAN_*")</f>
        <v>0</v>
      </c>
      <c r="U1612" s="9">
        <f>(RIGHT(D1612,4))*1</f>
        <v>180</v>
      </c>
      <c r="V1612" s="9" t="str">
        <f>IFERROR(VLOOKUP(I1612,#REF!,2,0),"Sinalização")</f>
        <v>Sinalização</v>
      </c>
    </row>
    <row r="1613" spans="1:22" x14ac:dyDescent="0.25">
      <c r="A1613" s="3" t="s">
        <v>22</v>
      </c>
      <c r="B1613" s="4">
        <v>23084138</v>
      </c>
      <c r="C1613" s="5" t="s">
        <v>23</v>
      </c>
      <c r="D1613" s="6" t="s">
        <v>236</v>
      </c>
      <c r="E1613" s="6" t="s">
        <v>25</v>
      </c>
      <c r="F1613" s="11">
        <v>46152</v>
      </c>
      <c r="G1613" s="6" t="s">
        <v>1079</v>
      </c>
      <c r="H1613" s="7"/>
      <c r="I1613" s="7" t="s">
        <v>70</v>
      </c>
      <c r="J1613" s="7" t="s">
        <v>237</v>
      </c>
      <c r="K1613" s="7" t="s">
        <v>29</v>
      </c>
      <c r="L1613" s="3" t="str">
        <f>E1613&amp;D1613</f>
        <v>E.SP.IPAEE_INS_CONF_S_I_SINAL L UNIFO CONT_0180</v>
      </c>
      <c r="M1613" s="3" t="str">
        <f>IFERROR(MID(D1613,SEARCH("S_I_",D1613,1),3),"")</f>
        <v>S_I</v>
      </c>
      <c r="N1613" s="3" t="str">
        <f>IFERROR(MID(D1613,SEARCH("C_I_",D1613,1),3),"")</f>
        <v/>
      </c>
      <c r="O1613" s="3" t="str">
        <f>IF(AND(M1613="",N1613=""),"Extra","")</f>
        <v/>
      </c>
      <c r="P1613" s="3" t="str">
        <f>IF(Q1613=0,"TERCEIRO","MRS")</f>
        <v>MRS</v>
      </c>
      <c r="Q1613" s="8" t="str">
        <f>IFERROR(VLOOKUP(L1613,#REF!,4,0),"0,00")</f>
        <v>0,00</v>
      </c>
      <c r="R1613" s="9" t="s">
        <v>98</v>
      </c>
      <c r="S1613" s="9">
        <f>COUNTIF(D1613,"*_SEG_*")</f>
        <v>0</v>
      </c>
      <c r="T1613" s="9">
        <f>COUNTIF(D1613,"*_MAN_*")</f>
        <v>0</v>
      </c>
      <c r="U1613" s="9">
        <f>(RIGHT(D1613,4))*1</f>
        <v>180</v>
      </c>
      <c r="V1613" s="9" t="str">
        <f>IFERROR(VLOOKUP(I1613,#REF!,2,0),"Sinalização")</f>
        <v>Sinalização</v>
      </c>
    </row>
    <row r="1614" spans="1:22" x14ac:dyDescent="0.25">
      <c r="A1614" s="3" t="s">
        <v>22</v>
      </c>
      <c r="B1614" s="4">
        <v>23084139</v>
      </c>
      <c r="C1614" s="5" t="s">
        <v>23</v>
      </c>
      <c r="D1614" s="6" t="s">
        <v>236</v>
      </c>
      <c r="E1614" s="6" t="s">
        <v>25</v>
      </c>
      <c r="F1614" s="11">
        <v>46152</v>
      </c>
      <c r="G1614" s="6" t="s">
        <v>1079</v>
      </c>
      <c r="H1614" s="7"/>
      <c r="I1614" s="7" t="s">
        <v>229</v>
      </c>
      <c r="J1614" s="7" t="s">
        <v>237</v>
      </c>
      <c r="K1614" s="7" t="s">
        <v>29</v>
      </c>
      <c r="L1614" s="3" t="str">
        <f>E1614&amp;D1614</f>
        <v>E.SP.IPAEE_INS_CONF_S_I_SINAL L UNIFO CONT_0180</v>
      </c>
      <c r="M1614" s="3" t="str">
        <f>IFERROR(MID(D1614,SEARCH("S_I_",D1614,1),3),"")</f>
        <v>S_I</v>
      </c>
      <c r="N1614" s="3" t="str">
        <f>IFERROR(MID(D1614,SEARCH("C_I_",D1614,1),3),"")</f>
        <v/>
      </c>
      <c r="O1614" s="3" t="str">
        <f>IF(AND(M1614="",N1614=""),"Extra","")</f>
        <v/>
      </c>
      <c r="P1614" s="3" t="str">
        <f>IF(Q1614=0,"TERCEIRO","MRS")</f>
        <v>MRS</v>
      </c>
      <c r="Q1614" s="8" t="str">
        <f>IFERROR(VLOOKUP(L1614,#REF!,4,0),"0,00")</f>
        <v>0,00</v>
      </c>
      <c r="R1614" s="9" t="s">
        <v>98</v>
      </c>
      <c r="S1614" s="9">
        <f>COUNTIF(D1614,"*_SEG_*")</f>
        <v>0</v>
      </c>
      <c r="T1614" s="9">
        <f>COUNTIF(D1614,"*_MAN_*")</f>
        <v>0</v>
      </c>
      <c r="U1614" s="9">
        <f>(RIGHT(D1614,4))*1</f>
        <v>180</v>
      </c>
      <c r="V1614" s="9" t="str">
        <f>IFERROR(VLOOKUP(I1614,#REF!,2,0),"Sinalização")</f>
        <v>Sinalização</v>
      </c>
    </row>
    <row r="1615" spans="1:22" x14ac:dyDescent="0.25">
      <c r="A1615" s="3" t="s">
        <v>22</v>
      </c>
      <c r="B1615" s="4">
        <v>23084145</v>
      </c>
      <c r="C1615" s="5" t="s">
        <v>23</v>
      </c>
      <c r="D1615" s="6" t="s">
        <v>274</v>
      </c>
      <c r="E1615" s="6" t="s">
        <v>25</v>
      </c>
      <c r="F1615" s="11">
        <v>46152</v>
      </c>
      <c r="G1615" s="6" t="s">
        <v>1079</v>
      </c>
      <c r="H1615" s="7"/>
      <c r="I1615" s="7" t="s">
        <v>225</v>
      </c>
      <c r="J1615" s="7" t="s">
        <v>275</v>
      </c>
      <c r="K1615" s="7" t="s">
        <v>29</v>
      </c>
      <c r="L1615" s="3" t="str">
        <f>E1615&amp;D1615</f>
        <v>E.SP.IPAEE_INS_SEG_C_I_SINAL L UNIFO CONT_0180</v>
      </c>
      <c r="M1615" s="3" t="str">
        <f>IFERROR(MID(D1615,SEARCH("S_I_",D1615,1),3),"")</f>
        <v/>
      </c>
      <c r="N1615" s="3" t="str">
        <f>IFERROR(MID(D1615,SEARCH("C_I_",D1615,1),3),"")</f>
        <v>C_I</v>
      </c>
      <c r="O1615" s="3" t="str">
        <f>IF(AND(M1615="",N1615=""),"Extra","")</f>
        <v/>
      </c>
      <c r="P1615" s="3" t="str">
        <f>IF(Q1615=0,"TERCEIRO","MRS")</f>
        <v>MRS</v>
      </c>
      <c r="Q1615" s="8" t="str">
        <f>IFERROR(VLOOKUP(L1615,#REF!,4,0),"0,00")</f>
        <v>0,00</v>
      </c>
      <c r="R1615" s="9" t="s">
        <v>30</v>
      </c>
      <c r="S1615" s="9">
        <f>COUNTIF(D1615,"*_SEG_*")</f>
        <v>1</v>
      </c>
      <c r="T1615" s="9">
        <f>COUNTIF(D1615,"*_MAN_*")</f>
        <v>0</v>
      </c>
      <c r="U1615" s="9">
        <f>(RIGHT(D1615,4))*1</f>
        <v>180</v>
      </c>
      <c r="V1615" s="9" t="str">
        <f>IFERROR(VLOOKUP(I1615,#REF!,2,0),"Sinalização")</f>
        <v>Sinalização</v>
      </c>
    </row>
    <row r="1616" spans="1:22" x14ac:dyDescent="0.25">
      <c r="A1616" s="3" t="s">
        <v>22</v>
      </c>
      <c r="B1616" s="4">
        <v>23084219</v>
      </c>
      <c r="C1616" s="5" t="s">
        <v>23</v>
      </c>
      <c r="D1616" s="6" t="s">
        <v>276</v>
      </c>
      <c r="E1616" s="6" t="s">
        <v>25</v>
      </c>
      <c r="F1616" s="11">
        <v>46152</v>
      </c>
      <c r="G1616" s="6" t="s">
        <v>1079</v>
      </c>
      <c r="H1616" s="7"/>
      <c r="I1616" s="7" t="s">
        <v>277</v>
      </c>
      <c r="J1616" s="7" t="s">
        <v>278</v>
      </c>
      <c r="K1616" s="7" t="s">
        <v>29</v>
      </c>
      <c r="L1616" s="3" t="str">
        <f>E1616&amp;D1616</f>
        <v>E.SP.IPAT_EE_INS_CONF_S_I_LFÍS DIST ENE_0180</v>
      </c>
      <c r="M1616" s="3" t="str">
        <f>IFERROR(MID(D1616,SEARCH("S_I_",D1616,1),3),"")</f>
        <v>S_I</v>
      </c>
      <c r="N1616" s="3" t="str">
        <f>IFERROR(MID(D1616,SEARCH("C_I_",D1616,1),3),"")</f>
        <v/>
      </c>
      <c r="O1616" s="3" t="str">
        <f>IF(AND(M1616="",N1616=""),"Extra","")</f>
        <v/>
      </c>
      <c r="P1616" s="3" t="str">
        <f>IF(Q1616=0,"TERCEIRO","MRS")</f>
        <v>MRS</v>
      </c>
      <c r="Q1616" s="8" t="str">
        <f>IFERROR(VLOOKUP(L1616,#REF!,4,0),"0,00")</f>
        <v>0,00</v>
      </c>
      <c r="R1616" s="9" t="s">
        <v>42</v>
      </c>
      <c r="S1616" s="9">
        <f>COUNTIF(D1616,"*_SEG_*")</f>
        <v>0</v>
      </c>
      <c r="T1616" s="9">
        <f>COUNTIF(D1616,"*_MAN_*")</f>
        <v>0</v>
      </c>
      <c r="U1616" s="9">
        <f>(RIGHT(D1616,4))*1</f>
        <v>180</v>
      </c>
      <c r="V1616" s="9" t="str">
        <f>IFERROR(VLOOKUP(I1616,#REF!,2,0),"Sinalização")</f>
        <v>Sinalização</v>
      </c>
    </row>
    <row r="1617" spans="1:22" x14ac:dyDescent="0.25">
      <c r="A1617" s="3" t="s">
        <v>22</v>
      </c>
      <c r="B1617" s="4">
        <v>23084381</v>
      </c>
      <c r="C1617" s="5" t="s">
        <v>23</v>
      </c>
      <c r="D1617" s="6" t="s">
        <v>279</v>
      </c>
      <c r="E1617" s="6" t="s">
        <v>25</v>
      </c>
      <c r="F1617" s="11">
        <v>46152</v>
      </c>
      <c r="G1617" s="6" t="s">
        <v>1079</v>
      </c>
      <c r="H1617" s="7"/>
      <c r="I1617" s="7" t="s">
        <v>280</v>
      </c>
      <c r="J1617" s="7" t="s">
        <v>281</v>
      </c>
      <c r="K1617" s="7" t="s">
        <v>29</v>
      </c>
      <c r="L1617" s="3" t="str">
        <f>E1617&amp;D1617</f>
        <v>E.SP.IPAEE_INS_SEG_S_I_CIRCUITO VIA CC_0180</v>
      </c>
      <c r="M1617" s="3" t="str">
        <f>IFERROR(MID(D1617,SEARCH("S_I_",D1617,1),3),"")</f>
        <v>S_I</v>
      </c>
      <c r="N1617" s="3" t="str">
        <f>IFERROR(MID(D1617,SEARCH("C_I_",D1617,1),3),"")</f>
        <v/>
      </c>
      <c r="O1617" s="3" t="str">
        <f>IF(AND(M1617="",N1617=""),"Extra","")</f>
        <v/>
      </c>
      <c r="P1617" s="3" t="str">
        <f>IF(Q1617=0,"TERCEIRO","MRS")</f>
        <v>MRS</v>
      </c>
      <c r="Q1617" s="8" t="str">
        <f>IFERROR(VLOOKUP(L1617,#REF!,4,0),"0,00")</f>
        <v>0,00</v>
      </c>
      <c r="R1617" s="9" t="s">
        <v>30</v>
      </c>
      <c r="S1617" s="9">
        <f>COUNTIF(D1617,"*_SEG_*")</f>
        <v>1</v>
      </c>
      <c r="T1617" s="9">
        <f>COUNTIF(D1617,"*_MAN_*")</f>
        <v>0</v>
      </c>
      <c r="U1617" s="9">
        <f>(RIGHT(D1617,4))*1</f>
        <v>180</v>
      </c>
      <c r="V1617" s="9" t="str">
        <f>IFERROR(VLOOKUP(I1617,#REF!,2,0),"Sinalização")</f>
        <v>Sinalização</v>
      </c>
    </row>
    <row r="1618" spans="1:22" x14ac:dyDescent="0.25">
      <c r="A1618" s="3" t="s">
        <v>22</v>
      </c>
      <c r="B1618" s="4">
        <v>23084384</v>
      </c>
      <c r="C1618" s="5" t="s">
        <v>23</v>
      </c>
      <c r="D1618" s="6" t="s">
        <v>282</v>
      </c>
      <c r="E1618" s="6" t="s">
        <v>25</v>
      </c>
      <c r="F1618" s="11">
        <v>46152</v>
      </c>
      <c r="G1618" s="6" t="s">
        <v>1079</v>
      </c>
      <c r="H1618" s="7"/>
      <c r="I1618" s="7" t="s">
        <v>283</v>
      </c>
      <c r="J1618" s="7" t="s">
        <v>284</v>
      </c>
      <c r="K1618" s="7" t="s">
        <v>29</v>
      </c>
      <c r="L1618" s="3" t="str">
        <f>E1618&amp;D1618</f>
        <v>E.SP.IPAEE_INS_CONF_S_I_CDV DETETORA CA_0180</v>
      </c>
      <c r="M1618" s="3" t="str">
        <f>IFERROR(MID(D1618,SEARCH("S_I_",D1618,1),3),"")</f>
        <v>S_I</v>
      </c>
      <c r="N1618" s="3" t="str">
        <f>IFERROR(MID(D1618,SEARCH("C_I_",D1618,1),3),"")</f>
        <v/>
      </c>
      <c r="O1618" s="3" t="str">
        <f>IF(AND(M1618="",N1618=""),"Extra","")</f>
        <v/>
      </c>
      <c r="P1618" s="3" t="str">
        <f>IF(Q1618=0,"TERCEIRO","MRS")</f>
        <v>MRS</v>
      </c>
      <c r="Q1618" s="8" t="str">
        <f>IFERROR(VLOOKUP(L1618,#REF!,4,0),"0,00")</f>
        <v>0,00</v>
      </c>
      <c r="R1618" s="9" t="s">
        <v>57</v>
      </c>
      <c r="S1618" s="9">
        <f>COUNTIF(D1618,"*_SEG_*")</f>
        <v>0</v>
      </c>
      <c r="T1618" s="9">
        <f>COUNTIF(D1618,"*_MAN_*")</f>
        <v>0</v>
      </c>
      <c r="U1618" s="9">
        <f>(RIGHT(D1618,4))*1</f>
        <v>180</v>
      </c>
      <c r="V1618" s="9" t="str">
        <f>IFERROR(VLOOKUP(I1618,#REF!,2,0),"Sinalização")</f>
        <v>Sinalização</v>
      </c>
    </row>
    <row r="1619" spans="1:22" x14ac:dyDescent="0.25">
      <c r="A1619" s="3" t="s">
        <v>22</v>
      </c>
      <c r="B1619" s="4">
        <v>23084393</v>
      </c>
      <c r="C1619" s="5" t="s">
        <v>23</v>
      </c>
      <c r="D1619" s="6" t="s">
        <v>285</v>
      </c>
      <c r="E1619" s="6" t="s">
        <v>25</v>
      </c>
      <c r="F1619" s="11">
        <v>46152</v>
      </c>
      <c r="G1619" s="6" t="s">
        <v>1079</v>
      </c>
      <c r="H1619" s="7"/>
      <c r="I1619" s="7" t="s">
        <v>235</v>
      </c>
      <c r="J1619" s="7" t="s">
        <v>284</v>
      </c>
      <c r="K1619" s="7" t="s">
        <v>29</v>
      </c>
      <c r="L1619" s="3" t="str">
        <f>E1619&amp;D1619</f>
        <v>E.SP.IPAEE_INS_CONF_S_I_CIRCUITO VIA CA_0180</v>
      </c>
      <c r="M1619" s="3" t="str">
        <f>IFERROR(MID(D1619,SEARCH("S_I_",D1619,1),3),"")</f>
        <v>S_I</v>
      </c>
      <c r="N1619" s="3" t="str">
        <f>IFERROR(MID(D1619,SEARCH("C_I_",D1619,1),3),"")</f>
        <v/>
      </c>
      <c r="O1619" s="3" t="str">
        <f>IF(AND(M1619="",N1619=""),"Extra","")</f>
        <v/>
      </c>
      <c r="P1619" s="3" t="str">
        <f>IF(Q1619=0,"TERCEIRO","MRS")</f>
        <v>MRS</v>
      </c>
      <c r="Q1619" s="8" t="str">
        <f>IFERROR(VLOOKUP(L1619,#REF!,4,0),"0,00")</f>
        <v>0,00</v>
      </c>
      <c r="R1619" s="9" t="s">
        <v>57</v>
      </c>
      <c r="S1619" s="9">
        <f>COUNTIF(D1619,"*_SEG_*")</f>
        <v>0</v>
      </c>
      <c r="T1619" s="9">
        <f>COUNTIF(D1619,"*_MAN_*")</f>
        <v>0</v>
      </c>
      <c r="U1619" s="9">
        <f>(RIGHT(D1619,4))*1</f>
        <v>180</v>
      </c>
      <c r="V1619" s="9" t="str">
        <f>IFERROR(VLOOKUP(I1619,#REF!,2,0),"Sinalização")</f>
        <v>Sinalização</v>
      </c>
    </row>
    <row r="1620" spans="1:22" x14ac:dyDescent="0.25">
      <c r="A1620" s="3" t="s">
        <v>22</v>
      </c>
      <c r="B1620" s="4">
        <v>23084394</v>
      </c>
      <c r="C1620" s="5" t="s">
        <v>23</v>
      </c>
      <c r="D1620" s="6" t="s">
        <v>285</v>
      </c>
      <c r="E1620" s="6" t="s">
        <v>25</v>
      </c>
      <c r="F1620" s="11">
        <v>46152</v>
      </c>
      <c r="G1620" s="6" t="s">
        <v>1079</v>
      </c>
      <c r="H1620" s="7"/>
      <c r="I1620" s="7" t="s">
        <v>214</v>
      </c>
      <c r="J1620" s="7" t="s">
        <v>284</v>
      </c>
      <c r="K1620" s="7" t="s">
        <v>29</v>
      </c>
      <c r="L1620" s="3" t="str">
        <f>E1620&amp;D1620</f>
        <v>E.SP.IPAEE_INS_CONF_S_I_CIRCUITO VIA CA_0180</v>
      </c>
      <c r="M1620" s="3" t="str">
        <f>IFERROR(MID(D1620,SEARCH("S_I_",D1620,1),3),"")</f>
        <v>S_I</v>
      </c>
      <c r="N1620" s="3" t="str">
        <f>IFERROR(MID(D1620,SEARCH("C_I_",D1620,1),3),"")</f>
        <v/>
      </c>
      <c r="O1620" s="3" t="str">
        <f>IF(AND(M1620="",N1620=""),"Extra","")</f>
        <v/>
      </c>
      <c r="P1620" s="3" t="str">
        <f>IF(Q1620=0,"TERCEIRO","MRS")</f>
        <v>MRS</v>
      </c>
      <c r="Q1620" s="8" t="str">
        <f>IFERROR(VLOOKUP(L1620,#REF!,4,0),"0,00")</f>
        <v>0,00</v>
      </c>
      <c r="R1620" s="9" t="s">
        <v>57</v>
      </c>
      <c r="S1620" s="9">
        <f>COUNTIF(D1620,"*_SEG_*")</f>
        <v>0</v>
      </c>
      <c r="T1620" s="9">
        <f>COUNTIF(D1620,"*_MAN_*")</f>
        <v>0</v>
      </c>
      <c r="U1620" s="9">
        <f>(RIGHT(D1620,4))*1</f>
        <v>180</v>
      </c>
      <c r="V1620" s="9" t="str">
        <f>IFERROR(VLOOKUP(I1620,#REF!,2,0),"Sinalização")</f>
        <v>Sinalização</v>
      </c>
    </row>
    <row r="1621" spans="1:22" x14ac:dyDescent="0.25">
      <c r="A1621" s="3" t="s">
        <v>22</v>
      </c>
      <c r="B1621" s="4">
        <v>23084408</v>
      </c>
      <c r="C1621" s="5" t="s">
        <v>23</v>
      </c>
      <c r="D1621" s="6" t="s">
        <v>286</v>
      </c>
      <c r="E1621" s="6" t="s">
        <v>25</v>
      </c>
      <c r="F1621" s="11">
        <v>46152</v>
      </c>
      <c r="G1621" s="6" t="s">
        <v>1079</v>
      </c>
      <c r="H1621" s="7"/>
      <c r="I1621" s="7" t="s">
        <v>253</v>
      </c>
      <c r="J1621" s="7" t="s">
        <v>189</v>
      </c>
      <c r="K1621" s="7" t="s">
        <v>29</v>
      </c>
      <c r="L1621" s="3" t="str">
        <f>E1621&amp;D1621</f>
        <v>E.SP.IPAEE_INS_SEG_C_I_MCH 110VCC GRS 5C R_0180</v>
      </c>
      <c r="M1621" s="3" t="str">
        <f>IFERROR(MID(D1621,SEARCH("S_I_",D1621,1),3),"")</f>
        <v/>
      </c>
      <c r="N1621" s="3" t="str">
        <f>IFERROR(MID(D1621,SEARCH("C_I_",D1621,1),3),"")</f>
        <v>C_I</v>
      </c>
      <c r="O1621" s="3" t="str">
        <f>IF(AND(M1621="",N1621=""),"Extra","")</f>
        <v/>
      </c>
      <c r="P1621" s="3" t="str">
        <f>IF(Q1621=0,"TERCEIRO","MRS")</f>
        <v>MRS</v>
      </c>
      <c r="Q1621" s="8" t="str">
        <f>IFERROR(VLOOKUP(L1621,#REF!,4,0),"0,00")</f>
        <v>0,00</v>
      </c>
      <c r="R1621" s="9" t="s">
        <v>30</v>
      </c>
      <c r="S1621" s="9">
        <f>COUNTIF(D1621,"*_SEG_*")</f>
        <v>1</v>
      </c>
      <c r="T1621" s="9">
        <f>COUNTIF(D1621,"*_MAN_*")</f>
        <v>0</v>
      </c>
      <c r="U1621" s="9">
        <f>(RIGHT(D1621,4))*1</f>
        <v>180</v>
      </c>
      <c r="V1621" s="9" t="str">
        <f>IFERROR(VLOOKUP(I1621,#REF!,2,0),"Sinalização")</f>
        <v>Sinalização</v>
      </c>
    </row>
    <row r="1622" spans="1:22" x14ac:dyDescent="0.25">
      <c r="A1622" s="3" t="s">
        <v>22</v>
      </c>
      <c r="B1622" s="4">
        <v>23084559</v>
      </c>
      <c r="C1622" s="5" t="s">
        <v>23</v>
      </c>
      <c r="D1622" s="6" t="s">
        <v>287</v>
      </c>
      <c r="E1622" s="6" t="s">
        <v>25</v>
      </c>
      <c r="F1622" s="11">
        <v>46152</v>
      </c>
      <c r="G1622" s="6" t="s">
        <v>1079</v>
      </c>
      <c r="H1622" s="7"/>
      <c r="I1622" s="7" t="s">
        <v>288</v>
      </c>
      <c r="J1622" s="7" t="s">
        <v>289</v>
      </c>
      <c r="K1622" s="7" t="s">
        <v>29</v>
      </c>
      <c r="L1622" s="3" t="str">
        <f>E1622&amp;D1622</f>
        <v>E.SP.IPAEE_INS_SEG_C_I_CH SEC AT SUBESTACAO_0180</v>
      </c>
      <c r="M1622" s="3" t="str">
        <f>IFERROR(MID(D1622,SEARCH("S_I_",D1622,1),3),"")</f>
        <v/>
      </c>
      <c r="N1622" s="3" t="str">
        <f>IFERROR(MID(D1622,SEARCH("C_I_",D1622,1),3),"")</f>
        <v>C_I</v>
      </c>
      <c r="O1622" s="3" t="str">
        <f>IF(AND(M1622="",N1622=""),"Extra","")</f>
        <v/>
      </c>
      <c r="P1622" s="3" t="str">
        <f>IF(Q1622=0,"TERCEIRO","MRS")</f>
        <v>MRS</v>
      </c>
      <c r="Q1622" s="8" t="str">
        <f>IFERROR(VLOOKUP(L1622,#REF!,4,0),"0,00")</f>
        <v>0,00</v>
      </c>
      <c r="R1622" s="9" t="s">
        <v>30</v>
      </c>
      <c r="S1622" s="9">
        <f>COUNTIF(D1622,"*_SEG_*")</f>
        <v>1</v>
      </c>
      <c r="T1622" s="9">
        <f>COUNTIF(D1622,"*_MAN_*")</f>
        <v>0</v>
      </c>
      <c r="U1622" s="9">
        <f>(RIGHT(D1622,4))*1</f>
        <v>180</v>
      </c>
      <c r="V1622" s="9" t="str">
        <f>IFERROR(VLOOKUP(I1622,#REF!,2,0),"Sinalização")</f>
        <v>Sinalização</v>
      </c>
    </row>
    <row r="1623" spans="1:22" x14ac:dyDescent="0.25">
      <c r="A1623" s="3" t="s">
        <v>22</v>
      </c>
      <c r="B1623" s="4">
        <v>23084582</v>
      </c>
      <c r="C1623" s="5" t="s">
        <v>23</v>
      </c>
      <c r="D1623" s="6" t="s">
        <v>287</v>
      </c>
      <c r="E1623" s="6" t="s">
        <v>25</v>
      </c>
      <c r="F1623" s="11">
        <v>46152</v>
      </c>
      <c r="G1623" s="6" t="s">
        <v>1079</v>
      </c>
      <c r="H1623" s="7"/>
      <c r="I1623" s="7" t="s">
        <v>290</v>
      </c>
      <c r="J1623" s="7" t="s">
        <v>289</v>
      </c>
      <c r="K1623" s="7" t="s">
        <v>29</v>
      </c>
      <c r="L1623" s="3" t="str">
        <f>E1623&amp;D1623</f>
        <v>E.SP.IPAEE_INS_SEG_C_I_CH SEC AT SUBESTACAO_0180</v>
      </c>
      <c r="M1623" s="3" t="str">
        <f>IFERROR(MID(D1623,SEARCH("S_I_",D1623,1),3),"")</f>
        <v/>
      </c>
      <c r="N1623" s="3" t="str">
        <f>IFERROR(MID(D1623,SEARCH("C_I_",D1623,1),3),"")</f>
        <v>C_I</v>
      </c>
      <c r="O1623" s="3" t="str">
        <f>IF(AND(M1623="",N1623=""),"Extra","")</f>
        <v/>
      </c>
      <c r="P1623" s="3" t="str">
        <f>IF(Q1623=0,"TERCEIRO","MRS")</f>
        <v>MRS</v>
      </c>
      <c r="Q1623" s="8" t="str">
        <f>IFERROR(VLOOKUP(L1623,#REF!,4,0),"0,00")</f>
        <v>0,00</v>
      </c>
      <c r="R1623" s="9" t="s">
        <v>30</v>
      </c>
      <c r="S1623" s="9">
        <f>COUNTIF(D1623,"*_SEG_*")</f>
        <v>1</v>
      </c>
      <c r="T1623" s="9">
        <f>COUNTIF(D1623,"*_MAN_*")</f>
        <v>0</v>
      </c>
      <c r="U1623" s="9">
        <f>(RIGHT(D1623,4))*1</f>
        <v>180</v>
      </c>
      <c r="V1623" s="9" t="str">
        <f>IFERROR(VLOOKUP(I1623,#REF!,2,0),"Sinalização")</f>
        <v>Sinalização</v>
      </c>
    </row>
    <row r="1624" spans="1:22" x14ac:dyDescent="0.25">
      <c r="A1624" s="3" t="s">
        <v>22</v>
      </c>
      <c r="B1624" s="4">
        <v>23084583</v>
      </c>
      <c r="C1624" s="5" t="s">
        <v>23</v>
      </c>
      <c r="D1624" s="6" t="s">
        <v>287</v>
      </c>
      <c r="E1624" s="6" t="s">
        <v>25</v>
      </c>
      <c r="F1624" s="11">
        <v>46152</v>
      </c>
      <c r="G1624" s="6" t="s">
        <v>1079</v>
      </c>
      <c r="H1624" s="7"/>
      <c r="I1624" s="7" t="s">
        <v>291</v>
      </c>
      <c r="J1624" s="7" t="s">
        <v>289</v>
      </c>
      <c r="K1624" s="7" t="s">
        <v>29</v>
      </c>
      <c r="L1624" s="3" t="str">
        <f>E1624&amp;D1624</f>
        <v>E.SP.IPAEE_INS_SEG_C_I_CH SEC AT SUBESTACAO_0180</v>
      </c>
      <c r="M1624" s="3" t="str">
        <f>IFERROR(MID(D1624,SEARCH("S_I_",D1624,1),3),"")</f>
        <v/>
      </c>
      <c r="N1624" s="3" t="str">
        <f>IFERROR(MID(D1624,SEARCH("C_I_",D1624,1),3),"")</f>
        <v>C_I</v>
      </c>
      <c r="O1624" s="3" t="str">
        <f>IF(AND(M1624="",N1624=""),"Extra","")</f>
        <v/>
      </c>
      <c r="P1624" s="3" t="str">
        <f>IF(Q1624=0,"TERCEIRO","MRS")</f>
        <v>MRS</v>
      </c>
      <c r="Q1624" s="8" t="str">
        <f>IFERROR(VLOOKUP(L1624,#REF!,4,0),"0,00")</f>
        <v>0,00</v>
      </c>
      <c r="R1624" s="9" t="s">
        <v>30</v>
      </c>
      <c r="S1624" s="9">
        <f>COUNTIF(D1624,"*_SEG_*")</f>
        <v>1</v>
      </c>
      <c r="T1624" s="9">
        <f>COUNTIF(D1624,"*_MAN_*")</f>
        <v>0</v>
      </c>
      <c r="U1624" s="9">
        <f>(RIGHT(D1624,4))*1</f>
        <v>180</v>
      </c>
      <c r="V1624" s="9" t="str">
        <f>IFERROR(VLOOKUP(I1624,#REF!,2,0),"Sinalização")</f>
        <v>Sinalização</v>
      </c>
    </row>
    <row r="1625" spans="1:22" x14ac:dyDescent="0.25">
      <c r="A1625" s="3" t="s">
        <v>22</v>
      </c>
      <c r="B1625" s="4">
        <v>23084584</v>
      </c>
      <c r="C1625" s="5" t="s">
        <v>23</v>
      </c>
      <c r="D1625" s="6" t="s">
        <v>287</v>
      </c>
      <c r="E1625" s="6" t="s">
        <v>25</v>
      </c>
      <c r="F1625" s="11">
        <v>46152</v>
      </c>
      <c r="G1625" s="6" t="s">
        <v>1079</v>
      </c>
      <c r="H1625" s="7"/>
      <c r="I1625" s="7" t="s">
        <v>292</v>
      </c>
      <c r="J1625" s="7" t="s">
        <v>289</v>
      </c>
      <c r="K1625" s="7" t="s">
        <v>29</v>
      </c>
      <c r="L1625" s="3" t="str">
        <f>E1625&amp;D1625</f>
        <v>E.SP.IPAEE_INS_SEG_C_I_CH SEC AT SUBESTACAO_0180</v>
      </c>
      <c r="M1625" s="3" t="str">
        <f>IFERROR(MID(D1625,SEARCH("S_I_",D1625,1),3),"")</f>
        <v/>
      </c>
      <c r="N1625" s="3" t="str">
        <f>IFERROR(MID(D1625,SEARCH("C_I_",D1625,1),3),"")</f>
        <v>C_I</v>
      </c>
      <c r="O1625" s="3" t="str">
        <f>IF(AND(M1625="",N1625=""),"Extra","")</f>
        <v/>
      </c>
      <c r="P1625" s="3" t="str">
        <f>IF(Q1625=0,"TERCEIRO","MRS")</f>
        <v>MRS</v>
      </c>
      <c r="Q1625" s="8" t="str">
        <f>IFERROR(VLOOKUP(L1625,#REF!,4,0),"0,00")</f>
        <v>0,00</v>
      </c>
      <c r="R1625" s="9" t="s">
        <v>30</v>
      </c>
      <c r="S1625" s="9">
        <f>COUNTIF(D1625,"*_SEG_*")</f>
        <v>1</v>
      </c>
      <c r="T1625" s="9">
        <f>COUNTIF(D1625,"*_MAN_*")</f>
        <v>0</v>
      </c>
      <c r="U1625" s="9">
        <f>(RIGHT(D1625,4))*1</f>
        <v>180</v>
      </c>
      <c r="V1625" s="9" t="str">
        <f>IFERROR(VLOOKUP(I1625,#REF!,2,0),"Sinalização")</f>
        <v>Sinalização</v>
      </c>
    </row>
    <row r="1626" spans="1:22" x14ac:dyDescent="0.25">
      <c r="A1626" s="3" t="s">
        <v>22</v>
      </c>
      <c r="B1626" s="4">
        <v>23084585</v>
      </c>
      <c r="C1626" s="5" t="s">
        <v>23</v>
      </c>
      <c r="D1626" s="6" t="s">
        <v>287</v>
      </c>
      <c r="E1626" s="6" t="s">
        <v>25</v>
      </c>
      <c r="F1626" s="11">
        <v>46152</v>
      </c>
      <c r="G1626" s="6" t="s">
        <v>1079</v>
      </c>
      <c r="H1626" s="7"/>
      <c r="I1626" s="7" t="s">
        <v>293</v>
      </c>
      <c r="J1626" s="7" t="s">
        <v>289</v>
      </c>
      <c r="K1626" s="7" t="s">
        <v>29</v>
      </c>
      <c r="L1626" s="3" t="str">
        <f>E1626&amp;D1626</f>
        <v>E.SP.IPAEE_INS_SEG_C_I_CH SEC AT SUBESTACAO_0180</v>
      </c>
      <c r="M1626" s="3" t="str">
        <f>IFERROR(MID(D1626,SEARCH("S_I_",D1626,1),3),"")</f>
        <v/>
      </c>
      <c r="N1626" s="3" t="str">
        <f>IFERROR(MID(D1626,SEARCH("C_I_",D1626,1),3),"")</f>
        <v>C_I</v>
      </c>
      <c r="O1626" s="3" t="str">
        <f>IF(AND(M1626="",N1626=""),"Extra","")</f>
        <v/>
      </c>
      <c r="P1626" s="3" t="str">
        <f>IF(Q1626=0,"TERCEIRO","MRS")</f>
        <v>MRS</v>
      </c>
      <c r="Q1626" s="8" t="str">
        <f>IFERROR(VLOOKUP(L1626,#REF!,4,0),"0,00")</f>
        <v>0,00</v>
      </c>
      <c r="R1626" s="9" t="s">
        <v>30</v>
      </c>
      <c r="S1626" s="9">
        <f>COUNTIF(D1626,"*_SEG_*")</f>
        <v>1</v>
      </c>
      <c r="T1626" s="9">
        <f>COUNTIF(D1626,"*_MAN_*")</f>
        <v>0</v>
      </c>
      <c r="U1626" s="9">
        <f>(RIGHT(D1626,4))*1</f>
        <v>180</v>
      </c>
      <c r="V1626" s="9" t="str">
        <f>IFERROR(VLOOKUP(I1626,#REF!,2,0),"Sinalização")</f>
        <v>Sinalização</v>
      </c>
    </row>
    <row r="1627" spans="1:22" x14ac:dyDescent="0.25">
      <c r="A1627" s="3" t="s">
        <v>22</v>
      </c>
      <c r="B1627" s="4">
        <v>23084586</v>
      </c>
      <c r="C1627" s="5" t="s">
        <v>23</v>
      </c>
      <c r="D1627" s="6" t="s">
        <v>287</v>
      </c>
      <c r="E1627" s="6" t="s">
        <v>25</v>
      </c>
      <c r="F1627" s="11">
        <v>46152</v>
      </c>
      <c r="G1627" s="6" t="s">
        <v>1079</v>
      </c>
      <c r="H1627" s="7"/>
      <c r="I1627" s="7" t="s">
        <v>294</v>
      </c>
      <c r="J1627" s="7" t="s">
        <v>289</v>
      </c>
      <c r="K1627" s="7" t="s">
        <v>29</v>
      </c>
      <c r="L1627" s="3" t="str">
        <f>E1627&amp;D1627</f>
        <v>E.SP.IPAEE_INS_SEG_C_I_CH SEC AT SUBESTACAO_0180</v>
      </c>
      <c r="M1627" s="3" t="str">
        <f>IFERROR(MID(D1627,SEARCH("S_I_",D1627,1),3),"")</f>
        <v/>
      </c>
      <c r="N1627" s="3" t="str">
        <f>IFERROR(MID(D1627,SEARCH("C_I_",D1627,1),3),"")</f>
        <v>C_I</v>
      </c>
      <c r="O1627" s="3" t="str">
        <f>IF(AND(M1627="",N1627=""),"Extra","")</f>
        <v/>
      </c>
      <c r="P1627" s="3" t="str">
        <f>IF(Q1627=0,"TERCEIRO","MRS")</f>
        <v>MRS</v>
      </c>
      <c r="Q1627" s="8" t="str">
        <f>IFERROR(VLOOKUP(L1627,#REF!,4,0),"0,00")</f>
        <v>0,00</v>
      </c>
      <c r="R1627" s="9" t="s">
        <v>30</v>
      </c>
      <c r="S1627" s="9">
        <f>COUNTIF(D1627,"*_SEG_*")</f>
        <v>1</v>
      </c>
      <c r="T1627" s="9">
        <f>COUNTIF(D1627,"*_MAN_*")</f>
        <v>0</v>
      </c>
      <c r="U1627" s="9">
        <f>(RIGHT(D1627,4))*1</f>
        <v>180</v>
      </c>
      <c r="V1627" s="9" t="str">
        <f>IFERROR(VLOOKUP(I1627,#REF!,2,0),"Sinalização")</f>
        <v>Sinalização</v>
      </c>
    </row>
    <row r="1628" spans="1:22" x14ac:dyDescent="0.25">
      <c r="A1628" s="3" t="s">
        <v>22</v>
      </c>
      <c r="B1628" s="4">
        <v>23084587</v>
      </c>
      <c r="C1628" s="5" t="s">
        <v>23</v>
      </c>
      <c r="D1628" s="6" t="s">
        <v>287</v>
      </c>
      <c r="E1628" s="6" t="s">
        <v>25</v>
      </c>
      <c r="F1628" s="11">
        <v>46152</v>
      </c>
      <c r="G1628" s="6" t="s">
        <v>1079</v>
      </c>
      <c r="H1628" s="7"/>
      <c r="I1628" s="7" t="s">
        <v>295</v>
      </c>
      <c r="J1628" s="7" t="s">
        <v>289</v>
      </c>
      <c r="K1628" s="7" t="s">
        <v>29</v>
      </c>
      <c r="L1628" s="3" t="str">
        <f>E1628&amp;D1628</f>
        <v>E.SP.IPAEE_INS_SEG_C_I_CH SEC AT SUBESTACAO_0180</v>
      </c>
      <c r="M1628" s="3" t="str">
        <f>IFERROR(MID(D1628,SEARCH("S_I_",D1628,1),3),"")</f>
        <v/>
      </c>
      <c r="N1628" s="3" t="str">
        <f>IFERROR(MID(D1628,SEARCH("C_I_",D1628,1),3),"")</f>
        <v>C_I</v>
      </c>
      <c r="O1628" s="3" t="str">
        <f>IF(AND(M1628="",N1628=""),"Extra","")</f>
        <v/>
      </c>
      <c r="P1628" s="3" t="str">
        <f>IF(Q1628=0,"TERCEIRO","MRS")</f>
        <v>MRS</v>
      </c>
      <c r="Q1628" s="8" t="str">
        <f>IFERROR(VLOOKUP(L1628,#REF!,4,0),"0,00")</f>
        <v>0,00</v>
      </c>
      <c r="R1628" s="9" t="s">
        <v>30</v>
      </c>
      <c r="S1628" s="9">
        <f>COUNTIF(D1628,"*_SEG_*")</f>
        <v>1</v>
      </c>
      <c r="T1628" s="9">
        <f>COUNTIF(D1628,"*_MAN_*")</f>
        <v>0</v>
      </c>
      <c r="U1628" s="9">
        <f>(RIGHT(D1628,4))*1</f>
        <v>180</v>
      </c>
      <c r="V1628" s="9" t="str">
        <f>IFERROR(VLOOKUP(I1628,#REF!,2,0),"Sinalização")</f>
        <v>Sinalização</v>
      </c>
    </row>
    <row r="1629" spans="1:22" x14ac:dyDescent="0.25">
      <c r="A1629" s="3" t="s">
        <v>22</v>
      </c>
      <c r="B1629" s="4">
        <v>23084588</v>
      </c>
      <c r="C1629" s="5" t="s">
        <v>23</v>
      </c>
      <c r="D1629" s="6" t="s">
        <v>287</v>
      </c>
      <c r="E1629" s="6" t="s">
        <v>25</v>
      </c>
      <c r="F1629" s="11">
        <v>46152</v>
      </c>
      <c r="G1629" s="6" t="s">
        <v>1079</v>
      </c>
      <c r="H1629" s="7"/>
      <c r="I1629" s="7" t="s">
        <v>296</v>
      </c>
      <c r="J1629" s="7" t="s">
        <v>289</v>
      </c>
      <c r="K1629" s="7" t="s">
        <v>29</v>
      </c>
      <c r="L1629" s="3" t="str">
        <f>E1629&amp;D1629</f>
        <v>E.SP.IPAEE_INS_SEG_C_I_CH SEC AT SUBESTACAO_0180</v>
      </c>
      <c r="M1629" s="3" t="str">
        <f>IFERROR(MID(D1629,SEARCH("S_I_",D1629,1),3),"")</f>
        <v/>
      </c>
      <c r="N1629" s="3" t="str">
        <f>IFERROR(MID(D1629,SEARCH("C_I_",D1629,1),3),"")</f>
        <v>C_I</v>
      </c>
      <c r="O1629" s="3" t="str">
        <f>IF(AND(M1629="",N1629=""),"Extra","")</f>
        <v/>
      </c>
      <c r="P1629" s="3" t="str">
        <f>IF(Q1629=0,"TERCEIRO","MRS")</f>
        <v>MRS</v>
      </c>
      <c r="Q1629" s="8" t="str">
        <f>IFERROR(VLOOKUP(L1629,#REF!,4,0),"0,00")</f>
        <v>0,00</v>
      </c>
      <c r="R1629" s="9" t="s">
        <v>30</v>
      </c>
      <c r="S1629" s="9">
        <f>COUNTIF(D1629,"*_SEG_*")</f>
        <v>1</v>
      </c>
      <c r="T1629" s="9">
        <f>COUNTIF(D1629,"*_MAN_*")</f>
        <v>0</v>
      </c>
      <c r="U1629" s="9">
        <f>(RIGHT(D1629,4))*1</f>
        <v>180</v>
      </c>
      <c r="V1629" s="9" t="str">
        <f>IFERROR(VLOOKUP(I1629,#REF!,2,0),"Sinalização")</f>
        <v>Sinalização</v>
      </c>
    </row>
    <row r="1630" spans="1:22" x14ac:dyDescent="0.25">
      <c r="A1630" s="3" t="s">
        <v>22</v>
      </c>
      <c r="B1630" s="4">
        <v>23477830</v>
      </c>
      <c r="C1630" s="5" t="s">
        <v>23</v>
      </c>
      <c r="D1630" s="6" t="s">
        <v>909</v>
      </c>
      <c r="E1630" s="6" t="s">
        <v>25</v>
      </c>
      <c r="F1630" s="11">
        <v>46151</v>
      </c>
      <c r="G1630" s="6" t="s">
        <v>1079</v>
      </c>
      <c r="H1630" s="7"/>
      <c r="I1630" s="7" t="s">
        <v>902</v>
      </c>
      <c r="J1630" s="7" t="s">
        <v>910</v>
      </c>
      <c r="K1630" s="7" t="s">
        <v>29</v>
      </c>
      <c r="L1630" s="3" t="str">
        <f>E1630&amp;D1630</f>
        <v>E.SP.IPAEE_MAN_CONF_S_I_SINAL L MULTI CONT_0030</v>
      </c>
      <c r="M1630" s="3" t="str">
        <f>IFERROR(MID(D1630,SEARCH("S_I_",D1630,1),3),"")</f>
        <v>S_I</v>
      </c>
      <c r="N1630" s="3" t="str">
        <f>IFERROR(MID(D1630,SEARCH("C_I_",D1630,1),3),"")</f>
        <v/>
      </c>
      <c r="O1630" s="3" t="str">
        <f>IF(AND(M1630="",N1630=""),"Extra","")</f>
        <v/>
      </c>
      <c r="P1630" s="3" t="str">
        <f>IF(Q1630=0,"TERCEIRO","MRS")</f>
        <v>MRS</v>
      </c>
      <c r="Q1630" s="8" t="str">
        <f>IFERROR(VLOOKUP(L1630,#REF!,4,0),"0,00")</f>
        <v>0,00</v>
      </c>
      <c r="R1630" s="9" t="s">
        <v>42</v>
      </c>
      <c r="S1630" s="9">
        <f>COUNTIF(D1630,"*_SEG_*")</f>
        <v>0</v>
      </c>
      <c r="T1630" s="9">
        <f>COUNTIF(D1630,"*_MAN_*")</f>
        <v>1</v>
      </c>
      <c r="U1630" s="9">
        <f>(RIGHT(D1630,4))*1</f>
        <v>30</v>
      </c>
      <c r="V1630" s="9" t="str">
        <f>IFERROR(VLOOKUP(I1630,#REF!,2,0),"Sinalização")</f>
        <v>Sinalização</v>
      </c>
    </row>
    <row r="1631" spans="1:22" x14ac:dyDescent="0.25">
      <c r="A1631" s="3" t="s">
        <v>22</v>
      </c>
      <c r="B1631" s="4">
        <v>23477831</v>
      </c>
      <c r="C1631" s="5" t="s">
        <v>23</v>
      </c>
      <c r="D1631" s="6" t="s">
        <v>909</v>
      </c>
      <c r="E1631" s="6" t="s">
        <v>25</v>
      </c>
      <c r="F1631" s="11">
        <v>46151</v>
      </c>
      <c r="G1631" s="6" t="s">
        <v>1079</v>
      </c>
      <c r="H1631" s="7"/>
      <c r="I1631" s="7" t="s">
        <v>903</v>
      </c>
      <c r="J1631" s="7" t="s">
        <v>910</v>
      </c>
      <c r="K1631" s="7" t="s">
        <v>29</v>
      </c>
      <c r="L1631" s="3" t="str">
        <f>E1631&amp;D1631</f>
        <v>E.SP.IPAEE_MAN_CONF_S_I_SINAL L MULTI CONT_0030</v>
      </c>
      <c r="M1631" s="3" t="str">
        <f>IFERROR(MID(D1631,SEARCH("S_I_",D1631,1),3),"")</f>
        <v>S_I</v>
      </c>
      <c r="N1631" s="3" t="str">
        <f>IFERROR(MID(D1631,SEARCH("C_I_",D1631,1),3),"")</f>
        <v/>
      </c>
      <c r="O1631" s="3" t="str">
        <f>IF(AND(M1631="",N1631=""),"Extra","")</f>
        <v/>
      </c>
      <c r="P1631" s="3" t="str">
        <f>IF(Q1631=0,"TERCEIRO","MRS")</f>
        <v>MRS</v>
      </c>
      <c r="Q1631" s="8" t="str">
        <f>IFERROR(VLOOKUP(L1631,#REF!,4,0),"0,00")</f>
        <v>0,00</v>
      </c>
      <c r="R1631" s="9" t="s">
        <v>42</v>
      </c>
      <c r="S1631" s="9">
        <f>COUNTIF(D1631,"*_SEG_*")</f>
        <v>0</v>
      </c>
      <c r="T1631" s="9">
        <f>COUNTIF(D1631,"*_MAN_*")</f>
        <v>1</v>
      </c>
      <c r="U1631" s="9">
        <f>(RIGHT(D1631,4))*1</f>
        <v>30</v>
      </c>
      <c r="V1631" s="9" t="str">
        <f>IFERROR(VLOOKUP(I1631,#REF!,2,0),"Sinalização")</f>
        <v>Sinalização</v>
      </c>
    </row>
    <row r="1632" spans="1:22" x14ac:dyDescent="0.25">
      <c r="A1632" s="3" t="s">
        <v>22</v>
      </c>
      <c r="B1632" s="4">
        <v>22590707</v>
      </c>
      <c r="C1632" s="5" t="s">
        <v>23</v>
      </c>
      <c r="D1632" s="6" t="s">
        <v>79</v>
      </c>
      <c r="E1632" s="6" t="s">
        <v>25</v>
      </c>
      <c r="F1632" s="11">
        <v>46150</v>
      </c>
      <c r="G1632" s="6" t="s">
        <v>1079</v>
      </c>
      <c r="H1632" s="7"/>
      <c r="I1632" s="7" t="s">
        <v>80</v>
      </c>
      <c r="J1632" s="7" t="s">
        <v>81</v>
      </c>
      <c r="K1632" s="7" t="s">
        <v>29</v>
      </c>
      <c r="L1632" s="3" t="str">
        <f>E1632&amp;D1632</f>
        <v>E.SP.IPAEE_INS_CONF_C_I_MAQ CHAVE M2/M3_0360</v>
      </c>
      <c r="M1632" s="3" t="str">
        <f>IFERROR(MID(D1632,SEARCH("S_I_",D1632,1),3),"")</f>
        <v/>
      </c>
      <c r="N1632" s="3" t="str">
        <f>IFERROR(MID(D1632,SEARCH("C_I_",D1632,1),3),"")</f>
        <v>C_I</v>
      </c>
      <c r="O1632" s="3" t="str">
        <f>IF(AND(M1632="",N1632=""),"Extra","")</f>
        <v/>
      </c>
      <c r="P1632" s="3" t="str">
        <f>IF(Q1632=0,"TERCEIRO","MRS")</f>
        <v>MRS</v>
      </c>
      <c r="Q1632" s="8" t="str">
        <f>IFERROR(VLOOKUP(L1632,#REF!,4,0),"0,00")</f>
        <v>0,00</v>
      </c>
      <c r="R1632" s="9" t="s">
        <v>42</v>
      </c>
      <c r="S1632" s="9">
        <f>COUNTIF(D1632,"*_SEG_*")</f>
        <v>0</v>
      </c>
      <c r="T1632" s="9">
        <f>COUNTIF(D1632,"*_MAN_*")</f>
        <v>0</v>
      </c>
      <c r="U1632" s="9">
        <f>(RIGHT(D1632,4))*1</f>
        <v>360</v>
      </c>
      <c r="V1632" s="9" t="str">
        <f>IFERROR(VLOOKUP(I1632,#REF!,2,0),"Sinalização")</f>
        <v>Sinalização</v>
      </c>
    </row>
    <row r="1633" spans="1:22" x14ac:dyDescent="0.25">
      <c r="A1633" s="3" t="s">
        <v>22</v>
      </c>
      <c r="B1633" s="4">
        <v>22592003</v>
      </c>
      <c r="C1633" s="5" t="s">
        <v>23</v>
      </c>
      <c r="D1633" s="6" t="s">
        <v>82</v>
      </c>
      <c r="E1633" s="6" t="s">
        <v>25</v>
      </c>
      <c r="F1633" s="11">
        <v>46150</v>
      </c>
      <c r="G1633" s="6" t="s">
        <v>1079</v>
      </c>
      <c r="H1633" s="7"/>
      <c r="I1633" s="7" t="s">
        <v>83</v>
      </c>
      <c r="J1633" s="7" t="s">
        <v>84</v>
      </c>
      <c r="K1633" s="7" t="s">
        <v>29</v>
      </c>
      <c r="L1633" s="3" t="str">
        <f>E1633&amp;D1633</f>
        <v>E.SP.IPAEE_MAN_CONF_C_I_INTERLOCK SUBEST_0360</v>
      </c>
      <c r="M1633" s="3" t="str">
        <f>IFERROR(MID(D1633,SEARCH("S_I_",D1633,1),3),"")</f>
        <v/>
      </c>
      <c r="N1633" s="3" t="str">
        <f>IFERROR(MID(D1633,SEARCH("C_I_",D1633,1),3),"")</f>
        <v>C_I</v>
      </c>
      <c r="O1633" s="3" t="str">
        <f>IF(AND(M1633="",N1633=""),"Extra","")</f>
        <v/>
      </c>
      <c r="P1633" s="3" t="str">
        <f>IF(Q1633=0,"TERCEIRO","MRS")</f>
        <v>MRS</v>
      </c>
      <c r="Q1633" s="8" t="str">
        <f>IFERROR(VLOOKUP(L1633,#REF!,4,0),"0,00")</f>
        <v>0,00</v>
      </c>
      <c r="R1633" s="9" t="s">
        <v>42</v>
      </c>
      <c r="S1633" s="9">
        <f>COUNTIF(D1633,"*_SEG_*")</f>
        <v>0</v>
      </c>
      <c r="T1633" s="9">
        <f>COUNTIF(D1633,"*_MAN_*")</f>
        <v>1</v>
      </c>
      <c r="U1633" s="9">
        <f>(RIGHT(D1633,4))*1</f>
        <v>360</v>
      </c>
      <c r="V1633" s="9" t="str">
        <f>IFERROR(VLOOKUP(I1633,#REF!,2,0),"Sinalização")</f>
        <v>Sinalização</v>
      </c>
    </row>
    <row r="1634" spans="1:22" x14ac:dyDescent="0.25">
      <c r="A1634" s="3" t="s">
        <v>22</v>
      </c>
      <c r="B1634" s="4">
        <v>22592166</v>
      </c>
      <c r="C1634" s="5" t="s">
        <v>23</v>
      </c>
      <c r="D1634" s="6" t="s">
        <v>85</v>
      </c>
      <c r="E1634" s="6" t="s">
        <v>25</v>
      </c>
      <c r="F1634" s="11">
        <v>46150</v>
      </c>
      <c r="G1634" s="6" t="s">
        <v>1079</v>
      </c>
      <c r="H1634" s="7"/>
      <c r="I1634" s="7" t="s">
        <v>86</v>
      </c>
      <c r="J1634" s="7" t="s">
        <v>87</v>
      </c>
      <c r="K1634" s="7" t="s">
        <v>29</v>
      </c>
      <c r="L1634" s="3" t="str">
        <f>E1634&amp;D1634</f>
        <v>E.SP.IPAEE_INS_CONF_S_I_BATERIAS_0360</v>
      </c>
      <c r="M1634" s="3" t="str">
        <f>IFERROR(MID(D1634,SEARCH("S_I_",D1634,1),3),"")</f>
        <v>S_I</v>
      </c>
      <c r="N1634" s="3" t="str">
        <f>IFERROR(MID(D1634,SEARCH("C_I_",D1634,1),3),"")</f>
        <v/>
      </c>
      <c r="O1634" s="3" t="str">
        <f>IF(AND(M1634="",N1634=""),"Extra","")</f>
        <v/>
      </c>
      <c r="P1634" s="3" t="str">
        <f>IF(Q1634=0,"TERCEIRO","MRS")</f>
        <v>MRS</v>
      </c>
      <c r="Q1634" s="8" t="str">
        <f>IFERROR(VLOOKUP(L1634,#REF!,4,0),"0,00")</f>
        <v>0,00</v>
      </c>
      <c r="R1634" s="9" t="s">
        <v>42</v>
      </c>
      <c r="S1634" s="9">
        <f>COUNTIF(D1634,"*_SEG_*")</f>
        <v>0</v>
      </c>
      <c r="T1634" s="9">
        <f>COUNTIF(D1634,"*_MAN_*")</f>
        <v>0</v>
      </c>
      <c r="U1634" s="9">
        <f>(RIGHT(D1634,4))*1</f>
        <v>360</v>
      </c>
      <c r="V1634" s="9" t="str">
        <f>IFERROR(VLOOKUP(I1634,#REF!,2,0),"Sinalização")</f>
        <v>Sinalização</v>
      </c>
    </row>
    <row r="1635" spans="1:22" x14ac:dyDescent="0.25">
      <c r="A1635" s="3" t="s">
        <v>22</v>
      </c>
      <c r="B1635" s="4">
        <v>22586785</v>
      </c>
      <c r="C1635" s="5" t="s">
        <v>23</v>
      </c>
      <c r="D1635" s="6" t="s">
        <v>49</v>
      </c>
      <c r="E1635" s="6" t="s">
        <v>25</v>
      </c>
      <c r="F1635" s="11">
        <v>46149</v>
      </c>
      <c r="G1635" s="6" t="s">
        <v>1079</v>
      </c>
      <c r="H1635" s="7"/>
      <c r="I1635" s="7" t="s">
        <v>50</v>
      </c>
      <c r="J1635" s="7" t="s">
        <v>51</v>
      </c>
      <c r="K1635" s="7" t="s">
        <v>29</v>
      </c>
      <c r="L1635" s="3" t="str">
        <f>E1635&amp;D1635</f>
        <v>E.SP.IPAEE_INS_CONF_C_I_BAT ESTAC SINAL_0360</v>
      </c>
      <c r="M1635" s="3" t="str">
        <f>IFERROR(MID(D1635,SEARCH("S_I_",D1635,1),3),"")</f>
        <v/>
      </c>
      <c r="N1635" s="3" t="str">
        <f>IFERROR(MID(D1635,SEARCH("C_I_",D1635,1),3),"")</f>
        <v>C_I</v>
      </c>
      <c r="O1635" s="3" t="str">
        <f>IF(AND(M1635="",N1635=""),"Extra","")</f>
        <v/>
      </c>
      <c r="P1635" s="3" t="str">
        <f>IF(Q1635=0,"TERCEIRO","MRS")</f>
        <v>MRS</v>
      </c>
      <c r="Q1635" s="8" t="str">
        <f>IFERROR(VLOOKUP(L1635,#REF!,4,0),"0,00")</f>
        <v>0,00</v>
      </c>
      <c r="R1635" s="9" t="s">
        <v>42</v>
      </c>
      <c r="S1635" s="9">
        <f>COUNTIF(D1635,"*_SEG_*")</f>
        <v>0</v>
      </c>
      <c r="T1635" s="9">
        <f>COUNTIF(D1635,"*_MAN_*")</f>
        <v>0</v>
      </c>
      <c r="U1635" s="9">
        <f>(RIGHT(D1635,4))*1</f>
        <v>360</v>
      </c>
      <c r="V1635" s="9" t="str">
        <f>IFERROR(VLOOKUP(I1635,#REF!,2,0),"Sinalização")</f>
        <v>Sinalização</v>
      </c>
    </row>
    <row r="1636" spans="1:22" x14ac:dyDescent="0.25">
      <c r="A1636" s="3" t="s">
        <v>22</v>
      </c>
      <c r="B1636" s="4">
        <v>22586789</v>
      </c>
      <c r="C1636" s="5" t="s">
        <v>23</v>
      </c>
      <c r="D1636" s="6" t="s">
        <v>49</v>
      </c>
      <c r="E1636" s="6" t="s">
        <v>25</v>
      </c>
      <c r="F1636" s="11">
        <v>46149</v>
      </c>
      <c r="G1636" s="6" t="s">
        <v>1079</v>
      </c>
      <c r="H1636" s="7"/>
      <c r="I1636" s="7" t="s">
        <v>52</v>
      </c>
      <c r="J1636" s="7" t="s">
        <v>51</v>
      </c>
      <c r="K1636" s="7" t="s">
        <v>29</v>
      </c>
      <c r="L1636" s="3" t="str">
        <f>E1636&amp;D1636</f>
        <v>E.SP.IPAEE_INS_CONF_C_I_BAT ESTAC SINAL_0360</v>
      </c>
      <c r="M1636" s="3" t="str">
        <f>IFERROR(MID(D1636,SEARCH("S_I_",D1636,1),3),"")</f>
        <v/>
      </c>
      <c r="N1636" s="3" t="str">
        <f>IFERROR(MID(D1636,SEARCH("C_I_",D1636,1),3),"")</f>
        <v>C_I</v>
      </c>
      <c r="O1636" s="3" t="str">
        <f>IF(AND(M1636="",N1636=""),"Extra","")</f>
        <v/>
      </c>
      <c r="P1636" s="3" t="str">
        <f>IF(Q1636=0,"TERCEIRO","MRS")</f>
        <v>MRS</v>
      </c>
      <c r="Q1636" s="8" t="str">
        <f>IFERROR(VLOOKUP(L1636,#REF!,4,0),"0,00")</f>
        <v>0,00</v>
      </c>
      <c r="R1636" s="9" t="s">
        <v>42</v>
      </c>
      <c r="S1636" s="9">
        <f>COUNTIF(D1636,"*_SEG_*")</f>
        <v>0</v>
      </c>
      <c r="T1636" s="9">
        <f>COUNTIF(D1636,"*_MAN_*")</f>
        <v>0</v>
      </c>
      <c r="U1636" s="9">
        <f>(RIGHT(D1636,4))*1</f>
        <v>360</v>
      </c>
      <c r="V1636" s="9" t="str">
        <f>IFERROR(VLOOKUP(I1636,#REF!,2,0),"Sinalização")</f>
        <v>Sinalização</v>
      </c>
    </row>
    <row r="1637" spans="1:22" x14ac:dyDescent="0.25">
      <c r="A1637" s="3" t="s">
        <v>22</v>
      </c>
      <c r="B1637" s="4">
        <v>22586791</v>
      </c>
      <c r="C1637" s="5" t="s">
        <v>23</v>
      </c>
      <c r="D1637" s="6" t="s">
        <v>49</v>
      </c>
      <c r="E1637" s="6" t="s">
        <v>25</v>
      </c>
      <c r="F1637" s="11">
        <v>46149</v>
      </c>
      <c r="G1637" s="6" t="s">
        <v>1079</v>
      </c>
      <c r="H1637" s="7"/>
      <c r="I1637" s="7" t="s">
        <v>53</v>
      </c>
      <c r="J1637" s="7" t="s">
        <v>51</v>
      </c>
      <c r="K1637" s="7" t="s">
        <v>29</v>
      </c>
      <c r="L1637" s="3" t="str">
        <f>E1637&amp;D1637</f>
        <v>E.SP.IPAEE_INS_CONF_C_I_BAT ESTAC SINAL_0360</v>
      </c>
      <c r="M1637" s="3" t="str">
        <f>IFERROR(MID(D1637,SEARCH("S_I_",D1637,1),3),"")</f>
        <v/>
      </c>
      <c r="N1637" s="3" t="str">
        <f>IFERROR(MID(D1637,SEARCH("C_I_",D1637,1),3),"")</f>
        <v>C_I</v>
      </c>
      <c r="O1637" s="3" t="str">
        <f>IF(AND(M1637="",N1637=""),"Extra","")</f>
        <v/>
      </c>
      <c r="P1637" s="3" t="str">
        <f>IF(Q1637=0,"TERCEIRO","MRS")</f>
        <v>MRS</v>
      </c>
      <c r="Q1637" s="8" t="str">
        <f>IFERROR(VLOOKUP(L1637,#REF!,4,0),"0,00")</f>
        <v>0,00</v>
      </c>
      <c r="R1637" s="9" t="s">
        <v>42</v>
      </c>
      <c r="S1637" s="9">
        <f>COUNTIF(D1637,"*_SEG_*")</f>
        <v>0</v>
      </c>
      <c r="T1637" s="9">
        <f>COUNTIF(D1637,"*_MAN_*")</f>
        <v>0</v>
      </c>
      <c r="U1637" s="9">
        <f>(RIGHT(D1637,4))*1</f>
        <v>360</v>
      </c>
      <c r="V1637" s="9" t="str">
        <f>IFERROR(VLOOKUP(I1637,#REF!,2,0),"Sinalização")</f>
        <v>Sinalização</v>
      </c>
    </row>
    <row r="1638" spans="1:22" x14ac:dyDescent="0.25">
      <c r="A1638" s="3" t="s">
        <v>22</v>
      </c>
      <c r="B1638" s="4">
        <v>22586868</v>
      </c>
      <c r="C1638" s="5" t="s">
        <v>23</v>
      </c>
      <c r="D1638" s="6" t="s">
        <v>54</v>
      </c>
      <c r="E1638" s="6" t="s">
        <v>25</v>
      </c>
      <c r="F1638" s="11">
        <v>46149</v>
      </c>
      <c r="G1638" s="6" t="s">
        <v>1079</v>
      </c>
      <c r="H1638" s="7"/>
      <c r="I1638" s="7" t="s">
        <v>55</v>
      </c>
      <c r="J1638" s="7" t="s">
        <v>56</v>
      </c>
      <c r="K1638" s="7" t="s">
        <v>29</v>
      </c>
      <c r="L1638" s="3" t="str">
        <f>E1638&amp;D1638</f>
        <v>E.SP.IPAEE_INS_CONF_S_I_SIN L UNIFOCAL AUT_0360</v>
      </c>
      <c r="M1638" s="3" t="str">
        <f>IFERROR(MID(D1638,SEARCH("S_I_",D1638,1),3),"")</f>
        <v>S_I</v>
      </c>
      <c r="N1638" s="3" t="str">
        <f>IFERROR(MID(D1638,SEARCH("C_I_",D1638,1),3),"")</f>
        <v/>
      </c>
      <c r="O1638" s="3" t="str">
        <f>IF(AND(M1638="",N1638=""),"Extra","")</f>
        <v/>
      </c>
      <c r="P1638" s="3" t="str">
        <f>IF(Q1638=0,"TERCEIRO","MRS")</f>
        <v>MRS</v>
      </c>
      <c r="Q1638" s="8" t="str">
        <f>IFERROR(VLOOKUP(L1638,#REF!,4,0),"0,00")</f>
        <v>0,00</v>
      </c>
      <c r="R1638" s="9" t="s">
        <v>57</v>
      </c>
      <c r="S1638" s="9">
        <f>COUNTIF(D1638,"*_SEG_*")</f>
        <v>0</v>
      </c>
      <c r="T1638" s="9">
        <f>COUNTIF(D1638,"*_MAN_*")</f>
        <v>0</v>
      </c>
      <c r="U1638" s="9">
        <f>(RIGHT(D1638,4))*1</f>
        <v>360</v>
      </c>
      <c r="V1638" s="9" t="str">
        <f>IFERROR(VLOOKUP(I1638,#REF!,2,0),"Sinalização")</f>
        <v>Sinalização</v>
      </c>
    </row>
    <row r="1639" spans="1:22" x14ac:dyDescent="0.25">
      <c r="A1639" s="3" t="s">
        <v>22</v>
      </c>
      <c r="B1639" s="4">
        <v>22587016</v>
      </c>
      <c r="C1639" s="5" t="s">
        <v>23</v>
      </c>
      <c r="D1639" s="6" t="s">
        <v>58</v>
      </c>
      <c r="E1639" s="6" t="s">
        <v>25</v>
      </c>
      <c r="F1639" s="11">
        <v>46149</v>
      </c>
      <c r="G1639" s="6" t="s">
        <v>1079</v>
      </c>
      <c r="H1639" s="7"/>
      <c r="I1639" s="7" t="s">
        <v>59</v>
      </c>
      <c r="J1639" s="7" t="s">
        <v>51</v>
      </c>
      <c r="K1639" s="7" t="s">
        <v>29</v>
      </c>
      <c r="L1639" s="3" t="str">
        <f>E1639&amp;D1639</f>
        <v>E.SP.IPAEE_INS_CONF_C_I_BAT ESTAC B-LFR_0360</v>
      </c>
      <c r="M1639" s="3" t="str">
        <f>IFERROR(MID(D1639,SEARCH("S_I_",D1639,1),3),"")</f>
        <v/>
      </c>
      <c r="N1639" s="3" t="str">
        <f>IFERROR(MID(D1639,SEARCH("C_I_",D1639,1),3),"")</f>
        <v>C_I</v>
      </c>
      <c r="O1639" s="3" t="str">
        <f>IF(AND(M1639="",N1639=""),"Extra","")</f>
        <v/>
      </c>
      <c r="P1639" s="3" t="str">
        <f>IF(Q1639=0,"TERCEIRO","MRS")</f>
        <v>MRS</v>
      </c>
      <c r="Q1639" s="8" t="str">
        <f>IFERROR(VLOOKUP(L1639,#REF!,4,0),"0,00")</f>
        <v>0,00</v>
      </c>
      <c r="R1639" s="9" t="s">
        <v>42</v>
      </c>
      <c r="S1639" s="9">
        <f>COUNTIF(D1639,"*_SEG_*")</f>
        <v>0</v>
      </c>
      <c r="T1639" s="9">
        <f>COUNTIF(D1639,"*_MAN_*")</f>
        <v>0</v>
      </c>
      <c r="U1639" s="9">
        <f>(RIGHT(D1639,4))*1</f>
        <v>360</v>
      </c>
      <c r="V1639" s="9" t="str">
        <f>IFERROR(VLOOKUP(I1639,#REF!,2,0),"Sinalização")</f>
        <v>Sinalização</v>
      </c>
    </row>
    <row r="1640" spans="1:22" x14ac:dyDescent="0.25">
      <c r="A1640" s="3" t="s">
        <v>22</v>
      </c>
      <c r="B1640" s="4">
        <v>22587017</v>
      </c>
      <c r="C1640" s="5" t="s">
        <v>23</v>
      </c>
      <c r="D1640" s="6" t="s">
        <v>58</v>
      </c>
      <c r="E1640" s="6" t="s">
        <v>25</v>
      </c>
      <c r="F1640" s="11">
        <v>46149</v>
      </c>
      <c r="G1640" s="6" t="s">
        <v>1079</v>
      </c>
      <c r="H1640" s="7"/>
      <c r="I1640" s="7" t="s">
        <v>60</v>
      </c>
      <c r="J1640" s="7" t="s">
        <v>51</v>
      </c>
      <c r="K1640" s="7" t="s">
        <v>29</v>
      </c>
      <c r="L1640" s="3" t="str">
        <f>E1640&amp;D1640</f>
        <v>E.SP.IPAEE_INS_CONF_C_I_BAT ESTAC B-LFR_0360</v>
      </c>
      <c r="M1640" s="3" t="str">
        <f>IFERROR(MID(D1640,SEARCH("S_I_",D1640,1),3),"")</f>
        <v/>
      </c>
      <c r="N1640" s="3" t="str">
        <f>IFERROR(MID(D1640,SEARCH("C_I_",D1640,1),3),"")</f>
        <v>C_I</v>
      </c>
      <c r="O1640" s="3" t="str">
        <f>IF(AND(M1640="",N1640=""),"Extra","")</f>
        <v/>
      </c>
      <c r="P1640" s="3" t="str">
        <f>IF(Q1640=0,"TERCEIRO","MRS")</f>
        <v>MRS</v>
      </c>
      <c r="Q1640" s="8" t="str">
        <f>IFERROR(VLOOKUP(L1640,#REF!,4,0),"0,00")</f>
        <v>0,00</v>
      </c>
      <c r="R1640" s="9" t="s">
        <v>42</v>
      </c>
      <c r="S1640" s="9">
        <f>COUNTIF(D1640,"*_SEG_*")</f>
        <v>0</v>
      </c>
      <c r="T1640" s="9">
        <f>COUNTIF(D1640,"*_MAN_*")</f>
        <v>0</v>
      </c>
      <c r="U1640" s="9">
        <f>(RIGHT(D1640,4))*1</f>
        <v>360</v>
      </c>
      <c r="V1640" s="9" t="str">
        <f>IFERROR(VLOOKUP(I1640,#REF!,2,0),"Sinalização")</f>
        <v>Sinalização</v>
      </c>
    </row>
    <row r="1641" spans="1:22" x14ac:dyDescent="0.25">
      <c r="A1641" s="3" t="s">
        <v>22</v>
      </c>
      <c r="B1641" s="4">
        <v>22588794</v>
      </c>
      <c r="C1641" s="5" t="s">
        <v>23</v>
      </c>
      <c r="D1641" s="6" t="s">
        <v>61</v>
      </c>
      <c r="E1641" s="6" t="s">
        <v>25</v>
      </c>
      <c r="F1641" s="11">
        <v>46149</v>
      </c>
      <c r="G1641" s="6" t="s">
        <v>1079</v>
      </c>
      <c r="H1641" s="7"/>
      <c r="I1641" s="7" t="s">
        <v>62</v>
      </c>
      <c r="J1641" s="7" t="s">
        <v>63</v>
      </c>
      <c r="K1641" s="7" t="s">
        <v>29</v>
      </c>
      <c r="L1641" s="3" t="str">
        <f>E1641&amp;D1641</f>
        <v>E.SP.IPAEE_INS_CONF_S_I_BAT ESTAC BDD_0360</v>
      </c>
      <c r="M1641" s="3" t="str">
        <f>IFERROR(MID(D1641,SEARCH("S_I_",D1641,1),3),"")</f>
        <v>S_I</v>
      </c>
      <c r="N1641" s="3" t="str">
        <f>IFERROR(MID(D1641,SEARCH("C_I_",D1641,1),3),"")</f>
        <v/>
      </c>
      <c r="O1641" s="3" t="str">
        <f>IF(AND(M1641="",N1641=""),"Extra","")</f>
        <v/>
      </c>
      <c r="P1641" s="3" t="str">
        <f>IF(Q1641=0,"TERCEIRO","MRS")</f>
        <v>MRS</v>
      </c>
      <c r="Q1641" s="8" t="str">
        <f>IFERROR(VLOOKUP(L1641,#REF!,4,0),"0,00")</f>
        <v>0,00</v>
      </c>
      <c r="R1641" s="9" t="s">
        <v>42</v>
      </c>
      <c r="S1641" s="9">
        <f>COUNTIF(D1641,"*_SEG_*")</f>
        <v>0</v>
      </c>
      <c r="T1641" s="9">
        <f>COUNTIF(D1641,"*_MAN_*")</f>
        <v>0</v>
      </c>
      <c r="U1641" s="9">
        <f>(RIGHT(D1641,4))*1</f>
        <v>360</v>
      </c>
      <c r="V1641" s="9" t="str">
        <f>IFERROR(VLOOKUP(I1641,#REF!,2,0),"Sinalização")</f>
        <v>Sinalização</v>
      </c>
    </row>
    <row r="1642" spans="1:22" x14ac:dyDescent="0.25">
      <c r="A1642" s="3" t="s">
        <v>22</v>
      </c>
      <c r="B1642" s="4">
        <v>22588820</v>
      </c>
      <c r="C1642" s="5" t="s">
        <v>23</v>
      </c>
      <c r="D1642" s="6" t="s">
        <v>64</v>
      </c>
      <c r="E1642" s="6" t="s">
        <v>25</v>
      </c>
      <c r="F1642" s="11">
        <v>46149</v>
      </c>
      <c r="G1642" s="6" t="s">
        <v>1079</v>
      </c>
      <c r="H1642" s="7"/>
      <c r="I1642" s="7" t="s">
        <v>60</v>
      </c>
      <c r="J1642" s="7" t="s">
        <v>65</v>
      </c>
      <c r="K1642" s="7" t="s">
        <v>29</v>
      </c>
      <c r="L1642" s="3" t="str">
        <f>E1642&amp;D1642</f>
        <v>E.SP.IPAEE_MAN_CONF_S_I_BAT ESTAC B-LFR_0090</v>
      </c>
      <c r="M1642" s="3" t="str">
        <f>IFERROR(MID(D1642,SEARCH("S_I_",D1642,1),3),"")</f>
        <v>S_I</v>
      </c>
      <c r="N1642" s="3" t="str">
        <f>IFERROR(MID(D1642,SEARCH("C_I_",D1642,1),3),"")</f>
        <v/>
      </c>
      <c r="O1642" s="3" t="str">
        <f>IF(AND(M1642="",N1642=""),"Extra","")</f>
        <v/>
      </c>
      <c r="P1642" s="3" t="str">
        <f>IF(Q1642=0,"TERCEIRO","MRS")</f>
        <v>MRS</v>
      </c>
      <c r="Q1642" s="8" t="str">
        <f>IFERROR(VLOOKUP(L1642,#REF!,4,0),"0,00")</f>
        <v>0,00</v>
      </c>
      <c r="R1642" s="9" t="s">
        <v>42</v>
      </c>
      <c r="S1642" s="9">
        <f>COUNTIF(D1642,"*_SEG_*")</f>
        <v>0</v>
      </c>
      <c r="T1642" s="9">
        <f>COUNTIF(D1642,"*_MAN_*")</f>
        <v>1</v>
      </c>
      <c r="U1642" s="9">
        <f>(RIGHT(D1642,4))*1</f>
        <v>90</v>
      </c>
      <c r="V1642" s="9" t="str">
        <f>IFERROR(VLOOKUP(I1642,#REF!,2,0),"Sinalização")</f>
        <v>Sinalização</v>
      </c>
    </row>
    <row r="1643" spans="1:22" x14ac:dyDescent="0.25">
      <c r="A1643" s="3" t="s">
        <v>22</v>
      </c>
      <c r="B1643" s="4">
        <v>22588847</v>
      </c>
      <c r="C1643" s="5" t="s">
        <v>23</v>
      </c>
      <c r="D1643" s="6" t="s">
        <v>66</v>
      </c>
      <c r="E1643" s="6" t="s">
        <v>25</v>
      </c>
      <c r="F1643" s="11">
        <v>46149</v>
      </c>
      <c r="G1643" s="6" t="s">
        <v>1079</v>
      </c>
      <c r="H1643" s="7"/>
      <c r="I1643" s="7" t="s">
        <v>67</v>
      </c>
      <c r="J1643" s="7" t="s">
        <v>68</v>
      </c>
      <c r="K1643" s="7" t="s">
        <v>29</v>
      </c>
      <c r="L1643" s="3" t="str">
        <f>E1643&amp;D1643</f>
        <v>E.SP.IPAEE_INS_CONF_S_I_SINAL L UNIFO CONT_0360</v>
      </c>
      <c r="M1643" s="3" t="str">
        <f>IFERROR(MID(D1643,SEARCH("S_I_",D1643,1),3),"")</f>
        <v>S_I</v>
      </c>
      <c r="N1643" s="3" t="str">
        <f>IFERROR(MID(D1643,SEARCH("C_I_",D1643,1),3),"")</f>
        <v/>
      </c>
      <c r="O1643" s="3" t="str">
        <f>IF(AND(M1643="",N1643=""),"Extra","")</f>
        <v/>
      </c>
      <c r="P1643" s="3" t="str">
        <f>IF(Q1643=0,"TERCEIRO","MRS")</f>
        <v>MRS</v>
      </c>
      <c r="Q1643" s="8" t="str">
        <f>IFERROR(VLOOKUP(L1643,#REF!,4,0),"0,00")</f>
        <v>0,00</v>
      </c>
      <c r="R1643" s="9" t="s">
        <v>57</v>
      </c>
      <c r="S1643" s="9">
        <f>COUNTIF(D1643,"*_SEG_*")</f>
        <v>0</v>
      </c>
      <c r="T1643" s="9">
        <f>COUNTIF(D1643,"*_MAN_*")</f>
        <v>0</v>
      </c>
      <c r="U1643" s="9">
        <f>(RIGHT(D1643,4))*1</f>
        <v>360</v>
      </c>
      <c r="V1643" s="9" t="str">
        <f>IFERROR(VLOOKUP(I1643,#REF!,2,0),"Sinalização")</f>
        <v>Sinalização</v>
      </c>
    </row>
    <row r="1644" spans="1:22" x14ac:dyDescent="0.25">
      <c r="A1644" s="3" t="s">
        <v>22</v>
      </c>
      <c r="B1644" s="4">
        <v>22588848</v>
      </c>
      <c r="C1644" s="5" t="s">
        <v>23</v>
      </c>
      <c r="D1644" s="6" t="s">
        <v>66</v>
      </c>
      <c r="E1644" s="6" t="s">
        <v>25</v>
      </c>
      <c r="F1644" s="11">
        <v>46149</v>
      </c>
      <c r="G1644" s="6" t="s">
        <v>1079</v>
      </c>
      <c r="H1644" s="7"/>
      <c r="I1644" s="7" t="s">
        <v>69</v>
      </c>
      <c r="J1644" s="7" t="s">
        <v>68</v>
      </c>
      <c r="K1644" s="7" t="s">
        <v>29</v>
      </c>
      <c r="L1644" s="3" t="str">
        <f>E1644&amp;D1644</f>
        <v>E.SP.IPAEE_INS_CONF_S_I_SINAL L UNIFO CONT_0360</v>
      </c>
      <c r="M1644" s="3" t="str">
        <f>IFERROR(MID(D1644,SEARCH("S_I_",D1644,1),3),"")</f>
        <v>S_I</v>
      </c>
      <c r="N1644" s="3" t="str">
        <f>IFERROR(MID(D1644,SEARCH("C_I_",D1644,1),3),"")</f>
        <v/>
      </c>
      <c r="O1644" s="3" t="str">
        <f>IF(AND(M1644="",N1644=""),"Extra","")</f>
        <v/>
      </c>
      <c r="P1644" s="3" t="str">
        <f>IF(Q1644=0,"TERCEIRO","MRS")</f>
        <v>MRS</v>
      </c>
      <c r="Q1644" s="8" t="str">
        <f>IFERROR(VLOOKUP(L1644,#REF!,4,0),"0,00")</f>
        <v>0,00</v>
      </c>
      <c r="R1644" s="9" t="s">
        <v>57</v>
      </c>
      <c r="S1644" s="9">
        <f>COUNTIF(D1644,"*_SEG_*")</f>
        <v>0</v>
      </c>
      <c r="T1644" s="9">
        <f>COUNTIF(D1644,"*_MAN_*")</f>
        <v>0</v>
      </c>
      <c r="U1644" s="9">
        <f>(RIGHT(D1644,4))*1</f>
        <v>360</v>
      </c>
      <c r="V1644" s="9" t="str">
        <f>IFERROR(VLOOKUP(I1644,#REF!,2,0),"Sinalização")</f>
        <v>Sinalização</v>
      </c>
    </row>
    <row r="1645" spans="1:22" x14ac:dyDescent="0.25">
      <c r="A1645" s="3" t="s">
        <v>22</v>
      </c>
      <c r="B1645" s="4">
        <v>22588849</v>
      </c>
      <c r="C1645" s="5" t="s">
        <v>23</v>
      </c>
      <c r="D1645" s="6" t="s">
        <v>66</v>
      </c>
      <c r="E1645" s="6" t="s">
        <v>25</v>
      </c>
      <c r="F1645" s="11">
        <v>46149</v>
      </c>
      <c r="G1645" s="6" t="s">
        <v>1079</v>
      </c>
      <c r="H1645" s="7"/>
      <c r="I1645" s="7" t="s">
        <v>70</v>
      </c>
      <c r="J1645" s="7" t="s">
        <v>68</v>
      </c>
      <c r="K1645" s="7" t="s">
        <v>29</v>
      </c>
      <c r="L1645" s="3" t="str">
        <f>E1645&amp;D1645</f>
        <v>E.SP.IPAEE_INS_CONF_S_I_SINAL L UNIFO CONT_0360</v>
      </c>
      <c r="M1645" s="3" t="str">
        <f>IFERROR(MID(D1645,SEARCH("S_I_",D1645,1),3),"")</f>
        <v>S_I</v>
      </c>
      <c r="N1645" s="3" t="str">
        <f>IFERROR(MID(D1645,SEARCH("C_I_",D1645,1),3),"")</f>
        <v/>
      </c>
      <c r="O1645" s="3" t="str">
        <f>IF(AND(M1645="",N1645=""),"Extra","")</f>
        <v/>
      </c>
      <c r="P1645" s="3" t="str">
        <f>IF(Q1645=0,"TERCEIRO","MRS")</f>
        <v>MRS</v>
      </c>
      <c r="Q1645" s="8" t="str">
        <f>IFERROR(VLOOKUP(L1645,#REF!,4,0),"0,00")</f>
        <v>0,00</v>
      </c>
      <c r="R1645" s="9" t="s">
        <v>57</v>
      </c>
      <c r="S1645" s="9">
        <f>COUNTIF(D1645,"*_SEG_*")</f>
        <v>0</v>
      </c>
      <c r="T1645" s="9">
        <f>COUNTIF(D1645,"*_MAN_*")</f>
        <v>0</v>
      </c>
      <c r="U1645" s="9">
        <f>(RIGHT(D1645,4))*1</f>
        <v>360</v>
      </c>
      <c r="V1645" s="9" t="str">
        <f>IFERROR(VLOOKUP(I1645,#REF!,2,0),"Sinalização")</f>
        <v>Sinalização</v>
      </c>
    </row>
    <row r="1646" spans="1:22" x14ac:dyDescent="0.25">
      <c r="A1646" s="3" t="s">
        <v>22</v>
      </c>
      <c r="B1646" s="4">
        <v>22588850</v>
      </c>
      <c r="C1646" s="5" t="s">
        <v>23</v>
      </c>
      <c r="D1646" s="6" t="s">
        <v>66</v>
      </c>
      <c r="E1646" s="6" t="s">
        <v>25</v>
      </c>
      <c r="F1646" s="11">
        <v>46149</v>
      </c>
      <c r="G1646" s="6" t="s">
        <v>1079</v>
      </c>
      <c r="H1646" s="7"/>
      <c r="I1646" s="7" t="s">
        <v>71</v>
      </c>
      <c r="J1646" s="7" t="s">
        <v>68</v>
      </c>
      <c r="K1646" s="7" t="s">
        <v>29</v>
      </c>
      <c r="L1646" s="3" t="str">
        <f>E1646&amp;D1646</f>
        <v>E.SP.IPAEE_INS_CONF_S_I_SINAL L UNIFO CONT_0360</v>
      </c>
      <c r="M1646" s="3" t="str">
        <f>IFERROR(MID(D1646,SEARCH("S_I_",D1646,1),3),"")</f>
        <v>S_I</v>
      </c>
      <c r="N1646" s="3" t="str">
        <f>IFERROR(MID(D1646,SEARCH("C_I_",D1646,1),3),"")</f>
        <v/>
      </c>
      <c r="O1646" s="3" t="str">
        <f>IF(AND(M1646="",N1646=""),"Extra","")</f>
        <v/>
      </c>
      <c r="P1646" s="3" t="str">
        <f>IF(Q1646=0,"TERCEIRO","MRS")</f>
        <v>MRS</v>
      </c>
      <c r="Q1646" s="8" t="str">
        <f>IFERROR(VLOOKUP(L1646,#REF!,4,0),"0,00")</f>
        <v>0,00</v>
      </c>
      <c r="R1646" s="9" t="s">
        <v>57</v>
      </c>
      <c r="S1646" s="9">
        <f>COUNTIF(D1646,"*_SEG_*")</f>
        <v>0</v>
      </c>
      <c r="T1646" s="9">
        <f>COUNTIF(D1646,"*_MAN_*")</f>
        <v>0</v>
      </c>
      <c r="U1646" s="9">
        <f>(RIGHT(D1646,4))*1</f>
        <v>360</v>
      </c>
      <c r="V1646" s="9" t="str">
        <f>IFERROR(VLOOKUP(I1646,#REF!,2,0),"Sinalização")</f>
        <v>Sinalização</v>
      </c>
    </row>
    <row r="1647" spans="1:22" x14ac:dyDescent="0.25">
      <c r="A1647" s="3" t="s">
        <v>22</v>
      </c>
      <c r="B1647" s="4">
        <v>22588851</v>
      </c>
      <c r="C1647" s="5" t="s">
        <v>23</v>
      </c>
      <c r="D1647" s="6" t="s">
        <v>66</v>
      </c>
      <c r="E1647" s="6" t="s">
        <v>25</v>
      </c>
      <c r="F1647" s="11">
        <v>46149</v>
      </c>
      <c r="G1647" s="6" t="s">
        <v>1079</v>
      </c>
      <c r="H1647" s="7"/>
      <c r="I1647" s="7" t="s">
        <v>72</v>
      </c>
      <c r="J1647" s="7" t="s">
        <v>68</v>
      </c>
      <c r="K1647" s="7" t="s">
        <v>29</v>
      </c>
      <c r="L1647" s="3" t="str">
        <f>E1647&amp;D1647</f>
        <v>E.SP.IPAEE_INS_CONF_S_I_SINAL L UNIFO CONT_0360</v>
      </c>
      <c r="M1647" s="3" t="str">
        <f>IFERROR(MID(D1647,SEARCH("S_I_",D1647,1),3),"")</f>
        <v>S_I</v>
      </c>
      <c r="N1647" s="3" t="str">
        <f>IFERROR(MID(D1647,SEARCH("C_I_",D1647,1),3),"")</f>
        <v/>
      </c>
      <c r="O1647" s="3" t="str">
        <f>IF(AND(M1647="",N1647=""),"Extra","")</f>
        <v/>
      </c>
      <c r="P1647" s="3" t="str">
        <f>IF(Q1647=0,"TERCEIRO","MRS")</f>
        <v>MRS</v>
      </c>
      <c r="Q1647" s="8" t="str">
        <f>IFERROR(VLOOKUP(L1647,#REF!,4,0),"0,00")</f>
        <v>0,00</v>
      </c>
      <c r="R1647" s="9" t="s">
        <v>57</v>
      </c>
      <c r="S1647" s="9">
        <f>COUNTIF(D1647,"*_SEG_*")</f>
        <v>0</v>
      </c>
      <c r="T1647" s="9">
        <f>COUNTIF(D1647,"*_MAN_*")</f>
        <v>0</v>
      </c>
      <c r="U1647" s="9">
        <f>(RIGHT(D1647,4))*1</f>
        <v>360</v>
      </c>
      <c r="V1647" s="9" t="str">
        <f>IFERROR(VLOOKUP(I1647,#REF!,2,0),"Sinalização")</f>
        <v>Sinalização</v>
      </c>
    </row>
    <row r="1648" spans="1:22" x14ac:dyDescent="0.25">
      <c r="A1648" s="3" t="s">
        <v>22</v>
      </c>
      <c r="B1648" s="4">
        <v>22588852</v>
      </c>
      <c r="C1648" s="5" t="s">
        <v>23</v>
      </c>
      <c r="D1648" s="6" t="s">
        <v>66</v>
      </c>
      <c r="E1648" s="6" t="s">
        <v>25</v>
      </c>
      <c r="F1648" s="11">
        <v>46149</v>
      </c>
      <c r="G1648" s="6" t="s">
        <v>1079</v>
      </c>
      <c r="H1648" s="7"/>
      <c r="I1648" s="7" t="s">
        <v>73</v>
      </c>
      <c r="J1648" s="7" t="s">
        <v>68</v>
      </c>
      <c r="K1648" s="7" t="s">
        <v>29</v>
      </c>
      <c r="L1648" s="3" t="str">
        <f>E1648&amp;D1648</f>
        <v>E.SP.IPAEE_INS_CONF_S_I_SINAL L UNIFO CONT_0360</v>
      </c>
      <c r="M1648" s="3" t="str">
        <f>IFERROR(MID(D1648,SEARCH("S_I_",D1648,1),3),"")</f>
        <v>S_I</v>
      </c>
      <c r="N1648" s="3" t="str">
        <f>IFERROR(MID(D1648,SEARCH("C_I_",D1648,1),3),"")</f>
        <v/>
      </c>
      <c r="O1648" s="3" t="str">
        <f>IF(AND(M1648="",N1648=""),"Extra","")</f>
        <v/>
      </c>
      <c r="P1648" s="3" t="str">
        <f>IF(Q1648=0,"TERCEIRO","MRS")</f>
        <v>MRS</v>
      </c>
      <c r="Q1648" s="8" t="str">
        <f>IFERROR(VLOOKUP(L1648,#REF!,4,0),"0,00")</f>
        <v>0,00</v>
      </c>
      <c r="R1648" s="9" t="s">
        <v>57</v>
      </c>
      <c r="S1648" s="9">
        <f>COUNTIF(D1648,"*_SEG_*")</f>
        <v>0</v>
      </c>
      <c r="T1648" s="9">
        <f>COUNTIF(D1648,"*_MAN_*")</f>
        <v>0</v>
      </c>
      <c r="U1648" s="9">
        <f>(RIGHT(D1648,4))*1</f>
        <v>360</v>
      </c>
      <c r="V1648" s="9" t="str">
        <f>IFERROR(VLOOKUP(I1648,#REF!,2,0),"Sinalização")</f>
        <v>Sinalização</v>
      </c>
    </row>
    <row r="1649" spans="1:22" x14ac:dyDescent="0.25">
      <c r="A1649" s="3" t="s">
        <v>22</v>
      </c>
      <c r="B1649" s="4">
        <v>22588853</v>
      </c>
      <c r="C1649" s="5" t="s">
        <v>23</v>
      </c>
      <c r="D1649" s="6" t="s">
        <v>66</v>
      </c>
      <c r="E1649" s="6" t="s">
        <v>25</v>
      </c>
      <c r="F1649" s="11">
        <v>46149</v>
      </c>
      <c r="G1649" s="6" t="s">
        <v>1079</v>
      </c>
      <c r="H1649" s="7"/>
      <c r="I1649" s="7" t="s">
        <v>74</v>
      </c>
      <c r="J1649" s="7" t="s">
        <v>68</v>
      </c>
      <c r="K1649" s="7" t="s">
        <v>29</v>
      </c>
      <c r="L1649" s="3" t="str">
        <f>E1649&amp;D1649</f>
        <v>E.SP.IPAEE_INS_CONF_S_I_SINAL L UNIFO CONT_0360</v>
      </c>
      <c r="M1649" s="3" t="str">
        <f>IFERROR(MID(D1649,SEARCH("S_I_",D1649,1),3),"")</f>
        <v>S_I</v>
      </c>
      <c r="N1649" s="3" t="str">
        <f>IFERROR(MID(D1649,SEARCH("C_I_",D1649,1),3),"")</f>
        <v/>
      </c>
      <c r="O1649" s="3" t="str">
        <f>IF(AND(M1649="",N1649=""),"Extra","")</f>
        <v/>
      </c>
      <c r="P1649" s="3" t="str">
        <f>IF(Q1649=0,"TERCEIRO","MRS")</f>
        <v>MRS</v>
      </c>
      <c r="Q1649" s="8" t="str">
        <f>IFERROR(VLOOKUP(L1649,#REF!,4,0),"0,00")</f>
        <v>0,00</v>
      </c>
      <c r="R1649" s="9" t="s">
        <v>57</v>
      </c>
      <c r="S1649" s="9">
        <f>COUNTIF(D1649,"*_SEG_*")</f>
        <v>0</v>
      </c>
      <c r="T1649" s="9">
        <f>COUNTIF(D1649,"*_MAN_*")</f>
        <v>0</v>
      </c>
      <c r="U1649" s="9">
        <f>(RIGHT(D1649,4))*1</f>
        <v>360</v>
      </c>
      <c r="V1649" s="9" t="str">
        <f>IFERROR(VLOOKUP(I1649,#REF!,2,0),"Sinalização")</f>
        <v>Sinalização</v>
      </c>
    </row>
    <row r="1650" spans="1:22" x14ac:dyDescent="0.25">
      <c r="A1650" s="3" t="s">
        <v>22</v>
      </c>
      <c r="B1650" s="4">
        <v>22588854</v>
      </c>
      <c r="C1650" s="5" t="s">
        <v>23</v>
      </c>
      <c r="D1650" s="6" t="s">
        <v>66</v>
      </c>
      <c r="E1650" s="6" t="s">
        <v>25</v>
      </c>
      <c r="F1650" s="11">
        <v>46149</v>
      </c>
      <c r="G1650" s="6" t="s">
        <v>1079</v>
      </c>
      <c r="H1650" s="7"/>
      <c r="I1650" s="7" t="s">
        <v>75</v>
      </c>
      <c r="J1650" s="7" t="s">
        <v>68</v>
      </c>
      <c r="K1650" s="7" t="s">
        <v>29</v>
      </c>
      <c r="L1650" s="3" t="str">
        <f>E1650&amp;D1650</f>
        <v>E.SP.IPAEE_INS_CONF_S_I_SINAL L UNIFO CONT_0360</v>
      </c>
      <c r="M1650" s="3" t="str">
        <f>IFERROR(MID(D1650,SEARCH("S_I_",D1650,1),3),"")</f>
        <v>S_I</v>
      </c>
      <c r="N1650" s="3" t="str">
        <f>IFERROR(MID(D1650,SEARCH("C_I_",D1650,1),3),"")</f>
        <v/>
      </c>
      <c r="O1650" s="3" t="str">
        <f>IF(AND(M1650="",N1650=""),"Extra","")</f>
        <v/>
      </c>
      <c r="P1650" s="3" t="str">
        <f>IF(Q1650=0,"TERCEIRO","MRS")</f>
        <v>MRS</v>
      </c>
      <c r="Q1650" s="8" t="str">
        <f>IFERROR(VLOOKUP(L1650,#REF!,4,0),"0,00")</f>
        <v>0,00</v>
      </c>
      <c r="R1650" s="9" t="s">
        <v>57</v>
      </c>
      <c r="S1650" s="9">
        <f>COUNTIF(D1650,"*_SEG_*")</f>
        <v>0</v>
      </c>
      <c r="T1650" s="9">
        <f>COUNTIF(D1650,"*_MAN_*")</f>
        <v>0</v>
      </c>
      <c r="U1650" s="9">
        <f>(RIGHT(D1650,4))*1</f>
        <v>360</v>
      </c>
      <c r="V1650" s="9" t="str">
        <f>IFERROR(VLOOKUP(I1650,#REF!,2,0),"Sinalização")</f>
        <v>Sinalização</v>
      </c>
    </row>
    <row r="1651" spans="1:22" x14ac:dyDescent="0.25">
      <c r="A1651" s="3" t="s">
        <v>22</v>
      </c>
      <c r="B1651" s="4">
        <v>22588855</v>
      </c>
      <c r="C1651" s="5" t="s">
        <v>23</v>
      </c>
      <c r="D1651" s="6" t="s">
        <v>76</v>
      </c>
      <c r="E1651" s="6" t="s">
        <v>25</v>
      </c>
      <c r="F1651" s="11">
        <v>46149</v>
      </c>
      <c r="G1651" s="6" t="s">
        <v>1079</v>
      </c>
      <c r="H1651" s="7"/>
      <c r="I1651" s="7" t="s">
        <v>50</v>
      </c>
      <c r="J1651" s="7" t="s">
        <v>77</v>
      </c>
      <c r="K1651" s="7" t="s">
        <v>29</v>
      </c>
      <c r="L1651" s="3" t="str">
        <f>E1651&amp;D1651</f>
        <v>E.SP.IPAEE_MAN_CONF_S_I_BAT ESTAC SINAL_0090</v>
      </c>
      <c r="M1651" s="3" t="str">
        <f>IFERROR(MID(D1651,SEARCH("S_I_",D1651,1),3),"")</f>
        <v>S_I</v>
      </c>
      <c r="N1651" s="3" t="str">
        <f>IFERROR(MID(D1651,SEARCH("C_I_",D1651,1),3),"")</f>
        <v/>
      </c>
      <c r="O1651" s="3" t="str">
        <f>IF(AND(M1651="",N1651=""),"Extra","")</f>
        <v/>
      </c>
      <c r="P1651" s="3" t="str">
        <f>IF(Q1651=0,"TERCEIRO","MRS")</f>
        <v>MRS</v>
      </c>
      <c r="Q1651" s="8" t="str">
        <f>IFERROR(VLOOKUP(L1651,#REF!,4,0),"0,00")</f>
        <v>0,00</v>
      </c>
      <c r="R1651" s="9" t="s">
        <v>42</v>
      </c>
      <c r="S1651" s="9">
        <f>COUNTIF(D1651,"*_SEG_*")</f>
        <v>0</v>
      </c>
      <c r="T1651" s="9">
        <f>COUNTIF(D1651,"*_MAN_*")</f>
        <v>1</v>
      </c>
      <c r="U1651" s="9">
        <f>(RIGHT(D1651,4))*1</f>
        <v>90</v>
      </c>
      <c r="V1651" s="9" t="str">
        <f>IFERROR(VLOOKUP(I1651,#REF!,2,0),"Sinalização")</f>
        <v>Sinalização</v>
      </c>
    </row>
    <row r="1652" spans="1:22" x14ac:dyDescent="0.25">
      <c r="A1652" s="3" t="s">
        <v>22</v>
      </c>
      <c r="B1652" s="4">
        <v>22588856</v>
      </c>
      <c r="C1652" s="5" t="s">
        <v>23</v>
      </c>
      <c r="D1652" s="6" t="s">
        <v>76</v>
      </c>
      <c r="E1652" s="6" t="s">
        <v>25</v>
      </c>
      <c r="F1652" s="11">
        <v>46149</v>
      </c>
      <c r="G1652" s="6" t="s">
        <v>1079</v>
      </c>
      <c r="H1652" s="7"/>
      <c r="I1652" s="7" t="s">
        <v>52</v>
      </c>
      <c r="J1652" s="7" t="s">
        <v>77</v>
      </c>
      <c r="K1652" s="7" t="s">
        <v>29</v>
      </c>
      <c r="L1652" s="3" t="str">
        <f>E1652&amp;D1652</f>
        <v>E.SP.IPAEE_MAN_CONF_S_I_BAT ESTAC SINAL_0090</v>
      </c>
      <c r="M1652" s="3" t="str">
        <f>IFERROR(MID(D1652,SEARCH("S_I_",D1652,1),3),"")</f>
        <v>S_I</v>
      </c>
      <c r="N1652" s="3" t="str">
        <f>IFERROR(MID(D1652,SEARCH("C_I_",D1652,1),3),"")</f>
        <v/>
      </c>
      <c r="O1652" s="3" t="str">
        <f>IF(AND(M1652="",N1652=""),"Extra","")</f>
        <v/>
      </c>
      <c r="P1652" s="3" t="str">
        <f>IF(Q1652=0,"TERCEIRO","MRS")</f>
        <v>MRS</v>
      </c>
      <c r="Q1652" s="8" t="str">
        <f>IFERROR(VLOOKUP(L1652,#REF!,4,0),"0,00")</f>
        <v>0,00</v>
      </c>
      <c r="R1652" s="9" t="s">
        <v>42</v>
      </c>
      <c r="S1652" s="9">
        <f>COUNTIF(D1652,"*_SEG_*")</f>
        <v>0</v>
      </c>
      <c r="T1652" s="9">
        <f>COUNTIF(D1652,"*_MAN_*")</f>
        <v>1</v>
      </c>
      <c r="U1652" s="9">
        <f>(RIGHT(D1652,4))*1</f>
        <v>90</v>
      </c>
      <c r="V1652" s="9" t="str">
        <f>IFERROR(VLOOKUP(I1652,#REF!,2,0),"Sinalização")</f>
        <v>Sinalização</v>
      </c>
    </row>
    <row r="1653" spans="1:22" x14ac:dyDescent="0.25">
      <c r="A1653" s="3" t="s">
        <v>22</v>
      </c>
      <c r="B1653" s="4">
        <v>22588857</v>
      </c>
      <c r="C1653" s="5" t="s">
        <v>23</v>
      </c>
      <c r="D1653" s="6" t="s">
        <v>76</v>
      </c>
      <c r="E1653" s="6" t="s">
        <v>25</v>
      </c>
      <c r="F1653" s="11">
        <v>46149</v>
      </c>
      <c r="G1653" s="6" t="s">
        <v>1079</v>
      </c>
      <c r="H1653" s="7"/>
      <c r="I1653" s="7" t="s">
        <v>53</v>
      </c>
      <c r="J1653" s="7" t="s">
        <v>77</v>
      </c>
      <c r="K1653" s="7" t="s">
        <v>29</v>
      </c>
      <c r="L1653" s="3" t="str">
        <f>E1653&amp;D1653</f>
        <v>E.SP.IPAEE_MAN_CONF_S_I_BAT ESTAC SINAL_0090</v>
      </c>
      <c r="M1653" s="3" t="str">
        <f>IFERROR(MID(D1653,SEARCH("S_I_",D1653,1),3),"")</f>
        <v>S_I</v>
      </c>
      <c r="N1653" s="3" t="str">
        <f>IFERROR(MID(D1653,SEARCH("C_I_",D1653,1),3),"")</f>
        <v/>
      </c>
      <c r="O1653" s="3" t="str">
        <f>IF(AND(M1653="",N1653=""),"Extra","")</f>
        <v/>
      </c>
      <c r="P1653" s="3" t="str">
        <f>IF(Q1653=0,"TERCEIRO","MRS")</f>
        <v>MRS</v>
      </c>
      <c r="Q1653" s="8" t="str">
        <f>IFERROR(VLOOKUP(L1653,#REF!,4,0),"0,00")</f>
        <v>0,00</v>
      </c>
      <c r="R1653" s="9" t="s">
        <v>42</v>
      </c>
      <c r="S1653" s="9">
        <f>COUNTIF(D1653,"*_SEG_*")</f>
        <v>0</v>
      </c>
      <c r="T1653" s="9">
        <f>COUNTIF(D1653,"*_MAN_*")</f>
        <v>1</v>
      </c>
      <c r="U1653" s="9">
        <f>(RIGHT(D1653,4))*1</f>
        <v>90</v>
      </c>
      <c r="V1653" s="9" t="str">
        <f>IFERROR(VLOOKUP(I1653,#REF!,2,0),"Sinalização")</f>
        <v>Sinalização</v>
      </c>
    </row>
    <row r="1654" spans="1:22" x14ac:dyDescent="0.25">
      <c r="A1654" s="3" t="s">
        <v>22</v>
      </c>
      <c r="B1654" s="4">
        <v>22588860</v>
      </c>
      <c r="C1654" s="5" t="s">
        <v>23</v>
      </c>
      <c r="D1654" s="6" t="s">
        <v>66</v>
      </c>
      <c r="E1654" s="6" t="s">
        <v>25</v>
      </c>
      <c r="F1654" s="11">
        <v>46149</v>
      </c>
      <c r="G1654" s="6" t="s">
        <v>1079</v>
      </c>
      <c r="H1654" s="7"/>
      <c r="I1654" s="7" t="s">
        <v>78</v>
      </c>
      <c r="J1654" s="7" t="s">
        <v>68</v>
      </c>
      <c r="K1654" s="7" t="s">
        <v>29</v>
      </c>
      <c r="L1654" s="3" t="str">
        <f>E1654&amp;D1654</f>
        <v>E.SP.IPAEE_INS_CONF_S_I_SINAL L UNIFO CONT_0360</v>
      </c>
      <c r="M1654" s="3" t="str">
        <f>IFERROR(MID(D1654,SEARCH("S_I_",D1654,1),3),"")</f>
        <v>S_I</v>
      </c>
      <c r="N1654" s="3" t="str">
        <f>IFERROR(MID(D1654,SEARCH("C_I_",D1654,1),3),"")</f>
        <v/>
      </c>
      <c r="O1654" s="3" t="str">
        <f>IF(AND(M1654="",N1654=""),"Extra","")</f>
        <v/>
      </c>
      <c r="P1654" s="3" t="str">
        <f>IF(Q1654=0,"TERCEIRO","MRS")</f>
        <v>MRS</v>
      </c>
      <c r="Q1654" s="8" t="str">
        <f>IFERROR(VLOOKUP(L1654,#REF!,4,0),"0,00")</f>
        <v>0,00</v>
      </c>
      <c r="R1654" s="9" t="s">
        <v>57</v>
      </c>
      <c r="S1654" s="9">
        <f>COUNTIF(D1654,"*_SEG_*")</f>
        <v>0</v>
      </c>
      <c r="T1654" s="9">
        <f>COUNTIF(D1654,"*_MAN_*")</f>
        <v>0</v>
      </c>
      <c r="U1654" s="9">
        <f>(RIGHT(D1654,4))*1</f>
        <v>360</v>
      </c>
      <c r="V1654" s="9" t="str">
        <f>IFERROR(VLOOKUP(I1654,#REF!,2,0),"Sinalização")</f>
        <v>Sinalização</v>
      </c>
    </row>
    <row r="1655" spans="1:22" x14ac:dyDescent="0.25">
      <c r="A1655" s="3" t="s">
        <v>22</v>
      </c>
      <c r="B1655" s="4">
        <v>23460632</v>
      </c>
      <c r="C1655" s="5" t="s">
        <v>23</v>
      </c>
      <c r="D1655" s="6" t="s">
        <v>851</v>
      </c>
      <c r="E1655" s="6" t="s">
        <v>25</v>
      </c>
      <c r="F1655" s="11">
        <v>46147</v>
      </c>
      <c r="G1655" s="6" t="s">
        <v>1079</v>
      </c>
      <c r="H1655" s="7"/>
      <c r="I1655" s="7" t="s">
        <v>852</v>
      </c>
      <c r="J1655" s="7" t="s">
        <v>853</v>
      </c>
      <c r="K1655" s="7" t="s">
        <v>29</v>
      </c>
      <c r="L1655" s="3" t="str">
        <f>E1655&amp;D1655</f>
        <v>E.SP.IPAEE_INS_CONF_S_I_TRAFO CORRENTE_0030</v>
      </c>
      <c r="M1655" s="3" t="str">
        <f>IFERROR(MID(D1655,SEARCH("S_I_",D1655,1),3),"")</f>
        <v>S_I</v>
      </c>
      <c r="N1655" s="3" t="str">
        <f>IFERROR(MID(D1655,SEARCH("C_I_",D1655,1),3),"")</f>
        <v/>
      </c>
      <c r="O1655" s="3" t="str">
        <f>IF(AND(M1655="",N1655=""),"Extra","")</f>
        <v/>
      </c>
      <c r="P1655" s="3" t="str">
        <f>IF(Q1655=0,"TERCEIRO","MRS")</f>
        <v>MRS</v>
      </c>
      <c r="Q1655" s="8" t="str">
        <f>IFERROR(VLOOKUP(L1655,#REF!,4,0),"0,00")</f>
        <v>0,00</v>
      </c>
      <c r="R1655" s="9" t="s">
        <v>98</v>
      </c>
      <c r="S1655" s="9">
        <f>COUNTIF(D1655,"*_SEG_*")</f>
        <v>0</v>
      </c>
      <c r="T1655" s="9">
        <f>COUNTIF(D1655,"*_MAN_*")</f>
        <v>0</v>
      </c>
      <c r="U1655" s="9">
        <f>(RIGHT(D1655,4))*1</f>
        <v>30</v>
      </c>
      <c r="V1655" s="9" t="str">
        <f>IFERROR(VLOOKUP(I1655,#REF!,2,0),"Sinalização")</f>
        <v>Sinalização</v>
      </c>
    </row>
    <row r="1656" spans="1:22" x14ac:dyDescent="0.25">
      <c r="A1656" s="3" t="s">
        <v>22</v>
      </c>
      <c r="B1656" s="4">
        <v>23460633</v>
      </c>
      <c r="C1656" s="5" t="s">
        <v>23</v>
      </c>
      <c r="D1656" s="6" t="s">
        <v>851</v>
      </c>
      <c r="E1656" s="6" t="s">
        <v>25</v>
      </c>
      <c r="F1656" s="11">
        <v>46147</v>
      </c>
      <c r="G1656" s="6" t="s">
        <v>1079</v>
      </c>
      <c r="H1656" s="7"/>
      <c r="I1656" s="7" t="s">
        <v>854</v>
      </c>
      <c r="J1656" s="7" t="s">
        <v>853</v>
      </c>
      <c r="K1656" s="7" t="s">
        <v>29</v>
      </c>
      <c r="L1656" s="3" t="str">
        <f>E1656&amp;D1656</f>
        <v>E.SP.IPAEE_INS_CONF_S_I_TRAFO CORRENTE_0030</v>
      </c>
      <c r="M1656" s="3" t="str">
        <f>IFERROR(MID(D1656,SEARCH("S_I_",D1656,1),3),"")</f>
        <v>S_I</v>
      </c>
      <c r="N1656" s="3" t="str">
        <f>IFERROR(MID(D1656,SEARCH("C_I_",D1656,1),3),"")</f>
        <v/>
      </c>
      <c r="O1656" s="3" t="str">
        <f>IF(AND(M1656="",N1656=""),"Extra","")</f>
        <v/>
      </c>
      <c r="P1656" s="3" t="str">
        <f>IF(Q1656=0,"TERCEIRO","MRS")</f>
        <v>MRS</v>
      </c>
      <c r="Q1656" s="8" t="str">
        <f>IFERROR(VLOOKUP(L1656,#REF!,4,0),"0,00")</f>
        <v>0,00</v>
      </c>
      <c r="R1656" s="9" t="s">
        <v>98</v>
      </c>
      <c r="S1656" s="9">
        <f>COUNTIF(D1656,"*_SEG_*")</f>
        <v>0</v>
      </c>
      <c r="T1656" s="9">
        <f>COUNTIF(D1656,"*_MAN_*")</f>
        <v>0</v>
      </c>
      <c r="U1656" s="9">
        <f>(RIGHT(D1656,4))*1</f>
        <v>30</v>
      </c>
      <c r="V1656" s="9" t="str">
        <f>IFERROR(VLOOKUP(I1656,#REF!,2,0),"Sinalização")</f>
        <v>Sinalização</v>
      </c>
    </row>
    <row r="1657" spans="1:22" x14ac:dyDescent="0.25">
      <c r="A1657" s="3" t="s">
        <v>22</v>
      </c>
      <c r="B1657" s="4">
        <v>23460634</v>
      </c>
      <c r="C1657" s="5" t="s">
        <v>23</v>
      </c>
      <c r="D1657" s="6" t="s">
        <v>851</v>
      </c>
      <c r="E1657" s="6" t="s">
        <v>25</v>
      </c>
      <c r="F1657" s="11">
        <v>46147</v>
      </c>
      <c r="G1657" s="6" t="s">
        <v>1079</v>
      </c>
      <c r="H1657" s="7"/>
      <c r="I1657" s="7" t="s">
        <v>855</v>
      </c>
      <c r="J1657" s="7" t="s">
        <v>853</v>
      </c>
      <c r="K1657" s="7" t="s">
        <v>29</v>
      </c>
      <c r="L1657" s="3" t="str">
        <f>E1657&amp;D1657</f>
        <v>E.SP.IPAEE_INS_CONF_S_I_TRAFO CORRENTE_0030</v>
      </c>
      <c r="M1657" s="3" t="str">
        <f>IFERROR(MID(D1657,SEARCH("S_I_",D1657,1),3),"")</f>
        <v>S_I</v>
      </c>
      <c r="N1657" s="3" t="str">
        <f>IFERROR(MID(D1657,SEARCH("C_I_",D1657,1),3),"")</f>
        <v/>
      </c>
      <c r="O1657" s="3" t="str">
        <f>IF(AND(M1657="",N1657=""),"Extra","")</f>
        <v/>
      </c>
      <c r="P1657" s="3" t="str">
        <f>IF(Q1657=0,"TERCEIRO","MRS")</f>
        <v>MRS</v>
      </c>
      <c r="Q1657" s="8" t="str">
        <f>IFERROR(VLOOKUP(L1657,#REF!,4,0),"0,00")</f>
        <v>0,00</v>
      </c>
      <c r="R1657" s="9" t="s">
        <v>98</v>
      </c>
      <c r="S1657" s="9">
        <f>COUNTIF(D1657,"*_SEG_*")</f>
        <v>0</v>
      </c>
      <c r="T1657" s="9">
        <f>COUNTIF(D1657,"*_MAN_*")</f>
        <v>0</v>
      </c>
      <c r="U1657" s="9">
        <f>(RIGHT(D1657,4))*1</f>
        <v>30</v>
      </c>
      <c r="V1657" s="9" t="str">
        <f>IFERROR(VLOOKUP(I1657,#REF!,2,0),"Sinalização")</f>
        <v>Sinalização</v>
      </c>
    </row>
    <row r="1658" spans="1:22" x14ac:dyDescent="0.25">
      <c r="A1658" s="3" t="s">
        <v>22</v>
      </c>
      <c r="B1658" s="4">
        <v>23460635</v>
      </c>
      <c r="C1658" s="5" t="s">
        <v>23</v>
      </c>
      <c r="D1658" s="6" t="s">
        <v>851</v>
      </c>
      <c r="E1658" s="6" t="s">
        <v>25</v>
      </c>
      <c r="F1658" s="11">
        <v>46147</v>
      </c>
      <c r="G1658" s="6" t="s">
        <v>1079</v>
      </c>
      <c r="H1658" s="7"/>
      <c r="I1658" s="7" t="s">
        <v>856</v>
      </c>
      <c r="J1658" s="7" t="s">
        <v>853</v>
      </c>
      <c r="K1658" s="7" t="s">
        <v>29</v>
      </c>
      <c r="L1658" s="3" t="str">
        <f>E1658&amp;D1658</f>
        <v>E.SP.IPAEE_INS_CONF_S_I_TRAFO CORRENTE_0030</v>
      </c>
      <c r="M1658" s="3" t="str">
        <f>IFERROR(MID(D1658,SEARCH("S_I_",D1658,1),3),"")</f>
        <v>S_I</v>
      </c>
      <c r="N1658" s="3" t="str">
        <f>IFERROR(MID(D1658,SEARCH("C_I_",D1658,1),3),"")</f>
        <v/>
      </c>
      <c r="O1658" s="3" t="str">
        <f>IF(AND(M1658="",N1658=""),"Extra","")</f>
        <v/>
      </c>
      <c r="P1658" s="3" t="str">
        <f>IF(Q1658=0,"TERCEIRO","MRS")</f>
        <v>MRS</v>
      </c>
      <c r="Q1658" s="8" t="str">
        <f>IFERROR(VLOOKUP(L1658,#REF!,4,0),"0,00")</f>
        <v>0,00</v>
      </c>
      <c r="R1658" s="9" t="s">
        <v>98</v>
      </c>
      <c r="S1658" s="9">
        <f>COUNTIF(D1658,"*_SEG_*")</f>
        <v>0</v>
      </c>
      <c r="T1658" s="9">
        <f>COUNTIF(D1658,"*_MAN_*")</f>
        <v>0</v>
      </c>
      <c r="U1658" s="9">
        <f>(RIGHT(D1658,4))*1</f>
        <v>30</v>
      </c>
      <c r="V1658" s="9" t="str">
        <f>IFERROR(VLOOKUP(I1658,#REF!,2,0),"Sinalização")</f>
        <v>Sinalização</v>
      </c>
    </row>
    <row r="1659" spans="1:22" x14ac:dyDescent="0.25">
      <c r="A1659" s="3" t="s">
        <v>22</v>
      </c>
      <c r="B1659" s="4">
        <v>23461025</v>
      </c>
      <c r="C1659" s="5" t="s">
        <v>23</v>
      </c>
      <c r="D1659" s="6" t="s">
        <v>895</v>
      </c>
      <c r="E1659" s="6" t="s">
        <v>25</v>
      </c>
      <c r="F1659" s="11">
        <v>46147</v>
      </c>
      <c r="G1659" s="6" t="s">
        <v>1079</v>
      </c>
      <c r="H1659" s="7"/>
      <c r="I1659" s="7" t="s">
        <v>849</v>
      </c>
      <c r="J1659" s="7" t="s">
        <v>896</v>
      </c>
      <c r="K1659" s="7" t="s">
        <v>29</v>
      </c>
      <c r="L1659" s="3" t="str">
        <f>E1659&amp;D1659</f>
        <v>E.SP.IPAT_EE_INS_CONF_S_I_GRUPO MOTOR GERAD_0030</v>
      </c>
      <c r="M1659" s="3" t="str">
        <f>IFERROR(MID(D1659,SEARCH("S_I_",D1659,1),3),"")</f>
        <v>S_I</v>
      </c>
      <c r="N1659" s="3" t="str">
        <f>IFERROR(MID(D1659,SEARCH("C_I_",D1659,1),3),"")</f>
        <v/>
      </c>
      <c r="O1659" s="3" t="str">
        <f>IF(AND(M1659="",N1659=""),"Extra","")</f>
        <v/>
      </c>
      <c r="P1659" s="3" t="str">
        <f>IF(Q1659=0,"TERCEIRO","MRS")</f>
        <v>MRS</v>
      </c>
      <c r="Q1659" s="8" t="str">
        <f>IFERROR(VLOOKUP(L1659,#REF!,4,0),"0,00")</f>
        <v>0,00</v>
      </c>
      <c r="R1659" s="9" t="s">
        <v>42</v>
      </c>
      <c r="S1659" s="9">
        <f>COUNTIF(D1659,"*_SEG_*")</f>
        <v>0</v>
      </c>
      <c r="T1659" s="9">
        <f>COUNTIF(D1659,"*_MAN_*")</f>
        <v>0</v>
      </c>
      <c r="U1659" s="9">
        <f>(RIGHT(D1659,4))*1</f>
        <v>30</v>
      </c>
      <c r="V1659" s="9" t="str">
        <f>IFERROR(VLOOKUP(I1659,#REF!,2,0),"Sinalização")</f>
        <v>Sinalização</v>
      </c>
    </row>
    <row r="1660" spans="1:22" x14ac:dyDescent="0.25">
      <c r="A1660" s="3" t="s">
        <v>22</v>
      </c>
      <c r="B1660" s="4">
        <v>23461027</v>
      </c>
      <c r="C1660" s="5" t="s">
        <v>23</v>
      </c>
      <c r="D1660" s="6" t="s">
        <v>895</v>
      </c>
      <c r="E1660" s="6" t="s">
        <v>25</v>
      </c>
      <c r="F1660" s="11">
        <v>46147</v>
      </c>
      <c r="G1660" s="6" t="s">
        <v>1079</v>
      </c>
      <c r="H1660" s="7"/>
      <c r="I1660" s="7" t="s">
        <v>897</v>
      </c>
      <c r="J1660" s="7" t="s">
        <v>896</v>
      </c>
      <c r="K1660" s="7" t="s">
        <v>29</v>
      </c>
      <c r="L1660" s="3" t="str">
        <f>E1660&amp;D1660</f>
        <v>E.SP.IPAT_EE_INS_CONF_S_I_GRUPO MOTOR GERAD_0030</v>
      </c>
      <c r="M1660" s="3" t="str">
        <f>IFERROR(MID(D1660,SEARCH("S_I_",D1660,1),3),"")</f>
        <v>S_I</v>
      </c>
      <c r="N1660" s="3" t="str">
        <f>IFERROR(MID(D1660,SEARCH("C_I_",D1660,1),3),"")</f>
        <v/>
      </c>
      <c r="O1660" s="3" t="str">
        <f>IF(AND(M1660="",N1660=""),"Extra","")</f>
        <v/>
      </c>
      <c r="P1660" s="3" t="str">
        <f>IF(Q1660=0,"TERCEIRO","MRS")</f>
        <v>MRS</v>
      </c>
      <c r="Q1660" s="8" t="str">
        <f>IFERROR(VLOOKUP(L1660,#REF!,4,0),"0,00")</f>
        <v>0,00</v>
      </c>
      <c r="R1660" s="9" t="s">
        <v>42</v>
      </c>
      <c r="S1660" s="9">
        <f>COUNTIF(D1660,"*_SEG_*")</f>
        <v>0</v>
      </c>
      <c r="T1660" s="9">
        <f>COUNTIF(D1660,"*_MAN_*")</f>
        <v>0</v>
      </c>
      <c r="U1660" s="9">
        <f>(RIGHT(D1660,4))*1</f>
        <v>30</v>
      </c>
      <c r="V1660" s="9" t="str">
        <f>IFERROR(VLOOKUP(I1660,#REF!,2,0),"Sinalização")</f>
        <v>Sinalização</v>
      </c>
    </row>
    <row r="1661" spans="1:22" x14ac:dyDescent="0.25">
      <c r="A1661" s="3" t="s">
        <v>22</v>
      </c>
      <c r="B1661" s="4">
        <v>23461029</v>
      </c>
      <c r="C1661" s="5" t="s">
        <v>23</v>
      </c>
      <c r="D1661" s="6" t="s">
        <v>895</v>
      </c>
      <c r="E1661" s="6" t="s">
        <v>25</v>
      </c>
      <c r="F1661" s="11">
        <v>46147</v>
      </c>
      <c r="G1661" s="6" t="s">
        <v>1079</v>
      </c>
      <c r="H1661" s="7"/>
      <c r="I1661" s="7" t="s">
        <v>100</v>
      </c>
      <c r="J1661" s="7" t="s">
        <v>896</v>
      </c>
      <c r="K1661" s="7" t="s">
        <v>29</v>
      </c>
      <c r="L1661" s="3" t="str">
        <f>E1661&amp;D1661</f>
        <v>E.SP.IPAT_EE_INS_CONF_S_I_GRUPO MOTOR GERAD_0030</v>
      </c>
      <c r="M1661" s="3" t="str">
        <f>IFERROR(MID(D1661,SEARCH("S_I_",D1661,1),3),"")</f>
        <v>S_I</v>
      </c>
      <c r="N1661" s="3" t="str">
        <f>IFERROR(MID(D1661,SEARCH("C_I_",D1661,1),3),"")</f>
        <v/>
      </c>
      <c r="O1661" s="3" t="str">
        <f>IF(AND(M1661="",N1661=""),"Extra","")</f>
        <v/>
      </c>
      <c r="P1661" s="3" t="str">
        <f>IF(Q1661=0,"TERCEIRO","MRS")</f>
        <v>MRS</v>
      </c>
      <c r="Q1661" s="8" t="str">
        <f>IFERROR(VLOOKUP(L1661,#REF!,4,0),"0,00")</f>
        <v>0,00</v>
      </c>
      <c r="R1661" s="9" t="s">
        <v>42</v>
      </c>
      <c r="S1661" s="9">
        <f>COUNTIF(D1661,"*_SEG_*")</f>
        <v>0</v>
      </c>
      <c r="T1661" s="9">
        <f>COUNTIF(D1661,"*_MAN_*")</f>
        <v>0</v>
      </c>
      <c r="U1661" s="9">
        <f>(RIGHT(D1661,4))*1</f>
        <v>30</v>
      </c>
      <c r="V1661" s="9" t="str">
        <f>IFERROR(VLOOKUP(I1661,#REF!,2,0),"Sinalização")</f>
        <v>Sinalização</v>
      </c>
    </row>
    <row r="1662" spans="1:22" x14ac:dyDescent="0.25">
      <c r="A1662" s="3" t="s">
        <v>22</v>
      </c>
      <c r="B1662" s="4">
        <v>23301827</v>
      </c>
      <c r="C1662" s="5" t="s">
        <v>23</v>
      </c>
      <c r="D1662" s="6" t="s">
        <v>523</v>
      </c>
      <c r="E1662" s="6" t="s">
        <v>25</v>
      </c>
      <c r="F1662" s="11">
        <v>46146</v>
      </c>
      <c r="G1662" s="6" t="s">
        <v>1079</v>
      </c>
      <c r="H1662" s="7"/>
      <c r="I1662" s="7" t="s">
        <v>524</v>
      </c>
      <c r="J1662" s="7" t="s">
        <v>525</v>
      </c>
      <c r="K1662" s="7" t="s">
        <v>29</v>
      </c>
      <c r="L1662" s="3" t="str">
        <f>E1662&amp;D1662</f>
        <v>E.SP.IPAEE_MAN_CONF_S_I_SINAL LUMINOSO PN_0090</v>
      </c>
      <c r="M1662" s="3" t="str">
        <f>IFERROR(MID(D1662,SEARCH("S_I_",D1662,1),3),"")</f>
        <v>S_I</v>
      </c>
      <c r="N1662" s="3" t="str">
        <f>IFERROR(MID(D1662,SEARCH("C_I_",D1662,1),3),"")</f>
        <v/>
      </c>
      <c r="O1662" s="3" t="str">
        <f>IF(AND(M1662="",N1662=""),"Extra","")</f>
        <v/>
      </c>
      <c r="P1662" s="3" t="str">
        <f>IF(Q1662=0,"TERCEIRO","MRS")</f>
        <v>MRS</v>
      </c>
      <c r="Q1662" s="8" t="str">
        <f>IFERROR(VLOOKUP(L1662,#REF!,4,0),"0,00")</f>
        <v>0,00</v>
      </c>
      <c r="R1662" s="9" t="s">
        <v>57</v>
      </c>
      <c r="S1662" s="9">
        <f>COUNTIF(D1662,"*_SEG_*")</f>
        <v>0</v>
      </c>
      <c r="T1662" s="9">
        <f>COUNTIF(D1662,"*_MAN_*")</f>
        <v>1</v>
      </c>
      <c r="U1662" s="9">
        <f>(RIGHT(D1662,4))*1</f>
        <v>90</v>
      </c>
      <c r="V1662" s="9" t="str">
        <f>IFERROR(VLOOKUP(I1662,#REF!,2,0),"Sinalização")</f>
        <v>Sinalização</v>
      </c>
    </row>
    <row r="1663" spans="1:22" x14ac:dyDescent="0.25">
      <c r="A1663" s="3" t="s">
        <v>22</v>
      </c>
      <c r="B1663" s="4">
        <v>23301828</v>
      </c>
      <c r="C1663" s="5" t="s">
        <v>23</v>
      </c>
      <c r="D1663" s="6" t="s">
        <v>523</v>
      </c>
      <c r="E1663" s="6" t="s">
        <v>25</v>
      </c>
      <c r="F1663" s="11">
        <v>46146</v>
      </c>
      <c r="G1663" s="6" t="s">
        <v>1079</v>
      </c>
      <c r="H1663" s="7"/>
      <c r="I1663" s="7" t="s">
        <v>526</v>
      </c>
      <c r="J1663" s="7" t="s">
        <v>525</v>
      </c>
      <c r="K1663" s="7" t="s">
        <v>29</v>
      </c>
      <c r="L1663" s="3" t="str">
        <f>E1663&amp;D1663</f>
        <v>E.SP.IPAEE_MAN_CONF_S_I_SINAL LUMINOSO PN_0090</v>
      </c>
      <c r="M1663" s="3" t="str">
        <f>IFERROR(MID(D1663,SEARCH("S_I_",D1663,1),3),"")</f>
        <v>S_I</v>
      </c>
      <c r="N1663" s="3" t="str">
        <f>IFERROR(MID(D1663,SEARCH("C_I_",D1663,1),3),"")</f>
        <v/>
      </c>
      <c r="O1663" s="3" t="str">
        <f>IF(AND(M1663="",N1663=""),"Extra","")</f>
        <v/>
      </c>
      <c r="P1663" s="3" t="str">
        <f>IF(Q1663=0,"TERCEIRO","MRS")</f>
        <v>MRS</v>
      </c>
      <c r="Q1663" s="8" t="str">
        <f>IFERROR(VLOOKUP(L1663,#REF!,4,0),"0,00")</f>
        <v>0,00</v>
      </c>
      <c r="R1663" s="9" t="s">
        <v>57</v>
      </c>
      <c r="S1663" s="9">
        <f>COUNTIF(D1663,"*_SEG_*")</f>
        <v>0</v>
      </c>
      <c r="T1663" s="9">
        <f>COUNTIF(D1663,"*_MAN_*")</f>
        <v>1</v>
      </c>
      <c r="U1663" s="9">
        <f>(RIGHT(D1663,4))*1</f>
        <v>90</v>
      </c>
      <c r="V1663" s="9" t="str">
        <f>IFERROR(VLOOKUP(I1663,#REF!,2,0),"Sinalização")</f>
        <v>Sinalização</v>
      </c>
    </row>
    <row r="1664" spans="1:22" x14ac:dyDescent="0.25">
      <c r="A1664" s="3" t="s">
        <v>22</v>
      </c>
      <c r="B1664" s="4">
        <v>23301838</v>
      </c>
      <c r="C1664" s="5" t="s">
        <v>23</v>
      </c>
      <c r="D1664" s="6" t="s">
        <v>527</v>
      </c>
      <c r="E1664" s="6" t="s">
        <v>25</v>
      </c>
      <c r="F1664" s="11">
        <v>46146</v>
      </c>
      <c r="G1664" s="6" t="s">
        <v>1079</v>
      </c>
      <c r="H1664" s="7"/>
      <c r="I1664" s="7" t="s">
        <v>528</v>
      </c>
      <c r="J1664" s="7" t="s">
        <v>529</v>
      </c>
      <c r="K1664" s="7" t="s">
        <v>29</v>
      </c>
      <c r="L1664" s="3" t="str">
        <f>E1664&amp;D1664</f>
        <v>E.SP.IPAEE_MAN_CONF_S_I_RADIO FIXO DIGITAL_0090</v>
      </c>
      <c r="M1664" s="3" t="str">
        <f>IFERROR(MID(D1664,SEARCH("S_I_",D1664,1),3),"")</f>
        <v>S_I</v>
      </c>
      <c r="N1664" s="3" t="str">
        <f>IFERROR(MID(D1664,SEARCH("C_I_",D1664,1),3),"")</f>
        <v/>
      </c>
      <c r="O1664" s="3" t="str">
        <f>IF(AND(M1664="",N1664=""),"Extra","")</f>
        <v/>
      </c>
      <c r="P1664" s="3" t="str">
        <f>IF(Q1664=0,"TERCEIRO","MRS")</f>
        <v>MRS</v>
      </c>
      <c r="Q1664" s="8" t="str">
        <f>IFERROR(VLOOKUP(L1664,#REF!,4,0),"0,00")</f>
        <v>0,00</v>
      </c>
      <c r="R1664" s="9" t="s">
        <v>57</v>
      </c>
      <c r="S1664" s="9">
        <f>COUNTIF(D1664,"*_SEG_*")</f>
        <v>0</v>
      </c>
      <c r="T1664" s="9">
        <f>COUNTIF(D1664,"*_MAN_*")</f>
        <v>1</v>
      </c>
      <c r="U1664" s="9">
        <f>(RIGHT(D1664,4))*1</f>
        <v>90</v>
      </c>
      <c r="V1664" s="9" t="str">
        <f>IFERROR(VLOOKUP(I1664,#REF!,2,0),"Sinalização")</f>
        <v>Sinalização</v>
      </c>
    </row>
    <row r="1665" spans="1:22" x14ac:dyDescent="0.25">
      <c r="A1665" s="3" t="s">
        <v>22</v>
      </c>
      <c r="B1665" s="4">
        <v>23301839</v>
      </c>
      <c r="C1665" s="5" t="s">
        <v>23</v>
      </c>
      <c r="D1665" s="6" t="s">
        <v>527</v>
      </c>
      <c r="E1665" s="6" t="s">
        <v>25</v>
      </c>
      <c r="F1665" s="11">
        <v>46146</v>
      </c>
      <c r="G1665" s="6" t="s">
        <v>1079</v>
      </c>
      <c r="H1665" s="7"/>
      <c r="I1665" s="7" t="s">
        <v>530</v>
      </c>
      <c r="J1665" s="7" t="s">
        <v>529</v>
      </c>
      <c r="K1665" s="7" t="s">
        <v>29</v>
      </c>
      <c r="L1665" s="3" t="str">
        <f>E1665&amp;D1665</f>
        <v>E.SP.IPAEE_MAN_CONF_S_I_RADIO FIXO DIGITAL_0090</v>
      </c>
      <c r="M1665" s="3" t="str">
        <f>IFERROR(MID(D1665,SEARCH("S_I_",D1665,1),3),"")</f>
        <v>S_I</v>
      </c>
      <c r="N1665" s="3" t="str">
        <f>IFERROR(MID(D1665,SEARCH("C_I_",D1665,1),3),"")</f>
        <v/>
      </c>
      <c r="O1665" s="3" t="str">
        <f>IF(AND(M1665="",N1665=""),"Extra","")</f>
        <v/>
      </c>
      <c r="P1665" s="3" t="str">
        <f>IF(Q1665=0,"TERCEIRO","MRS")</f>
        <v>MRS</v>
      </c>
      <c r="Q1665" s="8" t="str">
        <f>IFERROR(VLOOKUP(L1665,#REF!,4,0),"0,00")</f>
        <v>0,00</v>
      </c>
      <c r="R1665" s="9" t="s">
        <v>57</v>
      </c>
      <c r="S1665" s="9">
        <f>COUNTIF(D1665,"*_SEG_*")</f>
        <v>0</v>
      </c>
      <c r="T1665" s="9">
        <f>COUNTIF(D1665,"*_MAN_*")</f>
        <v>1</v>
      </c>
      <c r="U1665" s="9">
        <f>(RIGHT(D1665,4))*1</f>
        <v>90</v>
      </c>
      <c r="V1665" s="9" t="str">
        <f>IFERROR(VLOOKUP(I1665,#REF!,2,0),"Sinalização")</f>
        <v>Sinalização</v>
      </c>
    </row>
    <row r="1666" spans="1:22" x14ac:dyDescent="0.25">
      <c r="A1666" s="3" t="s">
        <v>22</v>
      </c>
      <c r="B1666" s="4">
        <v>23301840</v>
      </c>
      <c r="C1666" s="5" t="s">
        <v>23</v>
      </c>
      <c r="D1666" s="6" t="s">
        <v>527</v>
      </c>
      <c r="E1666" s="6" t="s">
        <v>25</v>
      </c>
      <c r="F1666" s="11">
        <v>46146</v>
      </c>
      <c r="G1666" s="6" t="s">
        <v>1079</v>
      </c>
      <c r="H1666" s="7"/>
      <c r="I1666" s="7" t="s">
        <v>531</v>
      </c>
      <c r="J1666" s="7" t="s">
        <v>529</v>
      </c>
      <c r="K1666" s="7" t="s">
        <v>29</v>
      </c>
      <c r="L1666" s="3" t="str">
        <f>E1666&amp;D1666</f>
        <v>E.SP.IPAEE_MAN_CONF_S_I_RADIO FIXO DIGITAL_0090</v>
      </c>
      <c r="M1666" s="3" t="str">
        <f>IFERROR(MID(D1666,SEARCH("S_I_",D1666,1),3),"")</f>
        <v>S_I</v>
      </c>
      <c r="N1666" s="3" t="str">
        <f>IFERROR(MID(D1666,SEARCH("C_I_",D1666,1),3),"")</f>
        <v/>
      </c>
      <c r="O1666" s="3" t="str">
        <f>IF(AND(M1666="",N1666=""),"Extra","")</f>
        <v/>
      </c>
      <c r="P1666" s="3" t="str">
        <f>IF(Q1666=0,"TERCEIRO","MRS")</f>
        <v>MRS</v>
      </c>
      <c r="Q1666" s="8" t="str">
        <f>IFERROR(VLOOKUP(L1666,#REF!,4,0),"0,00")</f>
        <v>0,00</v>
      </c>
      <c r="R1666" s="9" t="s">
        <v>57</v>
      </c>
      <c r="S1666" s="9">
        <f>COUNTIF(D1666,"*_SEG_*")</f>
        <v>0</v>
      </c>
      <c r="T1666" s="9">
        <f>COUNTIF(D1666,"*_MAN_*")</f>
        <v>1</v>
      </c>
      <c r="U1666" s="9">
        <f>(RIGHT(D1666,4))*1</f>
        <v>90</v>
      </c>
      <c r="V1666" s="9" t="str">
        <f>IFERROR(VLOOKUP(I1666,#REF!,2,0),"Sinalização")</f>
        <v>Sinalização</v>
      </c>
    </row>
    <row r="1667" spans="1:22" x14ac:dyDescent="0.25">
      <c r="A1667" s="3" t="s">
        <v>22</v>
      </c>
      <c r="B1667" s="4">
        <v>23301841</v>
      </c>
      <c r="C1667" s="5" t="s">
        <v>23</v>
      </c>
      <c r="D1667" s="6" t="s">
        <v>527</v>
      </c>
      <c r="E1667" s="6" t="s">
        <v>25</v>
      </c>
      <c r="F1667" s="11">
        <v>46146</v>
      </c>
      <c r="G1667" s="6" t="s">
        <v>1079</v>
      </c>
      <c r="H1667" s="7"/>
      <c r="I1667" s="7" t="s">
        <v>532</v>
      </c>
      <c r="J1667" s="7" t="s">
        <v>529</v>
      </c>
      <c r="K1667" s="7" t="s">
        <v>29</v>
      </c>
      <c r="L1667" s="3" t="str">
        <f>E1667&amp;D1667</f>
        <v>E.SP.IPAEE_MAN_CONF_S_I_RADIO FIXO DIGITAL_0090</v>
      </c>
      <c r="M1667" s="3" t="str">
        <f>IFERROR(MID(D1667,SEARCH("S_I_",D1667,1),3),"")</f>
        <v>S_I</v>
      </c>
      <c r="N1667" s="3" t="str">
        <f>IFERROR(MID(D1667,SEARCH("C_I_",D1667,1),3),"")</f>
        <v/>
      </c>
      <c r="O1667" s="3" t="str">
        <f>IF(AND(M1667="",N1667=""),"Extra","")</f>
        <v/>
      </c>
      <c r="P1667" s="3" t="str">
        <f>IF(Q1667=0,"TERCEIRO","MRS")</f>
        <v>MRS</v>
      </c>
      <c r="Q1667" s="8" t="str">
        <f>IFERROR(VLOOKUP(L1667,#REF!,4,0),"0,00")</f>
        <v>0,00</v>
      </c>
      <c r="R1667" s="9" t="s">
        <v>57</v>
      </c>
      <c r="S1667" s="9">
        <f>COUNTIF(D1667,"*_SEG_*")</f>
        <v>0</v>
      </c>
      <c r="T1667" s="9">
        <f>COUNTIF(D1667,"*_MAN_*")</f>
        <v>1</v>
      </c>
      <c r="U1667" s="9">
        <f>(RIGHT(D1667,4))*1</f>
        <v>90</v>
      </c>
      <c r="V1667" s="9" t="str">
        <f>IFERROR(VLOOKUP(I1667,#REF!,2,0),"Sinalização")</f>
        <v>Sinalização</v>
      </c>
    </row>
    <row r="1668" spans="1:22" x14ac:dyDescent="0.25">
      <c r="A1668" s="3" t="s">
        <v>22</v>
      </c>
      <c r="B1668" s="4">
        <v>23301842</v>
      </c>
      <c r="C1668" s="5" t="s">
        <v>23</v>
      </c>
      <c r="D1668" s="6" t="s">
        <v>527</v>
      </c>
      <c r="E1668" s="6" t="s">
        <v>25</v>
      </c>
      <c r="F1668" s="11">
        <v>46146</v>
      </c>
      <c r="G1668" s="6" t="s">
        <v>1079</v>
      </c>
      <c r="H1668" s="7"/>
      <c r="I1668" s="7" t="s">
        <v>533</v>
      </c>
      <c r="J1668" s="7" t="s">
        <v>529</v>
      </c>
      <c r="K1668" s="7" t="s">
        <v>29</v>
      </c>
      <c r="L1668" s="3" t="str">
        <f>E1668&amp;D1668</f>
        <v>E.SP.IPAEE_MAN_CONF_S_I_RADIO FIXO DIGITAL_0090</v>
      </c>
      <c r="M1668" s="3" t="str">
        <f>IFERROR(MID(D1668,SEARCH("S_I_",D1668,1),3),"")</f>
        <v>S_I</v>
      </c>
      <c r="N1668" s="3" t="str">
        <f>IFERROR(MID(D1668,SEARCH("C_I_",D1668,1),3),"")</f>
        <v/>
      </c>
      <c r="O1668" s="3" t="str">
        <f>IF(AND(M1668="",N1668=""),"Extra","")</f>
        <v/>
      </c>
      <c r="P1668" s="3" t="str">
        <f>IF(Q1668=0,"TERCEIRO","MRS")</f>
        <v>MRS</v>
      </c>
      <c r="Q1668" s="8" t="str">
        <f>IFERROR(VLOOKUP(L1668,#REF!,4,0),"0,00")</f>
        <v>0,00</v>
      </c>
      <c r="R1668" s="9" t="s">
        <v>57</v>
      </c>
      <c r="S1668" s="9">
        <f>COUNTIF(D1668,"*_SEG_*")</f>
        <v>0</v>
      </c>
      <c r="T1668" s="9">
        <f>COUNTIF(D1668,"*_MAN_*")</f>
        <v>1</v>
      </c>
      <c r="U1668" s="9">
        <f>(RIGHT(D1668,4))*1</f>
        <v>90</v>
      </c>
      <c r="V1668" s="9" t="str">
        <f>IFERROR(VLOOKUP(I1668,#REF!,2,0),"Sinalização")</f>
        <v>Sinalização</v>
      </c>
    </row>
    <row r="1669" spans="1:22" x14ac:dyDescent="0.25">
      <c r="A1669" s="3" t="s">
        <v>22</v>
      </c>
      <c r="B1669" s="4">
        <v>23301843</v>
      </c>
      <c r="C1669" s="5" t="s">
        <v>23</v>
      </c>
      <c r="D1669" s="6" t="s">
        <v>527</v>
      </c>
      <c r="E1669" s="6" t="s">
        <v>25</v>
      </c>
      <c r="F1669" s="11">
        <v>46146</v>
      </c>
      <c r="G1669" s="6" t="s">
        <v>1079</v>
      </c>
      <c r="H1669" s="7"/>
      <c r="I1669" s="7" t="s">
        <v>534</v>
      </c>
      <c r="J1669" s="7" t="s">
        <v>529</v>
      </c>
      <c r="K1669" s="7" t="s">
        <v>29</v>
      </c>
      <c r="L1669" s="3" t="str">
        <f>E1669&amp;D1669</f>
        <v>E.SP.IPAEE_MAN_CONF_S_I_RADIO FIXO DIGITAL_0090</v>
      </c>
      <c r="M1669" s="3" t="str">
        <f>IFERROR(MID(D1669,SEARCH("S_I_",D1669,1),3),"")</f>
        <v>S_I</v>
      </c>
      <c r="N1669" s="3" t="str">
        <f>IFERROR(MID(D1669,SEARCH("C_I_",D1669,1),3),"")</f>
        <v/>
      </c>
      <c r="O1669" s="3" t="str">
        <f>IF(AND(M1669="",N1669=""),"Extra","")</f>
        <v/>
      </c>
      <c r="P1669" s="3" t="str">
        <f>IF(Q1669=0,"TERCEIRO","MRS")</f>
        <v>MRS</v>
      </c>
      <c r="Q1669" s="8" t="str">
        <f>IFERROR(VLOOKUP(L1669,#REF!,4,0),"0,00")</f>
        <v>0,00</v>
      </c>
      <c r="R1669" s="9" t="s">
        <v>57</v>
      </c>
      <c r="S1669" s="9">
        <f>COUNTIF(D1669,"*_SEG_*")</f>
        <v>0</v>
      </c>
      <c r="T1669" s="9">
        <f>COUNTIF(D1669,"*_MAN_*")</f>
        <v>1</v>
      </c>
      <c r="U1669" s="9">
        <f>(RIGHT(D1669,4))*1</f>
        <v>90</v>
      </c>
      <c r="V1669" s="9" t="str">
        <f>IFERROR(VLOOKUP(I1669,#REF!,2,0),"Sinalização")</f>
        <v>Sinalização</v>
      </c>
    </row>
    <row r="1670" spans="1:22" x14ac:dyDescent="0.25">
      <c r="A1670" s="3" t="s">
        <v>22</v>
      </c>
      <c r="B1670" s="4">
        <v>23301848</v>
      </c>
      <c r="C1670" s="5" t="s">
        <v>23</v>
      </c>
      <c r="D1670" s="6" t="s">
        <v>535</v>
      </c>
      <c r="E1670" s="6" t="s">
        <v>25</v>
      </c>
      <c r="F1670" s="11">
        <v>46146</v>
      </c>
      <c r="G1670" s="6" t="s">
        <v>1079</v>
      </c>
      <c r="H1670" s="7"/>
      <c r="I1670" s="7" t="s">
        <v>165</v>
      </c>
      <c r="J1670" s="7" t="s">
        <v>536</v>
      </c>
      <c r="K1670" s="7" t="s">
        <v>29</v>
      </c>
      <c r="L1670" s="3" t="str">
        <f>E1670&amp;D1670</f>
        <v>E.SP.IPAEE_INS_CONF_S_I_DISJ AT SUBESTACAO_0090</v>
      </c>
      <c r="M1670" s="3" t="str">
        <f>IFERROR(MID(D1670,SEARCH("S_I_",D1670,1),3),"")</f>
        <v>S_I</v>
      </c>
      <c r="N1670" s="3" t="str">
        <f>IFERROR(MID(D1670,SEARCH("C_I_",D1670,1),3),"")</f>
        <v/>
      </c>
      <c r="O1670" s="3" t="str">
        <f>IF(AND(M1670="",N1670=""),"Extra","")</f>
        <v/>
      </c>
      <c r="P1670" s="3" t="str">
        <f>IF(Q1670=0,"TERCEIRO","MRS")</f>
        <v>MRS</v>
      </c>
      <c r="Q1670" s="8" t="str">
        <f>IFERROR(VLOOKUP(L1670,#REF!,4,0),"0,00")</f>
        <v>0,00</v>
      </c>
      <c r="R1670" s="9" t="s">
        <v>42</v>
      </c>
      <c r="S1670" s="9">
        <f>COUNTIF(D1670,"*_SEG_*")</f>
        <v>0</v>
      </c>
      <c r="T1670" s="9">
        <f>COUNTIF(D1670,"*_MAN_*")</f>
        <v>0</v>
      </c>
      <c r="U1670" s="9">
        <f>(RIGHT(D1670,4))*1</f>
        <v>90</v>
      </c>
      <c r="V1670" s="9" t="str">
        <f>IFERROR(VLOOKUP(I1670,#REF!,2,0),"Sinalização")</f>
        <v>Sinalização</v>
      </c>
    </row>
    <row r="1671" spans="1:22" x14ac:dyDescent="0.25">
      <c r="A1671" s="3" t="s">
        <v>22</v>
      </c>
      <c r="B1671" s="4">
        <v>23301849</v>
      </c>
      <c r="C1671" s="5" t="s">
        <v>23</v>
      </c>
      <c r="D1671" s="6" t="s">
        <v>535</v>
      </c>
      <c r="E1671" s="6" t="s">
        <v>25</v>
      </c>
      <c r="F1671" s="11">
        <v>46146</v>
      </c>
      <c r="G1671" s="6" t="s">
        <v>1079</v>
      </c>
      <c r="H1671" s="7"/>
      <c r="I1671" s="7" t="s">
        <v>537</v>
      </c>
      <c r="J1671" s="7" t="s">
        <v>536</v>
      </c>
      <c r="K1671" s="7" t="s">
        <v>29</v>
      </c>
      <c r="L1671" s="3" t="str">
        <f>E1671&amp;D1671</f>
        <v>E.SP.IPAEE_INS_CONF_S_I_DISJ AT SUBESTACAO_0090</v>
      </c>
      <c r="M1671" s="3" t="str">
        <f>IFERROR(MID(D1671,SEARCH("S_I_",D1671,1),3),"")</f>
        <v>S_I</v>
      </c>
      <c r="N1671" s="3" t="str">
        <f>IFERROR(MID(D1671,SEARCH("C_I_",D1671,1),3),"")</f>
        <v/>
      </c>
      <c r="O1671" s="3" t="str">
        <f>IF(AND(M1671="",N1671=""),"Extra","")</f>
        <v/>
      </c>
      <c r="P1671" s="3" t="str">
        <f>IF(Q1671=0,"TERCEIRO","MRS")</f>
        <v>MRS</v>
      </c>
      <c r="Q1671" s="8" t="str">
        <f>IFERROR(VLOOKUP(L1671,#REF!,4,0),"0,00")</f>
        <v>0,00</v>
      </c>
      <c r="R1671" s="9" t="s">
        <v>42</v>
      </c>
      <c r="S1671" s="9">
        <f>COUNTIF(D1671,"*_SEG_*")</f>
        <v>0</v>
      </c>
      <c r="T1671" s="9">
        <f>COUNTIF(D1671,"*_MAN_*")</f>
        <v>0</v>
      </c>
      <c r="U1671" s="9">
        <f>(RIGHT(D1671,4))*1</f>
        <v>90</v>
      </c>
      <c r="V1671" s="9" t="str">
        <f>IFERROR(VLOOKUP(I1671,#REF!,2,0),"Sinalização")</f>
        <v>Sinalização</v>
      </c>
    </row>
    <row r="1672" spans="1:22" x14ac:dyDescent="0.25">
      <c r="A1672" s="3" t="s">
        <v>22</v>
      </c>
      <c r="B1672" s="4">
        <v>23301850</v>
      </c>
      <c r="C1672" s="5" t="s">
        <v>23</v>
      </c>
      <c r="D1672" s="6" t="s">
        <v>535</v>
      </c>
      <c r="E1672" s="6" t="s">
        <v>25</v>
      </c>
      <c r="F1672" s="11">
        <v>46146</v>
      </c>
      <c r="G1672" s="6" t="s">
        <v>1079</v>
      </c>
      <c r="H1672" s="7"/>
      <c r="I1672" s="7" t="s">
        <v>538</v>
      </c>
      <c r="J1672" s="7" t="s">
        <v>536</v>
      </c>
      <c r="K1672" s="7" t="s">
        <v>29</v>
      </c>
      <c r="L1672" s="3" t="str">
        <f>E1672&amp;D1672</f>
        <v>E.SP.IPAEE_INS_CONF_S_I_DISJ AT SUBESTACAO_0090</v>
      </c>
      <c r="M1672" s="3" t="str">
        <f>IFERROR(MID(D1672,SEARCH("S_I_",D1672,1),3),"")</f>
        <v>S_I</v>
      </c>
      <c r="N1672" s="3" t="str">
        <f>IFERROR(MID(D1672,SEARCH("C_I_",D1672,1),3),"")</f>
        <v/>
      </c>
      <c r="O1672" s="3" t="str">
        <f>IF(AND(M1672="",N1672=""),"Extra","")</f>
        <v/>
      </c>
      <c r="P1672" s="3" t="str">
        <f>IF(Q1672=0,"TERCEIRO","MRS")</f>
        <v>MRS</v>
      </c>
      <c r="Q1672" s="8" t="str">
        <f>IFERROR(VLOOKUP(L1672,#REF!,4,0),"0,00")</f>
        <v>0,00</v>
      </c>
      <c r="R1672" s="9" t="s">
        <v>42</v>
      </c>
      <c r="S1672" s="9">
        <f>COUNTIF(D1672,"*_SEG_*")</f>
        <v>0</v>
      </c>
      <c r="T1672" s="9">
        <f>COUNTIF(D1672,"*_MAN_*")</f>
        <v>0</v>
      </c>
      <c r="U1672" s="9">
        <f>(RIGHT(D1672,4))*1</f>
        <v>90</v>
      </c>
      <c r="V1672" s="9" t="str">
        <f>IFERROR(VLOOKUP(I1672,#REF!,2,0),"Sinalização")</f>
        <v>Sinalização</v>
      </c>
    </row>
    <row r="1673" spans="1:22" x14ac:dyDescent="0.25">
      <c r="A1673" s="3" t="s">
        <v>22</v>
      </c>
      <c r="B1673" s="4">
        <v>23301858</v>
      </c>
      <c r="C1673" s="5" t="s">
        <v>23</v>
      </c>
      <c r="D1673" s="6" t="s">
        <v>539</v>
      </c>
      <c r="E1673" s="6" t="s">
        <v>25</v>
      </c>
      <c r="F1673" s="11">
        <v>46146</v>
      </c>
      <c r="G1673" s="6" t="s">
        <v>1079</v>
      </c>
      <c r="H1673" s="7"/>
      <c r="I1673" s="7" t="s">
        <v>540</v>
      </c>
      <c r="J1673" s="7" t="s">
        <v>541</v>
      </c>
      <c r="K1673" s="7" t="s">
        <v>29</v>
      </c>
      <c r="L1673" s="3" t="str">
        <f>E1673&amp;D1673</f>
        <v>E.SP.IPAEE_INS_CONF_C_I_TRAFO LOCAL_0090</v>
      </c>
      <c r="M1673" s="3" t="str">
        <f>IFERROR(MID(D1673,SEARCH("S_I_",D1673,1),3),"")</f>
        <v/>
      </c>
      <c r="N1673" s="3" t="str">
        <f>IFERROR(MID(D1673,SEARCH("C_I_",D1673,1),3),"")</f>
        <v>C_I</v>
      </c>
      <c r="O1673" s="3" t="str">
        <f>IF(AND(M1673="",N1673=""),"Extra","")</f>
        <v/>
      </c>
      <c r="P1673" s="3" t="str">
        <f>IF(Q1673=0,"TERCEIRO","MRS")</f>
        <v>MRS</v>
      </c>
      <c r="Q1673" s="8" t="str">
        <f>IFERROR(VLOOKUP(L1673,#REF!,4,0),"0,00")</f>
        <v>0,00</v>
      </c>
      <c r="R1673" s="9" t="s">
        <v>42</v>
      </c>
      <c r="S1673" s="9">
        <f>COUNTIF(D1673,"*_SEG_*")</f>
        <v>0</v>
      </c>
      <c r="T1673" s="9">
        <f>COUNTIF(D1673,"*_MAN_*")</f>
        <v>0</v>
      </c>
      <c r="U1673" s="9">
        <f>(RIGHT(D1673,4))*1</f>
        <v>90</v>
      </c>
      <c r="V1673" s="9" t="str">
        <f>IFERROR(VLOOKUP(I1673,#REF!,2,0),"Sinalização")</f>
        <v>Sinalização</v>
      </c>
    </row>
    <row r="1674" spans="1:22" x14ac:dyDescent="0.25">
      <c r="A1674" s="3" t="s">
        <v>22</v>
      </c>
      <c r="B1674" s="4">
        <v>23301859</v>
      </c>
      <c r="C1674" s="5" t="s">
        <v>23</v>
      </c>
      <c r="D1674" s="6" t="s">
        <v>539</v>
      </c>
      <c r="E1674" s="6" t="s">
        <v>25</v>
      </c>
      <c r="F1674" s="11">
        <v>46146</v>
      </c>
      <c r="G1674" s="6" t="s">
        <v>1079</v>
      </c>
      <c r="H1674" s="7"/>
      <c r="I1674" s="7" t="s">
        <v>542</v>
      </c>
      <c r="J1674" s="7" t="s">
        <v>541</v>
      </c>
      <c r="K1674" s="7" t="s">
        <v>29</v>
      </c>
      <c r="L1674" s="3" t="str">
        <f>E1674&amp;D1674</f>
        <v>E.SP.IPAEE_INS_CONF_C_I_TRAFO LOCAL_0090</v>
      </c>
      <c r="M1674" s="3" t="str">
        <f>IFERROR(MID(D1674,SEARCH("S_I_",D1674,1),3),"")</f>
        <v/>
      </c>
      <c r="N1674" s="3" t="str">
        <f>IFERROR(MID(D1674,SEARCH("C_I_",D1674,1),3),"")</f>
        <v>C_I</v>
      </c>
      <c r="O1674" s="3" t="str">
        <f>IF(AND(M1674="",N1674=""),"Extra","")</f>
        <v/>
      </c>
      <c r="P1674" s="3" t="str">
        <f>IF(Q1674=0,"TERCEIRO","MRS")</f>
        <v>MRS</v>
      </c>
      <c r="Q1674" s="8" t="str">
        <f>IFERROR(VLOOKUP(L1674,#REF!,4,0),"0,00")</f>
        <v>0,00</v>
      </c>
      <c r="R1674" s="9" t="s">
        <v>42</v>
      </c>
      <c r="S1674" s="9">
        <f>COUNTIF(D1674,"*_SEG_*")</f>
        <v>0</v>
      </c>
      <c r="T1674" s="9">
        <f>COUNTIF(D1674,"*_MAN_*")</f>
        <v>0</v>
      </c>
      <c r="U1674" s="9">
        <f>(RIGHT(D1674,4))*1</f>
        <v>90</v>
      </c>
      <c r="V1674" s="9" t="str">
        <f>IFERROR(VLOOKUP(I1674,#REF!,2,0),"Sinalização")</f>
        <v>Sinalização</v>
      </c>
    </row>
    <row r="1675" spans="1:22" x14ac:dyDescent="0.25">
      <c r="A1675" s="3" t="s">
        <v>22</v>
      </c>
      <c r="B1675" s="4">
        <v>23301860</v>
      </c>
      <c r="C1675" s="5" t="s">
        <v>23</v>
      </c>
      <c r="D1675" s="6" t="s">
        <v>539</v>
      </c>
      <c r="E1675" s="6" t="s">
        <v>25</v>
      </c>
      <c r="F1675" s="11">
        <v>46146</v>
      </c>
      <c r="G1675" s="6" t="s">
        <v>1079</v>
      </c>
      <c r="H1675" s="7"/>
      <c r="I1675" s="7" t="s">
        <v>543</v>
      </c>
      <c r="J1675" s="7" t="s">
        <v>541</v>
      </c>
      <c r="K1675" s="7" t="s">
        <v>29</v>
      </c>
      <c r="L1675" s="3" t="str">
        <f>E1675&amp;D1675</f>
        <v>E.SP.IPAEE_INS_CONF_C_I_TRAFO LOCAL_0090</v>
      </c>
      <c r="M1675" s="3" t="str">
        <f>IFERROR(MID(D1675,SEARCH("S_I_",D1675,1),3),"")</f>
        <v/>
      </c>
      <c r="N1675" s="3" t="str">
        <f>IFERROR(MID(D1675,SEARCH("C_I_",D1675,1),3),"")</f>
        <v>C_I</v>
      </c>
      <c r="O1675" s="3" t="str">
        <f>IF(AND(M1675="",N1675=""),"Extra","")</f>
        <v/>
      </c>
      <c r="P1675" s="3" t="str">
        <f>IF(Q1675=0,"TERCEIRO","MRS")</f>
        <v>MRS</v>
      </c>
      <c r="Q1675" s="8" t="str">
        <f>IFERROR(VLOOKUP(L1675,#REF!,4,0),"0,00")</f>
        <v>0,00</v>
      </c>
      <c r="R1675" s="9" t="s">
        <v>42</v>
      </c>
      <c r="S1675" s="9">
        <f>COUNTIF(D1675,"*_SEG_*")</f>
        <v>0</v>
      </c>
      <c r="T1675" s="9">
        <f>COUNTIF(D1675,"*_MAN_*")</f>
        <v>0</v>
      </c>
      <c r="U1675" s="9">
        <f>(RIGHT(D1675,4))*1</f>
        <v>90</v>
      </c>
      <c r="V1675" s="9" t="str">
        <f>IFERROR(VLOOKUP(I1675,#REF!,2,0),"Sinalização")</f>
        <v>Sinalização</v>
      </c>
    </row>
    <row r="1676" spans="1:22" x14ac:dyDescent="0.25">
      <c r="A1676" s="3" t="s">
        <v>22</v>
      </c>
      <c r="B1676" s="4">
        <v>23301861</v>
      </c>
      <c r="C1676" s="5" t="s">
        <v>23</v>
      </c>
      <c r="D1676" s="6" t="s">
        <v>539</v>
      </c>
      <c r="E1676" s="6" t="s">
        <v>25</v>
      </c>
      <c r="F1676" s="11">
        <v>46146</v>
      </c>
      <c r="G1676" s="6" t="s">
        <v>1079</v>
      </c>
      <c r="H1676" s="7"/>
      <c r="I1676" s="7" t="s">
        <v>544</v>
      </c>
      <c r="J1676" s="7" t="s">
        <v>541</v>
      </c>
      <c r="K1676" s="7" t="s">
        <v>29</v>
      </c>
      <c r="L1676" s="3" t="str">
        <f>E1676&amp;D1676</f>
        <v>E.SP.IPAEE_INS_CONF_C_I_TRAFO LOCAL_0090</v>
      </c>
      <c r="M1676" s="3" t="str">
        <f>IFERROR(MID(D1676,SEARCH("S_I_",D1676,1),3),"")</f>
        <v/>
      </c>
      <c r="N1676" s="3" t="str">
        <f>IFERROR(MID(D1676,SEARCH("C_I_",D1676,1),3),"")</f>
        <v>C_I</v>
      </c>
      <c r="O1676" s="3" t="str">
        <f>IF(AND(M1676="",N1676=""),"Extra","")</f>
        <v/>
      </c>
      <c r="P1676" s="3" t="str">
        <f>IF(Q1676=0,"TERCEIRO","MRS")</f>
        <v>MRS</v>
      </c>
      <c r="Q1676" s="8" t="str">
        <f>IFERROR(VLOOKUP(L1676,#REF!,4,0),"0,00")</f>
        <v>0,00</v>
      </c>
      <c r="R1676" s="9" t="s">
        <v>42</v>
      </c>
      <c r="S1676" s="9">
        <f>COUNTIF(D1676,"*_SEG_*")</f>
        <v>0</v>
      </c>
      <c r="T1676" s="9">
        <f>COUNTIF(D1676,"*_MAN_*")</f>
        <v>0</v>
      </c>
      <c r="U1676" s="9">
        <f>(RIGHT(D1676,4))*1</f>
        <v>90</v>
      </c>
      <c r="V1676" s="9" t="str">
        <f>IFERROR(VLOOKUP(I1676,#REF!,2,0),"Sinalização")</f>
        <v>Sinalização</v>
      </c>
    </row>
    <row r="1677" spans="1:22" x14ac:dyDescent="0.25">
      <c r="A1677" s="3" t="s">
        <v>22</v>
      </c>
      <c r="B1677" s="4">
        <v>23301862</v>
      </c>
      <c r="C1677" s="5" t="s">
        <v>23</v>
      </c>
      <c r="D1677" s="6" t="s">
        <v>539</v>
      </c>
      <c r="E1677" s="6" t="s">
        <v>25</v>
      </c>
      <c r="F1677" s="11">
        <v>46146</v>
      </c>
      <c r="G1677" s="6" t="s">
        <v>1079</v>
      </c>
      <c r="H1677" s="7"/>
      <c r="I1677" s="7" t="s">
        <v>545</v>
      </c>
      <c r="J1677" s="7" t="s">
        <v>541</v>
      </c>
      <c r="K1677" s="7" t="s">
        <v>29</v>
      </c>
      <c r="L1677" s="3" t="str">
        <f>E1677&amp;D1677</f>
        <v>E.SP.IPAEE_INS_CONF_C_I_TRAFO LOCAL_0090</v>
      </c>
      <c r="M1677" s="3" t="str">
        <f>IFERROR(MID(D1677,SEARCH("S_I_",D1677,1),3),"")</f>
        <v/>
      </c>
      <c r="N1677" s="3" t="str">
        <f>IFERROR(MID(D1677,SEARCH("C_I_",D1677,1),3),"")</f>
        <v>C_I</v>
      </c>
      <c r="O1677" s="3" t="str">
        <f>IF(AND(M1677="",N1677=""),"Extra","")</f>
        <v/>
      </c>
      <c r="P1677" s="3" t="str">
        <f>IF(Q1677=0,"TERCEIRO","MRS")</f>
        <v>MRS</v>
      </c>
      <c r="Q1677" s="8" t="str">
        <f>IFERROR(VLOOKUP(L1677,#REF!,4,0),"0,00")</f>
        <v>0,00</v>
      </c>
      <c r="R1677" s="9" t="s">
        <v>42</v>
      </c>
      <c r="S1677" s="9">
        <f>COUNTIF(D1677,"*_SEG_*")</f>
        <v>0</v>
      </c>
      <c r="T1677" s="9">
        <f>COUNTIF(D1677,"*_MAN_*")</f>
        <v>0</v>
      </c>
      <c r="U1677" s="9">
        <f>(RIGHT(D1677,4))*1</f>
        <v>90</v>
      </c>
      <c r="V1677" s="9" t="str">
        <f>IFERROR(VLOOKUP(I1677,#REF!,2,0),"Sinalização")</f>
        <v>Sinalização</v>
      </c>
    </row>
    <row r="1678" spans="1:22" x14ac:dyDescent="0.25">
      <c r="A1678" s="3" t="s">
        <v>22</v>
      </c>
      <c r="B1678" s="4">
        <v>23301863</v>
      </c>
      <c r="C1678" s="5" t="s">
        <v>23</v>
      </c>
      <c r="D1678" s="6" t="s">
        <v>539</v>
      </c>
      <c r="E1678" s="6" t="s">
        <v>25</v>
      </c>
      <c r="F1678" s="11">
        <v>46146</v>
      </c>
      <c r="G1678" s="6" t="s">
        <v>1079</v>
      </c>
      <c r="H1678" s="7"/>
      <c r="I1678" s="7" t="s">
        <v>546</v>
      </c>
      <c r="J1678" s="7" t="s">
        <v>541</v>
      </c>
      <c r="K1678" s="7" t="s">
        <v>29</v>
      </c>
      <c r="L1678" s="3" t="str">
        <f>E1678&amp;D1678</f>
        <v>E.SP.IPAEE_INS_CONF_C_I_TRAFO LOCAL_0090</v>
      </c>
      <c r="M1678" s="3" t="str">
        <f>IFERROR(MID(D1678,SEARCH("S_I_",D1678,1),3),"")</f>
        <v/>
      </c>
      <c r="N1678" s="3" t="str">
        <f>IFERROR(MID(D1678,SEARCH("C_I_",D1678,1),3),"")</f>
        <v>C_I</v>
      </c>
      <c r="O1678" s="3" t="str">
        <f>IF(AND(M1678="",N1678=""),"Extra","")</f>
        <v/>
      </c>
      <c r="P1678" s="3" t="str">
        <f>IF(Q1678=0,"TERCEIRO","MRS")</f>
        <v>MRS</v>
      </c>
      <c r="Q1678" s="8" t="str">
        <f>IFERROR(VLOOKUP(L1678,#REF!,4,0),"0,00")</f>
        <v>0,00</v>
      </c>
      <c r="R1678" s="9" t="s">
        <v>42</v>
      </c>
      <c r="S1678" s="9">
        <f>COUNTIF(D1678,"*_SEG_*")</f>
        <v>0</v>
      </c>
      <c r="T1678" s="9">
        <f>COUNTIF(D1678,"*_MAN_*")</f>
        <v>0</v>
      </c>
      <c r="U1678" s="9">
        <f>(RIGHT(D1678,4))*1</f>
        <v>90</v>
      </c>
      <c r="V1678" s="9" t="str">
        <f>IFERROR(VLOOKUP(I1678,#REF!,2,0),"Sinalização")</f>
        <v>Sinalização</v>
      </c>
    </row>
    <row r="1679" spans="1:22" x14ac:dyDescent="0.25">
      <c r="A1679" s="3" t="s">
        <v>22</v>
      </c>
      <c r="B1679" s="4">
        <v>23301864</v>
      </c>
      <c r="C1679" s="5" t="s">
        <v>23</v>
      </c>
      <c r="D1679" s="6" t="s">
        <v>539</v>
      </c>
      <c r="E1679" s="6" t="s">
        <v>25</v>
      </c>
      <c r="F1679" s="11">
        <v>46146</v>
      </c>
      <c r="G1679" s="6" t="s">
        <v>1079</v>
      </c>
      <c r="H1679" s="7"/>
      <c r="I1679" s="7" t="s">
        <v>547</v>
      </c>
      <c r="J1679" s="7" t="s">
        <v>541</v>
      </c>
      <c r="K1679" s="7" t="s">
        <v>29</v>
      </c>
      <c r="L1679" s="3" t="str">
        <f>E1679&amp;D1679</f>
        <v>E.SP.IPAEE_INS_CONF_C_I_TRAFO LOCAL_0090</v>
      </c>
      <c r="M1679" s="3" t="str">
        <f>IFERROR(MID(D1679,SEARCH("S_I_",D1679,1),3),"")</f>
        <v/>
      </c>
      <c r="N1679" s="3" t="str">
        <f>IFERROR(MID(D1679,SEARCH("C_I_",D1679,1),3),"")</f>
        <v>C_I</v>
      </c>
      <c r="O1679" s="3" t="str">
        <f>IF(AND(M1679="",N1679=""),"Extra","")</f>
        <v/>
      </c>
      <c r="P1679" s="3" t="str">
        <f>IF(Q1679=0,"TERCEIRO","MRS")</f>
        <v>MRS</v>
      </c>
      <c r="Q1679" s="8" t="str">
        <f>IFERROR(VLOOKUP(L1679,#REF!,4,0),"0,00")</f>
        <v>0,00</v>
      </c>
      <c r="R1679" s="9" t="s">
        <v>42</v>
      </c>
      <c r="S1679" s="9">
        <f>COUNTIF(D1679,"*_SEG_*")</f>
        <v>0</v>
      </c>
      <c r="T1679" s="9">
        <f>COUNTIF(D1679,"*_MAN_*")</f>
        <v>0</v>
      </c>
      <c r="U1679" s="9">
        <f>(RIGHT(D1679,4))*1</f>
        <v>90</v>
      </c>
      <c r="V1679" s="9" t="str">
        <f>IFERROR(VLOOKUP(I1679,#REF!,2,0),"Sinalização")</f>
        <v>Sinalização</v>
      </c>
    </row>
    <row r="1680" spans="1:22" x14ac:dyDescent="0.25">
      <c r="A1680" s="3" t="s">
        <v>22</v>
      </c>
      <c r="B1680" s="4">
        <v>23301865</v>
      </c>
      <c r="C1680" s="5" t="s">
        <v>23</v>
      </c>
      <c r="D1680" s="6" t="s">
        <v>539</v>
      </c>
      <c r="E1680" s="6" t="s">
        <v>25</v>
      </c>
      <c r="F1680" s="11">
        <v>46146</v>
      </c>
      <c r="G1680" s="6" t="s">
        <v>1079</v>
      </c>
      <c r="H1680" s="7"/>
      <c r="I1680" s="7" t="s">
        <v>548</v>
      </c>
      <c r="J1680" s="7" t="s">
        <v>541</v>
      </c>
      <c r="K1680" s="7" t="s">
        <v>29</v>
      </c>
      <c r="L1680" s="3" t="str">
        <f>E1680&amp;D1680</f>
        <v>E.SP.IPAEE_INS_CONF_C_I_TRAFO LOCAL_0090</v>
      </c>
      <c r="M1680" s="3" t="str">
        <f>IFERROR(MID(D1680,SEARCH("S_I_",D1680,1),3),"")</f>
        <v/>
      </c>
      <c r="N1680" s="3" t="str">
        <f>IFERROR(MID(D1680,SEARCH("C_I_",D1680,1),3),"")</f>
        <v>C_I</v>
      </c>
      <c r="O1680" s="3" t="str">
        <f>IF(AND(M1680="",N1680=""),"Extra","")</f>
        <v/>
      </c>
      <c r="P1680" s="3" t="str">
        <f>IF(Q1680=0,"TERCEIRO","MRS")</f>
        <v>MRS</v>
      </c>
      <c r="Q1680" s="8" t="str">
        <f>IFERROR(VLOOKUP(L1680,#REF!,4,0),"0,00")</f>
        <v>0,00</v>
      </c>
      <c r="R1680" s="9" t="s">
        <v>42</v>
      </c>
      <c r="S1680" s="9">
        <f>COUNTIF(D1680,"*_SEG_*")</f>
        <v>0</v>
      </c>
      <c r="T1680" s="9">
        <f>COUNTIF(D1680,"*_MAN_*")</f>
        <v>0</v>
      </c>
      <c r="U1680" s="9">
        <f>(RIGHT(D1680,4))*1</f>
        <v>90</v>
      </c>
      <c r="V1680" s="9" t="str">
        <f>IFERROR(VLOOKUP(I1680,#REF!,2,0),"Sinalização")</f>
        <v>Sinalização</v>
      </c>
    </row>
    <row r="1681" spans="1:22" x14ac:dyDescent="0.25">
      <c r="A1681" s="3" t="s">
        <v>22</v>
      </c>
      <c r="B1681" s="4">
        <v>23301866</v>
      </c>
      <c r="C1681" s="5" t="s">
        <v>23</v>
      </c>
      <c r="D1681" s="6" t="s">
        <v>539</v>
      </c>
      <c r="E1681" s="6" t="s">
        <v>25</v>
      </c>
      <c r="F1681" s="11">
        <v>46146</v>
      </c>
      <c r="G1681" s="6" t="s">
        <v>1079</v>
      </c>
      <c r="H1681" s="7"/>
      <c r="I1681" s="7" t="s">
        <v>549</v>
      </c>
      <c r="J1681" s="7" t="s">
        <v>541</v>
      </c>
      <c r="K1681" s="7" t="s">
        <v>29</v>
      </c>
      <c r="L1681" s="3" t="str">
        <f>E1681&amp;D1681</f>
        <v>E.SP.IPAEE_INS_CONF_C_I_TRAFO LOCAL_0090</v>
      </c>
      <c r="M1681" s="3" t="str">
        <f>IFERROR(MID(D1681,SEARCH("S_I_",D1681,1),3),"")</f>
        <v/>
      </c>
      <c r="N1681" s="3" t="str">
        <f>IFERROR(MID(D1681,SEARCH("C_I_",D1681,1),3),"")</f>
        <v>C_I</v>
      </c>
      <c r="O1681" s="3" t="str">
        <f>IF(AND(M1681="",N1681=""),"Extra","")</f>
        <v/>
      </c>
      <c r="P1681" s="3" t="str">
        <f>IF(Q1681=0,"TERCEIRO","MRS")</f>
        <v>MRS</v>
      </c>
      <c r="Q1681" s="8" t="str">
        <f>IFERROR(VLOOKUP(L1681,#REF!,4,0),"0,00")</f>
        <v>0,00</v>
      </c>
      <c r="R1681" s="9" t="s">
        <v>42</v>
      </c>
      <c r="S1681" s="9">
        <f>COUNTIF(D1681,"*_SEG_*")</f>
        <v>0</v>
      </c>
      <c r="T1681" s="9">
        <f>COUNTIF(D1681,"*_MAN_*")</f>
        <v>0</v>
      </c>
      <c r="U1681" s="9">
        <f>(RIGHT(D1681,4))*1</f>
        <v>90</v>
      </c>
      <c r="V1681" s="9" t="str">
        <f>IFERROR(VLOOKUP(I1681,#REF!,2,0),"Sinalização")</f>
        <v>Sinalização</v>
      </c>
    </row>
    <row r="1682" spans="1:22" x14ac:dyDescent="0.25">
      <c r="A1682" s="3" t="s">
        <v>22</v>
      </c>
      <c r="B1682" s="4">
        <v>23301867</v>
      </c>
      <c r="C1682" s="5" t="s">
        <v>23</v>
      </c>
      <c r="D1682" s="6" t="s">
        <v>539</v>
      </c>
      <c r="E1682" s="6" t="s">
        <v>25</v>
      </c>
      <c r="F1682" s="11">
        <v>46146</v>
      </c>
      <c r="G1682" s="6" t="s">
        <v>1079</v>
      </c>
      <c r="H1682" s="7"/>
      <c r="I1682" s="7" t="s">
        <v>550</v>
      </c>
      <c r="J1682" s="7" t="s">
        <v>541</v>
      </c>
      <c r="K1682" s="7" t="s">
        <v>29</v>
      </c>
      <c r="L1682" s="3" t="str">
        <f>E1682&amp;D1682</f>
        <v>E.SP.IPAEE_INS_CONF_C_I_TRAFO LOCAL_0090</v>
      </c>
      <c r="M1682" s="3" t="str">
        <f>IFERROR(MID(D1682,SEARCH("S_I_",D1682,1),3),"")</f>
        <v/>
      </c>
      <c r="N1682" s="3" t="str">
        <f>IFERROR(MID(D1682,SEARCH("C_I_",D1682,1),3),"")</f>
        <v>C_I</v>
      </c>
      <c r="O1682" s="3" t="str">
        <f>IF(AND(M1682="",N1682=""),"Extra","")</f>
        <v/>
      </c>
      <c r="P1682" s="3" t="str">
        <f>IF(Q1682=0,"TERCEIRO","MRS")</f>
        <v>MRS</v>
      </c>
      <c r="Q1682" s="8" t="str">
        <f>IFERROR(VLOOKUP(L1682,#REF!,4,0),"0,00")</f>
        <v>0,00</v>
      </c>
      <c r="R1682" s="9" t="s">
        <v>42</v>
      </c>
      <c r="S1682" s="9">
        <f>COUNTIF(D1682,"*_SEG_*")</f>
        <v>0</v>
      </c>
      <c r="T1682" s="9">
        <f>COUNTIF(D1682,"*_MAN_*")</f>
        <v>0</v>
      </c>
      <c r="U1682" s="9">
        <f>(RIGHT(D1682,4))*1</f>
        <v>90</v>
      </c>
      <c r="V1682" s="9" t="str">
        <f>IFERROR(VLOOKUP(I1682,#REF!,2,0),"Sinalização")</f>
        <v>Sinalização</v>
      </c>
    </row>
    <row r="1683" spans="1:22" x14ac:dyDescent="0.25">
      <c r="A1683" s="3" t="s">
        <v>22</v>
      </c>
      <c r="B1683" s="4">
        <v>23301868</v>
      </c>
      <c r="C1683" s="5" t="s">
        <v>23</v>
      </c>
      <c r="D1683" s="6" t="s">
        <v>539</v>
      </c>
      <c r="E1683" s="6" t="s">
        <v>25</v>
      </c>
      <c r="F1683" s="11">
        <v>46146</v>
      </c>
      <c r="G1683" s="6" t="s">
        <v>1079</v>
      </c>
      <c r="H1683" s="7"/>
      <c r="I1683" s="7" t="s">
        <v>551</v>
      </c>
      <c r="J1683" s="7" t="s">
        <v>541</v>
      </c>
      <c r="K1683" s="7" t="s">
        <v>29</v>
      </c>
      <c r="L1683" s="3" t="str">
        <f>E1683&amp;D1683</f>
        <v>E.SP.IPAEE_INS_CONF_C_I_TRAFO LOCAL_0090</v>
      </c>
      <c r="M1683" s="3" t="str">
        <f>IFERROR(MID(D1683,SEARCH("S_I_",D1683,1),3),"")</f>
        <v/>
      </c>
      <c r="N1683" s="3" t="str">
        <f>IFERROR(MID(D1683,SEARCH("C_I_",D1683,1),3),"")</f>
        <v>C_I</v>
      </c>
      <c r="O1683" s="3" t="str">
        <f>IF(AND(M1683="",N1683=""),"Extra","")</f>
        <v/>
      </c>
      <c r="P1683" s="3" t="str">
        <f>IF(Q1683=0,"TERCEIRO","MRS")</f>
        <v>MRS</v>
      </c>
      <c r="Q1683" s="8" t="str">
        <f>IFERROR(VLOOKUP(L1683,#REF!,4,0),"0,00")</f>
        <v>0,00</v>
      </c>
      <c r="R1683" s="9" t="s">
        <v>42</v>
      </c>
      <c r="S1683" s="9">
        <f>COUNTIF(D1683,"*_SEG_*")</f>
        <v>0</v>
      </c>
      <c r="T1683" s="9">
        <f>COUNTIF(D1683,"*_MAN_*")</f>
        <v>0</v>
      </c>
      <c r="U1683" s="9">
        <f>(RIGHT(D1683,4))*1</f>
        <v>90</v>
      </c>
      <c r="V1683" s="9" t="str">
        <f>IFERROR(VLOOKUP(I1683,#REF!,2,0),"Sinalização")</f>
        <v>Sinalização</v>
      </c>
    </row>
    <row r="1684" spans="1:22" x14ac:dyDescent="0.25">
      <c r="A1684" s="3" t="s">
        <v>22</v>
      </c>
      <c r="B1684" s="4">
        <v>23301869</v>
      </c>
      <c r="C1684" s="5" t="s">
        <v>23</v>
      </c>
      <c r="D1684" s="6" t="s">
        <v>539</v>
      </c>
      <c r="E1684" s="6" t="s">
        <v>25</v>
      </c>
      <c r="F1684" s="11">
        <v>46146</v>
      </c>
      <c r="G1684" s="6" t="s">
        <v>1079</v>
      </c>
      <c r="H1684" s="7"/>
      <c r="I1684" s="7" t="s">
        <v>552</v>
      </c>
      <c r="J1684" s="7" t="s">
        <v>541</v>
      </c>
      <c r="K1684" s="7" t="s">
        <v>29</v>
      </c>
      <c r="L1684" s="3" t="str">
        <f>E1684&amp;D1684</f>
        <v>E.SP.IPAEE_INS_CONF_C_I_TRAFO LOCAL_0090</v>
      </c>
      <c r="M1684" s="3" t="str">
        <f>IFERROR(MID(D1684,SEARCH("S_I_",D1684,1),3),"")</f>
        <v/>
      </c>
      <c r="N1684" s="3" t="str">
        <f>IFERROR(MID(D1684,SEARCH("C_I_",D1684,1),3),"")</f>
        <v>C_I</v>
      </c>
      <c r="O1684" s="3" t="str">
        <f>IF(AND(M1684="",N1684=""),"Extra","")</f>
        <v/>
      </c>
      <c r="P1684" s="3" t="str">
        <f>IF(Q1684=0,"TERCEIRO","MRS")</f>
        <v>MRS</v>
      </c>
      <c r="Q1684" s="8" t="str">
        <f>IFERROR(VLOOKUP(L1684,#REF!,4,0),"0,00")</f>
        <v>0,00</v>
      </c>
      <c r="R1684" s="9" t="s">
        <v>42</v>
      </c>
      <c r="S1684" s="9">
        <f>COUNTIF(D1684,"*_SEG_*")</f>
        <v>0</v>
      </c>
      <c r="T1684" s="9">
        <f>COUNTIF(D1684,"*_MAN_*")</f>
        <v>0</v>
      </c>
      <c r="U1684" s="9">
        <f>(RIGHT(D1684,4))*1</f>
        <v>90</v>
      </c>
      <c r="V1684" s="9" t="str">
        <f>IFERROR(VLOOKUP(I1684,#REF!,2,0),"Sinalização")</f>
        <v>Sinalização</v>
      </c>
    </row>
    <row r="1685" spans="1:22" x14ac:dyDescent="0.25">
      <c r="A1685" s="3" t="s">
        <v>22</v>
      </c>
      <c r="B1685" s="4">
        <v>23301879</v>
      </c>
      <c r="C1685" s="5" t="s">
        <v>23</v>
      </c>
      <c r="D1685" s="6" t="s">
        <v>553</v>
      </c>
      <c r="E1685" s="6" t="s">
        <v>25</v>
      </c>
      <c r="F1685" s="11">
        <v>46146</v>
      </c>
      <c r="G1685" s="6" t="s">
        <v>1079</v>
      </c>
      <c r="H1685" s="7"/>
      <c r="I1685" s="7" t="s">
        <v>554</v>
      </c>
      <c r="J1685" s="7" t="s">
        <v>555</v>
      </c>
      <c r="K1685" s="7" t="s">
        <v>29</v>
      </c>
      <c r="L1685" s="3" t="str">
        <f>E1685&amp;D1685</f>
        <v>E.SP.IPAEE_MAN_CONF_C_I_MAQ CHAVE MOLA_0090</v>
      </c>
      <c r="M1685" s="3" t="str">
        <f>IFERROR(MID(D1685,SEARCH("S_I_",D1685,1),3),"")</f>
        <v/>
      </c>
      <c r="N1685" s="3" t="str">
        <f>IFERROR(MID(D1685,SEARCH("C_I_",D1685,1),3),"")</f>
        <v>C_I</v>
      </c>
      <c r="O1685" s="3" t="str">
        <f>IF(AND(M1685="",N1685=""),"Extra","")</f>
        <v/>
      </c>
      <c r="P1685" s="3" t="str">
        <f>IF(Q1685=0,"TERCEIRO","MRS")</f>
        <v>MRS</v>
      </c>
      <c r="Q1685" s="8" t="str">
        <f>IFERROR(VLOOKUP(L1685,#REF!,4,0),"0,00")</f>
        <v>0,00</v>
      </c>
      <c r="R1685" s="9" t="s">
        <v>42</v>
      </c>
      <c r="S1685" s="9">
        <f>COUNTIF(D1685,"*_SEG_*")</f>
        <v>0</v>
      </c>
      <c r="T1685" s="9">
        <f>COUNTIF(D1685,"*_MAN_*")</f>
        <v>1</v>
      </c>
      <c r="U1685" s="9">
        <f>(RIGHT(D1685,4))*1</f>
        <v>90</v>
      </c>
      <c r="V1685" s="9" t="str">
        <f>IFERROR(VLOOKUP(I1685,#REF!,2,0),"Sinalização")</f>
        <v>Sinalização</v>
      </c>
    </row>
    <row r="1686" spans="1:22" x14ac:dyDescent="0.25">
      <c r="A1686" s="3" t="s">
        <v>22</v>
      </c>
      <c r="B1686" s="4">
        <v>23301882</v>
      </c>
      <c r="C1686" s="5" t="s">
        <v>23</v>
      </c>
      <c r="D1686" s="6" t="s">
        <v>556</v>
      </c>
      <c r="E1686" s="6" t="s">
        <v>25</v>
      </c>
      <c r="F1686" s="11">
        <v>46146</v>
      </c>
      <c r="G1686" s="6" t="s">
        <v>1079</v>
      </c>
      <c r="H1686" s="7"/>
      <c r="I1686" s="7" t="s">
        <v>557</v>
      </c>
      <c r="J1686" s="7" t="s">
        <v>558</v>
      </c>
      <c r="K1686" s="7" t="s">
        <v>29</v>
      </c>
      <c r="L1686" s="3" t="str">
        <f>E1686&amp;D1686</f>
        <v>E.SP.IPAEE_INS_CONF_S_I_CDV DETETORA CA_0090</v>
      </c>
      <c r="M1686" s="3" t="str">
        <f>IFERROR(MID(D1686,SEARCH("S_I_",D1686,1),3),"")</f>
        <v>S_I</v>
      </c>
      <c r="N1686" s="3" t="str">
        <f>IFERROR(MID(D1686,SEARCH("C_I_",D1686,1),3),"")</f>
        <v/>
      </c>
      <c r="O1686" s="3" t="str">
        <f>IF(AND(M1686="",N1686=""),"Extra","")</f>
        <v/>
      </c>
      <c r="P1686" s="3" t="str">
        <f>IF(Q1686=0,"TERCEIRO","MRS")</f>
        <v>MRS</v>
      </c>
      <c r="Q1686" s="8" t="str">
        <f>IFERROR(VLOOKUP(L1686,#REF!,4,0),"0,00")</f>
        <v>0,00</v>
      </c>
      <c r="R1686" s="9" t="s">
        <v>57</v>
      </c>
      <c r="S1686" s="9">
        <f>COUNTIF(D1686,"*_SEG_*")</f>
        <v>0</v>
      </c>
      <c r="T1686" s="9">
        <f>COUNTIF(D1686,"*_MAN_*")</f>
        <v>0</v>
      </c>
      <c r="U1686" s="9">
        <f>(RIGHT(D1686,4))*1</f>
        <v>90</v>
      </c>
      <c r="V1686" s="9" t="str">
        <f>IFERROR(VLOOKUP(I1686,#REF!,2,0),"Sinalização")</f>
        <v>Sinalização</v>
      </c>
    </row>
    <row r="1687" spans="1:22" x14ac:dyDescent="0.25">
      <c r="A1687" s="3" t="s">
        <v>22</v>
      </c>
      <c r="B1687" s="4">
        <v>23301968</v>
      </c>
      <c r="C1687" s="5" t="s">
        <v>23</v>
      </c>
      <c r="D1687" s="6" t="s">
        <v>559</v>
      </c>
      <c r="E1687" s="6" t="s">
        <v>25</v>
      </c>
      <c r="F1687" s="11">
        <v>46146</v>
      </c>
      <c r="G1687" s="6" t="s">
        <v>1079</v>
      </c>
      <c r="H1687" s="7"/>
      <c r="I1687" s="7" t="s">
        <v>557</v>
      </c>
      <c r="J1687" s="7" t="s">
        <v>560</v>
      </c>
      <c r="K1687" s="7" t="s">
        <v>29</v>
      </c>
      <c r="L1687" s="3" t="str">
        <f>E1687&amp;D1687</f>
        <v>E.SP.IPAEE_INS_SEG_S_I_CDV DETETORA CA_0090</v>
      </c>
      <c r="M1687" s="3" t="str">
        <f>IFERROR(MID(D1687,SEARCH("S_I_",D1687,1),3),"")</f>
        <v>S_I</v>
      </c>
      <c r="N1687" s="3" t="str">
        <f>IFERROR(MID(D1687,SEARCH("C_I_",D1687,1),3),"")</f>
        <v/>
      </c>
      <c r="O1687" s="3" t="str">
        <f>IF(AND(M1687="",N1687=""),"Extra","")</f>
        <v/>
      </c>
      <c r="P1687" s="3" t="str">
        <f>IF(Q1687=0,"TERCEIRO","MRS")</f>
        <v>MRS</v>
      </c>
      <c r="Q1687" s="8" t="str">
        <f>IFERROR(VLOOKUP(L1687,#REF!,4,0),"0,00")</f>
        <v>0,00</v>
      </c>
      <c r="R1687" s="9" t="s">
        <v>30</v>
      </c>
      <c r="S1687" s="9">
        <f>COUNTIF(D1687,"*_SEG_*")</f>
        <v>1</v>
      </c>
      <c r="T1687" s="9">
        <f>COUNTIF(D1687,"*_MAN_*")</f>
        <v>0</v>
      </c>
      <c r="U1687" s="9">
        <f>(RIGHT(D1687,4))*1</f>
        <v>90</v>
      </c>
      <c r="V1687" s="9" t="str">
        <f>IFERROR(VLOOKUP(I1687,#REF!,2,0),"Sinalização")</f>
        <v>Sinalização</v>
      </c>
    </row>
    <row r="1688" spans="1:22" x14ac:dyDescent="0.25">
      <c r="A1688" s="3" t="s">
        <v>22</v>
      </c>
      <c r="B1688" s="4">
        <v>23301975</v>
      </c>
      <c r="C1688" s="5" t="s">
        <v>23</v>
      </c>
      <c r="D1688" s="6" t="s">
        <v>561</v>
      </c>
      <c r="E1688" s="6" t="s">
        <v>25</v>
      </c>
      <c r="F1688" s="11">
        <v>46146</v>
      </c>
      <c r="G1688" s="6" t="s">
        <v>1079</v>
      </c>
      <c r="H1688" s="7"/>
      <c r="I1688" s="7" t="s">
        <v>562</v>
      </c>
      <c r="J1688" s="7" t="s">
        <v>563</v>
      </c>
      <c r="K1688" s="7" t="s">
        <v>29</v>
      </c>
      <c r="L1688" s="3" t="str">
        <f>E1688&amp;D1688</f>
        <v>E.SP.IPAEE_INS_CONF_S_I_MCH MAN C/CONTR_0090</v>
      </c>
      <c r="M1688" s="3" t="str">
        <f>IFERROR(MID(D1688,SEARCH("S_I_",D1688,1),3),"")</f>
        <v>S_I</v>
      </c>
      <c r="N1688" s="3" t="str">
        <f>IFERROR(MID(D1688,SEARCH("C_I_",D1688,1),3),"")</f>
        <v/>
      </c>
      <c r="O1688" s="3" t="str">
        <f>IF(AND(M1688="",N1688=""),"Extra","")</f>
        <v/>
      </c>
      <c r="P1688" s="3" t="str">
        <f>IF(Q1688=0,"TERCEIRO","MRS")</f>
        <v>MRS</v>
      </c>
      <c r="Q1688" s="8" t="str">
        <f>IFERROR(VLOOKUP(L1688,#REF!,4,0),"0,00")</f>
        <v>0,00</v>
      </c>
      <c r="R1688" s="9" t="s">
        <v>42</v>
      </c>
      <c r="S1688" s="9">
        <f>COUNTIF(D1688,"*_SEG_*")</f>
        <v>0</v>
      </c>
      <c r="T1688" s="9">
        <f>COUNTIF(D1688,"*_MAN_*")</f>
        <v>0</v>
      </c>
      <c r="U1688" s="9">
        <f>(RIGHT(D1688,4))*1</f>
        <v>90</v>
      </c>
      <c r="V1688" s="9" t="str">
        <f>IFERROR(VLOOKUP(I1688,#REF!,2,0),"Sinalização")</f>
        <v>Sinalização</v>
      </c>
    </row>
    <row r="1689" spans="1:22" x14ac:dyDescent="0.25">
      <c r="A1689" s="3" t="s">
        <v>22</v>
      </c>
      <c r="B1689" s="4">
        <v>23301983</v>
      </c>
      <c r="C1689" s="5" t="s">
        <v>23</v>
      </c>
      <c r="D1689" s="6" t="s">
        <v>564</v>
      </c>
      <c r="E1689" s="6" t="s">
        <v>25</v>
      </c>
      <c r="F1689" s="11">
        <v>46146</v>
      </c>
      <c r="G1689" s="6" t="s">
        <v>1079</v>
      </c>
      <c r="H1689" s="7"/>
      <c r="I1689" s="7" t="s">
        <v>534</v>
      </c>
      <c r="J1689" s="7" t="s">
        <v>565</v>
      </c>
      <c r="K1689" s="7" t="s">
        <v>29</v>
      </c>
      <c r="L1689" s="3" t="str">
        <f>E1689&amp;D1689</f>
        <v>E.SP.IPAEE_INS_CONF_S_I_RADIO FIXO DIGITAL_0090</v>
      </c>
      <c r="M1689" s="3" t="str">
        <f>IFERROR(MID(D1689,SEARCH("S_I_",D1689,1),3),"")</f>
        <v>S_I</v>
      </c>
      <c r="N1689" s="3" t="str">
        <f>IFERROR(MID(D1689,SEARCH("C_I_",D1689,1),3),"")</f>
        <v/>
      </c>
      <c r="O1689" s="3" t="str">
        <f>IF(AND(M1689="",N1689=""),"Extra","")</f>
        <v/>
      </c>
      <c r="P1689" s="3" t="str">
        <f>IF(Q1689=0,"TERCEIRO","MRS")</f>
        <v>MRS</v>
      </c>
      <c r="Q1689" s="8" t="str">
        <f>IFERROR(VLOOKUP(L1689,#REF!,4,0),"0,00")</f>
        <v>0,00</v>
      </c>
      <c r="R1689" s="9" t="s">
        <v>42</v>
      </c>
      <c r="S1689" s="9">
        <f>COUNTIF(D1689,"*_SEG_*")</f>
        <v>0</v>
      </c>
      <c r="T1689" s="9">
        <f>COUNTIF(D1689,"*_MAN_*")</f>
        <v>0</v>
      </c>
      <c r="U1689" s="9">
        <f>(RIGHT(D1689,4))*1</f>
        <v>90</v>
      </c>
      <c r="V1689" s="9" t="str">
        <f>IFERROR(VLOOKUP(I1689,#REF!,2,0),"Sinalização")</f>
        <v>Sinalização</v>
      </c>
    </row>
    <row r="1690" spans="1:22" x14ac:dyDescent="0.25">
      <c r="A1690" s="3" t="s">
        <v>22</v>
      </c>
      <c r="B1690" s="4">
        <v>23301984</v>
      </c>
      <c r="C1690" s="5" t="s">
        <v>23</v>
      </c>
      <c r="D1690" s="6" t="s">
        <v>564</v>
      </c>
      <c r="E1690" s="6" t="s">
        <v>25</v>
      </c>
      <c r="F1690" s="11">
        <v>46146</v>
      </c>
      <c r="G1690" s="6" t="s">
        <v>1079</v>
      </c>
      <c r="H1690" s="7"/>
      <c r="I1690" s="7" t="s">
        <v>528</v>
      </c>
      <c r="J1690" s="7" t="s">
        <v>565</v>
      </c>
      <c r="K1690" s="7" t="s">
        <v>29</v>
      </c>
      <c r="L1690" s="3" t="str">
        <f>E1690&amp;D1690</f>
        <v>E.SP.IPAEE_INS_CONF_S_I_RADIO FIXO DIGITAL_0090</v>
      </c>
      <c r="M1690" s="3" t="str">
        <f>IFERROR(MID(D1690,SEARCH("S_I_",D1690,1),3),"")</f>
        <v>S_I</v>
      </c>
      <c r="N1690" s="3" t="str">
        <f>IFERROR(MID(D1690,SEARCH("C_I_",D1690,1),3),"")</f>
        <v/>
      </c>
      <c r="O1690" s="3" t="str">
        <f>IF(AND(M1690="",N1690=""),"Extra","")</f>
        <v/>
      </c>
      <c r="P1690" s="3" t="str">
        <f>IF(Q1690=0,"TERCEIRO","MRS")</f>
        <v>MRS</v>
      </c>
      <c r="Q1690" s="8" t="str">
        <f>IFERROR(VLOOKUP(L1690,#REF!,4,0),"0,00")</f>
        <v>0,00</v>
      </c>
      <c r="R1690" s="9" t="s">
        <v>42</v>
      </c>
      <c r="S1690" s="9">
        <f>COUNTIF(D1690,"*_SEG_*")</f>
        <v>0</v>
      </c>
      <c r="T1690" s="9">
        <f>COUNTIF(D1690,"*_MAN_*")</f>
        <v>0</v>
      </c>
      <c r="U1690" s="9">
        <f>(RIGHT(D1690,4))*1</f>
        <v>90</v>
      </c>
      <c r="V1690" s="9" t="str">
        <f>IFERROR(VLOOKUP(I1690,#REF!,2,0),"Sinalização")</f>
        <v>Sinalização</v>
      </c>
    </row>
    <row r="1691" spans="1:22" x14ac:dyDescent="0.25">
      <c r="A1691" s="3" t="s">
        <v>22</v>
      </c>
      <c r="B1691" s="4">
        <v>23301985</v>
      </c>
      <c r="C1691" s="5" t="s">
        <v>23</v>
      </c>
      <c r="D1691" s="6" t="s">
        <v>564</v>
      </c>
      <c r="E1691" s="6" t="s">
        <v>25</v>
      </c>
      <c r="F1691" s="11">
        <v>46146</v>
      </c>
      <c r="G1691" s="6" t="s">
        <v>1079</v>
      </c>
      <c r="H1691" s="7"/>
      <c r="I1691" s="7" t="s">
        <v>530</v>
      </c>
      <c r="J1691" s="7" t="s">
        <v>565</v>
      </c>
      <c r="K1691" s="7" t="s">
        <v>29</v>
      </c>
      <c r="L1691" s="3" t="str">
        <f>E1691&amp;D1691</f>
        <v>E.SP.IPAEE_INS_CONF_S_I_RADIO FIXO DIGITAL_0090</v>
      </c>
      <c r="M1691" s="3" t="str">
        <f>IFERROR(MID(D1691,SEARCH("S_I_",D1691,1),3),"")</f>
        <v>S_I</v>
      </c>
      <c r="N1691" s="3" t="str">
        <f>IFERROR(MID(D1691,SEARCH("C_I_",D1691,1),3),"")</f>
        <v/>
      </c>
      <c r="O1691" s="3" t="str">
        <f>IF(AND(M1691="",N1691=""),"Extra","")</f>
        <v/>
      </c>
      <c r="P1691" s="3" t="str">
        <f>IF(Q1691=0,"TERCEIRO","MRS")</f>
        <v>MRS</v>
      </c>
      <c r="Q1691" s="8" t="str">
        <f>IFERROR(VLOOKUP(L1691,#REF!,4,0),"0,00")</f>
        <v>0,00</v>
      </c>
      <c r="R1691" s="9" t="s">
        <v>42</v>
      </c>
      <c r="S1691" s="9">
        <f>COUNTIF(D1691,"*_SEG_*")</f>
        <v>0</v>
      </c>
      <c r="T1691" s="9">
        <f>COUNTIF(D1691,"*_MAN_*")</f>
        <v>0</v>
      </c>
      <c r="U1691" s="9">
        <f>(RIGHT(D1691,4))*1</f>
        <v>90</v>
      </c>
      <c r="V1691" s="9" t="str">
        <f>IFERROR(VLOOKUP(I1691,#REF!,2,0),"Sinalização")</f>
        <v>Sinalização</v>
      </c>
    </row>
    <row r="1692" spans="1:22" x14ac:dyDescent="0.25">
      <c r="A1692" s="3" t="s">
        <v>22</v>
      </c>
      <c r="B1692" s="4">
        <v>23301986</v>
      </c>
      <c r="C1692" s="5" t="s">
        <v>23</v>
      </c>
      <c r="D1692" s="6" t="s">
        <v>564</v>
      </c>
      <c r="E1692" s="6" t="s">
        <v>25</v>
      </c>
      <c r="F1692" s="11">
        <v>46146</v>
      </c>
      <c r="G1692" s="6" t="s">
        <v>1079</v>
      </c>
      <c r="H1692" s="7"/>
      <c r="I1692" s="7" t="s">
        <v>531</v>
      </c>
      <c r="J1692" s="7" t="s">
        <v>565</v>
      </c>
      <c r="K1692" s="7" t="s">
        <v>29</v>
      </c>
      <c r="L1692" s="3" t="str">
        <f>E1692&amp;D1692</f>
        <v>E.SP.IPAEE_INS_CONF_S_I_RADIO FIXO DIGITAL_0090</v>
      </c>
      <c r="M1692" s="3" t="str">
        <f>IFERROR(MID(D1692,SEARCH("S_I_",D1692,1),3),"")</f>
        <v>S_I</v>
      </c>
      <c r="N1692" s="3" t="str">
        <f>IFERROR(MID(D1692,SEARCH("C_I_",D1692,1),3),"")</f>
        <v/>
      </c>
      <c r="O1692" s="3" t="str">
        <f>IF(AND(M1692="",N1692=""),"Extra","")</f>
        <v/>
      </c>
      <c r="P1692" s="3" t="str">
        <f>IF(Q1692=0,"TERCEIRO","MRS")</f>
        <v>MRS</v>
      </c>
      <c r="Q1692" s="8" t="str">
        <f>IFERROR(VLOOKUP(L1692,#REF!,4,0),"0,00")</f>
        <v>0,00</v>
      </c>
      <c r="R1692" s="9" t="s">
        <v>42</v>
      </c>
      <c r="S1692" s="9">
        <f>COUNTIF(D1692,"*_SEG_*")</f>
        <v>0</v>
      </c>
      <c r="T1692" s="9">
        <f>COUNTIF(D1692,"*_MAN_*")</f>
        <v>0</v>
      </c>
      <c r="U1692" s="9">
        <f>(RIGHT(D1692,4))*1</f>
        <v>90</v>
      </c>
      <c r="V1692" s="9" t="str">
        <f>IFERROR(VLOOKUP(I1692,#REF!,2,0),"Sinalização")</f>
        <v>Sinalização</v>
      </c>
    </row>
    <row r="1693" spans="1:22" x14ac:dyDescent="0.25">
      <c r="A1693" s="3" t="s">
        <v>22</v>
      </c>
      <c r="B1693" s="4">
        <v>23301987</v>
      </c>
      <c r="C1693" s="5" t="s">
        <v>23</v>
      </c>
      <c r="D1693" s="6" t="s">
        <v>564</v>
      </c>
      <c r="E1693" s="6" t="s">
        <v>25</v>
      </c>
      <c r="F1693" s="11">
        <v>46146</v>
      </c>
      <c r="G1693" s="6" t="s">
        <v>1079</v>
      </c>
      <c r="H1693" s="7"/>
      <c r="I1693" s="7" t="s">
        <v>532</v>
      </c>
      <c r="J1693" s="7" t="s">
        <v>565</v>
      </c>
      <c r="K1693" s="7" t="s">
        <v>29</v>
      </c>
      <c r="L1693" s="3" t="str">
        <f>E1693&amp;D1693</f>
        <v>E.SP.IPAEE_INS_CONF_S_I_RADIO FIXO DIGITAL_0090</v>
      </c>
      <c r="M1693" s="3" t="str">
        <f>IFERROR(MID(D1693,SEARCH("S_I_",D1693,1),3),"")</f>
        <v>S_I</v>
      </c>
      <c r="N1693" s="3" t="str">
        <f>IFERROR(MID(D1693,SEARCH("C_I_",D1693,1),3),"")</f>
        <v/>
      </c>
      <c r="O1693" s="3" t="str">
        <f>IF(AND(M1693="",N1693=""),"Extra","")</f>
        <v/>
      </c>
      <c r="P1693" s="3" t="str">
        <f>IF(Q1693=0,"TERCEIRO","MRS")</f>
        <v>MRS</v>
      </c>
      <c r="Q1693" s="8" t="str">
        <f>IFERROR(VLOOKUP(L1693,#REF!,4,0),"0,00")</f>
        <v>0,00</v>
      </c>
      <c r="R1693" s="9" t="s">
        <v>42</v>
      </c>
      <c r="S1693" s="9">
        <f>COUNTIF(D1693,"*_SEG_*")</f>
        <v>0</v>
      </c>
      <c r="T1693" s="9">
        <f>COUNTIF(D1693,"*_MAN_*")</f>
        <v>0</v>
      </c>
      <c r="U1693" s="9">
        <f>(RIGHT(D1693,4))*1</f>
        <v>90</v>
      </c>
      <c r="V1693" s="9" t="str">
        <f>IFERROR(VLOOKUP(I1693,#REF!,2,0),"Sinalização")</f>
        <v>Sinalização</v>
      </c>
    </row>
    <row r="1694" spans="1:22" x14ac:dyDescent="0.25">
      <c r="A1694" s="3" t="s">
        <v>22</v>
      </c>
      <c r="B1694" s="4">
        <v>23301988</v>
      </c>
      <c r="C1694" s="5" t="s">
        <v>23</v>
      </c>
      <c r="D1694" s="6" t="s">
        <v>564</v>
      </c>
      <c r="E1694" s="6" t="s">
        <v>25</v>
      </c>
      <c r="F1694" s="11">
        <v>46146</v>
      </c>
      <c r="G1694" s="6" t="s">
        <v>1079</v>
      </c>
      <c r="H1694" s="7"/>
      <c r="I1694" s="7" t="s">
        <v>533</v>
      </c>
      <c r="J1694" s="7" t="s">
        <v>565</v>
      </c>
      <c r="K1694" s="7" t="s">
        <v>29</v>
      </c>
      <c r="L1694" s="3" t="str">
        <f>E1694&amp;D1694</f>
        <v>E.SP.IPAEE_INS_CONF_S_I_RADIO FIXO DIGITAL_0090</v>
      </c>
      <c r="M1694" s="3" t="str">
        <f>IFERROR(MID(D1694,SEARCH("S_I_",D1694,1),3),"")</f>
        <v>S_I</v>
      </c>
      <c r="N1694" s="3" t="str">
        <f>IFERROR(MID(D1694,SEARCH("C_I_",D1694,1),3),"")</f>
        <v/>
      </c>
      <c r="O1694" s="3" t="str">
        <f>IF(AND(M1694="",N1694=""),"Extra","")</f>
        <v/>
      </c>
      <c r="P1694" s="3" t="str">
        <f>IF(Q1694=0,"TERCEIRO","MRS")</f>
        <v>MRS</v>
      </c>
      <c r="Q1694" s="8" t="str">
        <f>IFERROR(VLOOKUP(L1694,#REF!,4,0),"0,00")</f>
        <v>0,00</v>
      </c>
      <c r="R1694" s="9" t="s">
        <v>42</v>
      </c>
      <c r="S1694" s="9">
        <f>COUNTIF(D1694,"*_SEG_*")</f>
        <v>0</v>
      </c>
      <c r="T1694" s="9">
        <f>COUNTIF(D1694,"*_MAN_*")</f>
        <v>0</v>
      </c>
      <c r="U1694" s="9">
        <f>(RIGHT(D1694,4))*1</f>
        <v>90</v>
      </c>
      <c r="V1694" s="9" t="str">
        <f>IFERROR(VLOOKUP(I1694,#REF!,2,0),"Sinalização")</f>
        <v>Sinalização</v>
      </c>
    </row>
    <row r="1695" spans="1:22" x14ac:dyDescent="0.25">
      <c r="A1695" s="3" t="s">
        <v>22</v>
      </c>
      <c r="B1695" s="4">
        <v>23301991</v>
      </c>
      <c r="C1695" s="5" t="s">
        <v>23</v>
      </c>
      <c r="D1695" s="6" t="s">
        <v>566</v>
      </c>
      <c r="E1695" s="6" t="s">
        <v>25</v>
      </c>
      <c r="F1695" s="11">
        <v>46146</v>
      </c>
      <c r="G1695" s="6" t="s">
        <v>1079</v>
      </c>
      <c r="H1695" s="7"/>
      <c r="I1695" s="7" t="s">
        <v>188</v>
      </c>
      <c r="J1695" s="7" t="s">
        <v>567</v>
      </c>
      <c r="K1695" s="7" t="s">
        <v>29</v>
      </c>
      <c r="L1695" s="3" t="str">
        <f>E1695&amp;D1695</f>
        <v>E.SP.IPAEE_INS_CONF_C_I_MCH 110VCC GRS 55BR_0090</v>
      </c>
      <c r="M1695" s="3" t="str">
        <f>IFERROR(MID(D1695,SEARCH("S_I_",D1695,1),3),"")</f>
        <v/>
      </c>
      <c r="N1695" s="3" t="str">
        <f>IFERROR(MID(D1695,SEARCH("C_I_",D1695,1),3),"")</f>
        <v>C_I</v>
      </c>
      <c r="O1695" s="3" t="str">
        <f>IF(AND(M1695="",N1695=""),"Extra","")</f>
        <v/>
      </c>
      <c r="P1695" s="3" t="str">
        <f>IF(Q1695=0,"TERCEIRO","MRS")</f>
        <v>MRS</v>
      </c>
      <c r="Q1695" s="8" t="str">
        <f>IFERROR(VLOOKUP(L1695,#REF!,4,0),"0,00")</f>
        <v>0,00</v>
      </c>
      <c r="R1695" s="9" t="s">
        <v>42</v>
      </c>
      <c r="S1695" s="9">
        <f>COUNTIF(D1695,"*_SEG_*")</f>
        <v>0</v>
      </c>
      <c r="T1695" s="9">
        <f>COUNTIF(D1695,"*_MAN_*")</f>
        <v>0</v>
      </c>
      <c r="U1695" s="9">
        <f>(RIGHT(D1695,4))*1</f>
        <v>90</v>
      </c>
      <c r="V1695" s="9" t="str">
        <f>IFERROR(VLOOKUP(I1695,#REF!,2,0),"Sinalização")</f>
        <v>Sinalização</v>
      </c>
    </row>
    <row r="1696" spans="1:22" x14ac:dyDescent="0.25">
      <c r="A1696" s="3" t="s">
        <v>22</v>
      </c>
      <c r="B1696" s="4">
        <v>23301992</v>
      </c>
      <c r="C1696" s="5" t="s">
        <v>23</v>
      </c>
      <c r="D1696" s="6" t="s">
        <v>566</v>
      </c>
      <c r="E1696" s="6" t="s">
        <v>25</v>
      </c>
      <c r="F1696" s="11">
        <v>46146</v>
      </c>
      <c r="G1696" s="6" t="s">
        <v>1079</v>
      </c>
      <c r="H1696" s="7"/>
      <c r="I1696" s="7" t="s">
        <v>190</v>
      </c>
      <c r="J1696" s="7" t="s">
        <v>567</v>
      </c>
      <c r="K1696" s="7" t="s">
        <v>29</v>
      </c>
      <c r="L1696" s="3" t="str">
        <f>E1696&amp;D1696</f>
        <v>E.SP.IPAEE_INS_CONF_C_I_MCH 110VCC GRS 55BR_0090</v>
      </c>
      <c r="M1696" s="3" t="str">
        <f>IFERROR(MID(D1696,SEARCH("S_I_",D1696,1),3),"")</f>
        <v/>
      </c>
      <c r="N1696" s="3" t="str">
        <f>IFERROR(MID(D1696,SEARCH("C_I_",D1696,1),3),"")</f>
        <v>C_I</v>
      </c>
      <c r="O1696" s="3" t="str">
        <f>IF(AND(M1696="",N1696=""),"Extra","")</f>
        <v/>
      </c>
      <c r="P1696" s="3" t="str">
        <f>IF(Q1696=0,"TERCEIRO","MRS")</f>
        <v>MRS</v>
      </c>
      <c r="Q1696" s="8" t="str">
        <f>IFERROR(VLOOKUP(L1696,#REF!,4,0),"0,00")</f>
        <v>0,00</v>
      </c>
      <c r="R1696" s="9" t="s">
        <v>42</v>
      </c>
      <c r="S1696" s="9">
        <f>COUNTIF(D1696,"*_SEG_*")</f>
        <v>0</v>
      </c>
      <c r="T1696" s="9">
        <f>COUNTIF(D1696,"*_MAN_*")</f>
        <v>0</v>
      </c>
      <c r="U1696" s="9">
        <f>(RIGHT(D1696,4))*1</f>
        <v>90</v>
      </c>
      <c r="V1696" s="9" t="str">
        <f>IFERROR(VLOOKUP(I1696,#REF!,2,0),"Sinalização")</f>
        <v>Sinalização</v>
      </c>
    </row>
    <row r="1697" spans="1:22" x14ac:dyDescent="0.25">
      <c r="A1697" s="3" t="s">
        <v>22</v>
      </c>
      <c r="B1697" s="4">
        <v>23302038</v>
      </c>
      <c r="C1697" s="5" t="s">
        <v>23</v>
      </c>
      <c r="D1697" s="6" t="s">
        <v>568</v>
      </c>
      <c r="E1697" s="6" t="s">
        <v>25</v>
      </c>
      <c r="F1697" s="11">
        <v>46146</v>
      </c>
      <c r="G1697" s="6" t="s">
        <v>1079</v>
      </c>
      <c r="H1697" s="7"/>
      <c r="I1697" s="7" t="s">
        <v>569</v>
      </c>
      <c r="J1697" s="7" t="s">
        <v>558</v>
      </c>
      <c r="K1697" s="7" t="s">
        <v>29</v>
      </c>
      <c r="L1697" s="3" t="str">
        <f>E1697&amp;D1697</f>
        <v>E.SP.IPAEE_INS_CONF_S_I_CIRCUITO VIA CA_0090</v>
      </c>
      <c r="M1697" s="3" t="str">
        <f>IFERROR(MID(D1697,SEARCH("S_I_",D1697,1),3),"")</f>
        <v>S_I</v>
      </c>
      <c r="N1697" s="3" t="str">
        <f>IFERROR(MID(D1697,SEARCH("C_I_",D1697,1),3),"")</f>
        <v/>
      </c>
      <c r="O1697" s="3" t="str">
        <f>IF(AND(M1697="",N1697=""),"Extra","")</f>
        <v/>
      </c>
      <c r="P1697" s="3" t="str">
        <f>IF(Q1697=0,"TERCEIRO","MRS")</f>
        <v>MRS</v>
      </c>
      <c r="Q1697" s="8" t="str">
        <f>IFERROR(VLOOKUP(L1697,#REF!,4,0),"0,00")</f>
        <v>0,00</v>
      </c>
      <c r="R1697" s="9" t="s">
        <v>57</v>
      </c>
      <c r="S1697" s="9">
        <f>COUNTIF(D1697,"*_SEG_*")</f>
        <v>0</v>
      </c>
      <c r="T1697" s="9">
        <f>COUNTIF(D1697,"*_MAN_*")</f>
        <v>0</v>
      </c>
      <c r="U1697" s="9">
        <f>(RIGHT(D1697,4))*1</f>
        <v>90</v>
      </c>
      <c r="V1697" s="9" t="str">
        <f>IFERROR(VLOOKUP(I1697,#REF!,2,0),"Sinalização")</f>
        <v>Sinalização</v>
      </c>
    </row>
    <row r="1698" spans="1:22" x14ac:dyDescent="0.25">
      <c r="A1698" s="3" t="s">
        <v>22</v>
      </c>
      <c r="B1698" s="4">
        <v>23302039</v>
      </c>
      <c r="C1698" s="5" t="s">
        <v>23</v>
      </c>
      <c r="D1698" s="6" t="s">
        <v>568</v>
      </c>
      <c r="E1698" s="6" t="s">
        <v>25</v>
      </c>
      <c r="F1698" s="11">
        <v>46146</v>
      </c>
      <c r="G1698" s="6" t="s">
        <v>1079</v>
      </c>
      <c r="H1698" s="7"/>
      <c r="I1698" s="7" t="s">
        <v>570</v>
      </c>
      <c r="J1698" s="7" t="s">
        <v>558</v>
      </c>
      <c r="K1698" s="7" t="s">
        <v>29</v>
      </c>
      <c r="L1698" s="3" t="str">
        <f>E1698&amp;D1698</f>
        <v>E.SP.IPAEE_INS_CONF_S_I_CIRCUITO VIA CA_0090</v>
      </c>
      <c r="M1698" s="3" t="str">
        <f>IFERROR(MID(D1698,SEARCH("S_I_",D1698,1),3),"")</f>
        <v>S_I</v>
      </c>
      <c r="N1698" s="3" t="str">
        <f>IFERROR(MID(D1698,SEARCH("C_I_",D1698,1),3),"")</f>
        <v/>
      </c>
      <c r="O1698" s="3" t="str">
        <f>IF(AND(M1698="",N1698=""),"Extra","")</f>
        <v/>
      </c>
      <c r="P1698" s="3" t="str">
        <f>IF(Q1698=0,"TERCEIRO","MRS")</f>
        <v>MRS</v>
      </c>
      <c r="Q1698" s="8" t="str">
        <f>IFERROR(VLOOKUP(L1698,#REF!,4,0),"0,00")</f>
        <v>0,00</v>
      </c>
      <c r="R1698" s="9" t="s">
        <v>57</v>
      </c>
      <c r="S1698" s="9">
        <f>COUNTIF(D1698,"*_SEG_*")</f>
        <v>0</v>
      </c>
      <c r="T1698" s="9">
        <f>COUNTIF(D1698,"*_MAN_*")</f>
        <v>0</v>
      </c>
      <c r="U1698" s="9">
        <f>(RIGHT(D1698,4))*1</f>
        <v>90</v>
      </c>
      <c r="V1698" s="9" t="str">
        <f>IFERROR(VLOOKUP(I1698,#REF!,2,0),"Sinalização")</f>
        <v>Sinalização</v>
      </c>
    </row>
    <row r="1699" spans="1:22" x14ac:dyDescent="0.25">
      <c r="A1699" s="3" t="s">
        <v>22</v>
      </c>
      <c r="B1699" s="4">
        <v>23302040</v>
      </c>
      <c r="C1699" s="5" t="s">
        <v>23</v>
      </c>
      <c r="D1699" s="6" t="s">
        <v>568</v>
      </c>
      <c r="E1699" s="6" t="s">
        <v>25</v>
      </c>
      <c r="F1699" s="11">
        <v>46146</v>
      </c>
      <c r="G1699" s="6" t="s">
        <v>1079</v>
      </c>
      <c r="H1699" s="7"/>
      <c r="I1699" s="7" t="s">
        <v>571</v>
      </c>
      <c r="J1699" s="7" t="s">
        <v>558</v>
      </c>
      <c r="K1699" s="7" t="s">
        <v>29</v>
      </c>
      <c r="L1699" s="3" t="str">
        <f>E1699&amp;D1699</f>
        <v>E.SP.IPAEE_INS_CONF_S_I_CIRCUITO VIA CA_0090</v>
      </c>
      <c r="M1699" s="3" t="str">
        <f>IFERROR(MID(D1699,SEARCH("S_I_",D1699,1),3),"")</f>
        <v>S_I</v>
      </c>
      <c r="N1699" s="3" t="str">
        <f>IFERROR(MID(D1699,SEARCH("C_I_",D1699,1),3),"")</f>
        <v/>
      </c>
      <c r="O1699" s="3" t="str">
        <f>IF(AND(M1699="",N1699=""),"Extra","")</f>
        <v/>
      </c>
      <c r="P1699" s="3" t="str">
        <f>IF(Q1699=0,"TERCEIRO","MRS")</f>
        <v>MRS</v>
      </c>
      <c r="Q1699" s="8" t="str">
        <f>IFERROR(VLOOKUP(L1699,#REF!,4,0),"0,00")</f>
        <v>0,00</v>
      </c>
      <c r="R1699" s="9" t="s">
        <v>57</v>
      </c>
      <c r="S1699" s="9">
        <f>COUNTIF(D1699,"*_SEG_*")</f>
        <v>0</v>
      </c>
      <c r="T1699" s="9">
        <f>COUNTIF(D1699,"*_MAN_*")</f>
        <v>0</v>
      </c>
      <c r="U1699" s="9">
        <f>(RIGHT(D1699,4))*1</f>
        <v>90</v>
      </c>
      <c r="V1699" s="9" t="str">
        <f>IFERROR(VLOOKUP(I1699,#REF!,2,0),"Sinalização")</f>
        <v>Sinalização</v>
      </c>
    </row>
    <row r="1700" spans="1:22" x14ac:dyDescent="0.25">
      <c r="A1700" s="3" t="s">
        <v>22</v>
      </c>
      <c r="B1700" s="4">
        <v>23302043</v>
      </c>
      <c r="C1700" s="5" t="s">
        <v>23</v>
      </c>
      <c r="D1700" s="6" t="s">
        <v>568</v>
      </c>
      <c r="E1700" s="6" t="s">
        <v>25</v>
      </c>
      <c r="F1700" s="11">
        <v>46146</v>
      </c>
      <c r="G1700" s="6" t="s">
        <v>1079</v>
      </c>
      <c r="H1700" s="7"/>
      <c r="I1700" s="7" t="s">
        <v>572</v>
      </c>
      <c r="J1700" s="7" t="s">
        <v>558</v>
      </c>
      <c r="K1700" s="7" t="s">
        <v>29</v>
      </c>
      <c r="L1700" s="3" t="str">
        <f>E1700&amp;D1700</f>
        <v>E.SP.IPAEE_INS_CONF_S_I_CIRCUITO VIA CA_0090</v>
      </c>
      <c r="M1700" s="3" t="str">
        <f>IFERROR(MID(D1700,SEARCH("S_I_",D1700,1),3),"")</f>
        <v>S_I</v>
      </c>
      <c r="N1700" s="3" t="str">
        <f>IFERROR(MID(D1700,SEARCH("C_I_",D1700,1),3),"")</f>
        <v/>
      </c>
      <c r="O1700" s="3" t="str">
        <f>IF(AND(M1700="",N1700=""),"Extra","")</f>
        <v/>
      </c>
      <c r="P1700" s="3" t="str">
        <f>IF(Q1700=0,"TERCEIRO","MRS")</f>
        <v>MRS</v>
      </c>
      <c r="Q1700" s="8" t="str">
        <f>IFERROR(VLOOKUP(L1700,#REF!,4,0),"0,00")</f>
        <v>0,00</v>
      </c>
      <c r="R1700" s="9" t="s">
        <v>57</v>
      </c>
      <c r="S1700" s="9">
        <f>COUNTIF(D1700,"*_SEG_*")</f>
        <v>0</v>
      </c>
      <c r="T1700" s="9">
        <f>COUNTIF(D1700,"*_MAN_*")</f>
        <v>0</v>
      </c>
      <c r="U1700" s="9">
        <f>(RIGHT(D1700,4))*1</f>
        <v>90</v>
      </c>
      <c r="V1700" s="9" t="str">
        <f>IFERROR(VLOOKUP(I1700,#REF!,2,0),"Sinalização")</f>
        <v>Sinalização</v>
      </c>
    </row>
    <row r="1701" spans="1:22" x14ac:dyDescent="0.25">
      <c r="A1701" s="3" t="s">
        <v>22</v>
      </c>
      <c r="B1701" s="4">
        <v>23302046</v>
      </c>
      <c r="C1701" s="5" t="s">
        <v>23</v>
      </c>
      <c r="D1701" s="6" t="s">
        <v>573</v>
      </c>
      <c r="E1701" s="6" t="s">
        <v>25</v>
      </c>
      <c r="F1701" s="11">
        <v>46146</v>
      </c>
      <c r="G1701" s="6" t="s">
        <v>1079</v>
      </c>
      <c r="H1701" s="7"/>
      <c r="I1701" s="7" t="s">
        <v>574</v>
      </c>
      <c r="J1701" s="7" t="s">
        <v>575</v>
      </c>
      <c r="K1701" s="7" t="s">
        <v>29</v>
      </c>
      <c r="L1701" s="3" t="str">
        <f>E1701&amp;D1701</f>
        <v>E.SP.IPAEE_INS_CONF_S_I_AES FIBRA OTICA_0090</v>
      </c>
      <c r="M1701" s="3" t="str">
        <f>IFERROR(MID(D1701,SEARCH("S_I_",D1701,1),3),"")</f>
        <v>S_I</v>
      </c>
      <c r="N1701" s="3" t="str">
        <f>IFERROR(MID(D1701,SEARCH("C_I_",D1701,1),3),"")</f>
        <v/>
      </c>
      <c r="O1701" s="3" t="str">
        <f>IF(AND(M1701="",N1701=""),"Extra","")</f>
        <v/>
      </c>
      <c r="P1701" s="3" t="str">
        <f>IF(Q1701=0,"TERCEIRO","MRS")</f>
        <v>MRS</v>
      </c>
      <c r="Q1701" s="8" t="str">
        <f>IFERROR(VLOOKUP(L1701,#REF!,4,0),"0,00")</f>
        <v>0,00</v>
      </c>
      <c r="R1701" s="9" t="s">
        <v>57</v>
      </c>
      <c r="S1701" s="9">
        <f>COUNTIF(D1701,"*_SEG_*")</f>
        <v>0</v>
      </c>
      <c r="T1701" s="9">
        <f>COUNTIF(D1701,"*_MAN_*")</f>
        <v>0</v>
      </c>
      <c r="U1701" s="9">
        <f>(RIGHT(D1701,4))*1</f>
        <v>90</v>
      </c>
      <c r="V1701" s="9" t="str">
        <f>IFERROR(VLOOKUP(I1701,#REF!,2,0),"Sinalização")</f>
        <v>Sinalização</v>
      </c>
    </row>
    <row r="1702" spans="1:22" x14ac:dyDescent="0.25">
      <c r="A1702" s="3" t="s">
        <v>22</v>
      </c>
      <c r="B1702" s="4">
        <v>23302049</v>
      </c>
      <c r="C1702" s="5" t="s">
        <v>23</v>
      </c>
      <c r="D1702" s="6" t="s">
        <v>576</v>
      </c>
      <c r="E1702" s="6" t="s">
        <v>25</v>
      </c>
      <c r="F1702" s="11">
        <v>46146</v>
      </c>
      <c r="G1702" s="6" t="s">
        <v>1079</v>
      </c>
      <c r="H1702" s="7"/>
      <c r="I1702" s="7" t="s">
        <v>577</v>
      </c>
      <c r="J1702" s="7" t="s">
        <v>578</v>
      </c>
      <c r="K1702" s="7" t="s">
        <v>29</v>
      </c>
      <c r="L1702" s="3" t="str">
        <f>E1702&amp;D1702</f>
        <v>E.SP.IPAEE_MAN_CONF_S_I_BL INT RELÉ S/ BAT_0090</v>
      </c>
      <c r="M1702" s="3" t="str">
        <f>IFERROR(MID(D1702,SEARCH("S_I_",D1702,1),3),"")</f>
        <v>S_I</v>
      </c>
      <c r="N1702" s="3" t="str">
        <f>IFERROR(MID(D1702,SEARCH("C_I_",D1702,1),3),"")</f>
        <v/>
      </c>
      <c r="O1702" s="3" t="str">
        <f>IF(AND(M1702="",N1702=""),"Extra","")</f>
        <v/>
      </c>
      <c r="P1702" s="3" t="str">
        <f>IF(Q1702=0,"TERCEIRO","MRS")</f>
        <v>MRS</v>
      </c>
      <c r="Q1702" s="8" t="str">
        <f>IFERROR(VLOOKUP(L1702,#REF!,4,0),"0,00")</f>
        <v>0,00</v>
      </c>
      <c r="R1702" s="9" t="s">
        <v>57</v>
      </c>
      <c r="S1702" s="9">
        <f>COUNTIF(D1702,"*_SEG_*")</f>
        <v>0</v>
      </c>
      <c r="T1702" s="9">
        <f>COUNTIF(D1702,"*_MAN_*")</f>
        <v>1</v>
      </c>
      <c r="U1702" s="9">
        <f>(RIGHT(D1702,4))*1</f>
        <v>90</v>
      </c>
      <c r="V1702" s="9" t="str">
        <f>IFERROR(VLOOKUP(I1702,#REF!,2,0),"Sinalização")</f>
        <v>Sinalização</v>
      </c>
    </row>
    <row r="1703" spans="1:22" x14ac:dyDescent="0.25">
      <c r="A1703" s="3" t="s">
        <v>22</v>
      </c>
      <c r="B1703" s="4">
        <v>23302050</v>
      </c>
      <c r="C1703" s="5" t="s">
        <v>23</v>
      </c>
      <c r="D1703" s="6" t="s">
        <v>576</v>
      </c>
      <c r="E1703" s="6" t="s">
        <v>25</v>
      </c>
      <c r="F1703" s="11">
        <v>46146</v>
      </c>
      <c r="G1703" s="6" t="s">
        <v>1079</v>
      </c>
      <c r="H1703" s="7"/>
      <c r="I1703" s="7" t="s">
        <v>579</v>
      </c>
      <c r="J1703" s="7" t="s">
        <v>578</v>
      </c>
      <c r="K1703" s="7" t="s">
        <v>29</v>
      </c>
      <c r="L1703" s="3" t="str">
        <f>E1703&amp;D1703</f>
        <v>E.SP.IPAEE_MAN_CONF_S_I_BL INT RELÉ S/ BAT_0090</v>
      </c>
      <c r="M1703" s="3" t="str">
        <f>IFERROR(MID(D1703,SEARCH("S_I_",D1703,1),3),"")</f>
        <v>S_I</v>
      </c>
      <c r="N1703" s="3" t="str">
        <f>IFERROR(MID(D1703,SEARCH("C_I_",D1703,1),3),"")</f>
        <v/>
      </c>
      <c r="O1703" s="3" t="str">
        <f>IF(AND(M1703="",N1703=""),"Extra","")</f>
        <v/>
      </c>
      <c r="P1703" s="3" t="str">
        <f>IF(Q1703=0,"TERCEIRO","MRS")</f>
        <v>MRS</v>
      </c>
      <c r="Q1703" s="8" t="str">
        <f>IFERROR(VLOOKUP(L1703,#REF!,4,0),"0,00")</f>
        <v>0,00</v>
      </c>
      <c r="R1703" s="9" t="s">
        <v>57</v>
      </c>
      <c r="S1703" s="9">
        <f>COUNTIF(D1703,"*_SEG_*")</f>
        <v>0</v>
      </c>
      <c r="T1703" s="9">
        <f>COUNTIF(D1703,"*_MAN_*")</f>
        <v>1</v>
      </c>
      <c r="U1703" s="9">
        <f>(RIGHT(D1703,4))*1</f>
        <v>90</v>
      </c>
      <c r="V1703" s="9" t="str">
        <f>IFERROR(VLOOKUP(I1703,#REF!,2,0),"Sinalização")</f>
        <v>Sinalização</v>
      </c>
    </row>
    <row r="1704" spans="1:22" x14ac:dyDescent="0.25">
      <c r="A1704" s="3" t="s">
        <v>22</v>
      </c>
      <c r="B1704" s="4">
        <v>23302051</v>
      </c>
      <c r="C1704" s="5" t="s">
        <v>23</v>
      </c>
      <c r="D1704" s="6" t="s">
        <v>576</v>
      </c>
      <c r="E1704" s="6" t="s">
        <v>25</v>
      </c>
      <c r="F1704" s="11">
        <v>46146</v>
      </c>
      <c r="G1704" s="6" t="s">
        <v>1079</v>
      </c>
      <c r="H1704" s="7"/>
      <c r="I1704" s="7" t="s">
        <v>580</v>
      </c>
      <c r="J1704" s="7" t="s">
        <v>578</v>
      </c>
      <c r="K1704" s="7" t="s">
        <v>29</v>
      </c>
      <c r="L1704" s="3" t="str">
        <f>E1704&amp;D1704</f>
        <v>E.SP.IPAEE_MAN_CONF_S_I_BL INT RELÉ S/ BAT_0090</v>
      </c>
      <c r="M1704" s="3" t="str">
        <f>IFERROR(MID(D1704,SEARCH("S_I_",D1704,1),3),"")</f>
        <v>S_I</v>
      </c>
      <c r="N1704" s="3" t="str">
        <f>IFERROR(MID(D1704,SEARCH("C_I_",D1704,1),3),"")</f>
        <v/>
      </c>
      <c r="O1704" s="3" t="str">
        <f>IF(AND(M1704="",N1704=""),"Extra","")</f>
        <v/>
      </c>
      <c r="P1704" s="3" t="str">
        <f>IF(Q1704=0,"TERCEIRO","MRS")</f>
        <v>MRS</v>
      </c>
      <c r="Q1704" s="8" t="str">
        <f>IFERROR(VLOOKUP(L1704,#REF!,4,0),"0,00")</f>
        <v>0,00</v>
      </c>
      <c r="R1704" s="9" t="s">
        <v>57</v>
      </c>
      <c r="S1704" s="9">
        <f>COUNTIF(D1704,"*_SEG_*")</f>
        <v>0</v>
      </c>
      <c r="T1704" s="9">
        <f>COUNTIF(D1704,"*_MAN_*")</f>
        <v>1</v>
      </c>
      <c r="U1704" s="9">
        <f>(RIGHT(D1704,4))*1</f>
        <v>90</v>
      </c>
      <c r="V1704" s="9" t="str">
        <f>IFERROR(VLOOKUP(I1704,#REF!,2,0),"Sinalização")</f>
        <v>Sinalização</v>
      </c>
    </row>
    <row r="1705" spans="1:22" x14ac:dyDescent="0.25">
      <c r="A1705" s="3" t="s">
        <v>22</v>
      </c>
      <c r="B1705" s="4">
        <v>23302053</v>
      </c>
      <c r="C1705" s="5" t="s">
        <v>23</v>
      </c>
      <c r="D1705" s="6" t="s">
        <v>576</v>
      </c>
      <c r="E1705" s="6" t="s">
        <v>25</v>
      </c>
      <c r="F1705" s="11">
        <v>46146</v>
      </c>
      <c r="G1705" s="6" t="s">
        <v>1079</v>
      </c>
      <c r="H1705" s="7"/>
      <c r="I1705" s="7" t="s">
        <v>581</v>
      </c>
      <c r="J1705" s="7" t="s">
        <v>578</v>
      </c>
      <c r="K1705" s="7" t="s">
        <v>29</v>
      </c>
      <c r="L1705" s="3" t="str">
        <f>E1705&amp;D1705</f>
        <v>E.SP.IPAEE_MAN_CONF_S_I_BL INT RELÉ S/ BAT_0090</v>
      </c>
      <c r="M1705" s="3" t="str">
        <f>IFERROR(MID(D1705,SEARCH("S_I_",D1705,1),3),"")</f>
        <v>S_I</v>
      </c>
      <c r="N1705" s="3" t="str">
        <f>IFERROR(MID(D1705,SEARCH("C_I_",D1705,1),3),"")</f>
        <v/>
      </c>
      <c r="O1705" s="3" t="str">
        <f>IF(AND(M1705="",N1705=""),"Extra","")</f>
        <v/>
      </c>
      <c r="P1705" s="3" t="str">
        <f>IF(Q1705=0,"TERCEIRO","MRS")</f>
        <v>MRS</v>
      </c>
      <c r="Q1705" s="8" t="str">
        <f>IFERROR(VLOOKUP(L1705,#REF!,4,0),"0,00")</f>
        <v>0,00</v>
      </c>
      <c r="R1705" s="9" t="s">
        <v>57</v>
      </c>
      <c r="S1705" s="9">
        <f>COUNTIF(D1705,"*_SEG_*")</f>
        <v>0</v>
      </c>
      <c r="T1705" s="9">
        <f>COUNTIF(D1705,"*_MAN_*")</f>
        <v>1</v>
      </c>
      <c r="U1705" s="9">
        <f>(RIGHT(D1705,4))*1</f>
        <v>90</v>
      </c>
      <c r="V1705" s="9" t="str">
        <f>IFERROR(VLOOKUP(I1705,#REF!,2,0),"Sinalização")</f>
        <v>Sinalização</v>
      </c>
    </row>
    <row r="1706" spans="1:22" x14ac:dyDescent="0.25">
      <c r="A1706" s="3" t="s">
        <v>22</v>
      </c>
      <c r="B1706" s="4">
        <v>23302054</v>
      </c>
      <c r="C1706" s="5" t="s">
        <v>23</v>
      </c>
      <c r="D1706" s="6" t="s">
        <v>576</v>
      </c>
      <c r="E1706" s="6" t="s">
        <v>25</v>
      </c>
      <c r="F1706" s="11">
        <v>46146</v>
      </c>
      <c r="G1706" s="6" t="s">
        <v>1079</v>
      </c>
      <c r="H1706" s="7"/>
      <c r="I1706" s="7" t="s">
        <v>417</v>
      </c>
      <c r="J1706" s="7" t="s">
        <v>578</v>
      </c>
      <c r="K1706" s="7" t="s">
        <v>29</v>
      </c>
      <c r="L1706" s="3" t="str">
        <f>E1706&amp;D1706</f>
        <v>E.SP.IPAEE_MAN_CONF_S_I_BL INT RELÉ S/ BAT_0090</v>
      </c>
      <c r="M1706" s="3" t="str">
        <f>IFERROR(MID(D1706,SEARCH("S_I_",D1706,1),3),"")</f>
        <v>S_I</v>
      </c>
      <c r="N1706" s="3" t="str">
        <f>IFERROR(MID(D1706,SEARCH("C_I_",D1706,1),3),"")</f>
        <v/>
      </c>
      <c r="O1706" s="3" t="str">
        <f>IF(AND(M1706="",N1706=""),"Extra","")</f>
        <v/>
      </c>
      <c r="P1706" s="3" t="str">
        <f>IF(Q1706=0,"TERCEIRO","MRS")</f>
        <v>MRS</v>
      </c>
      <c r="Q1706" s="8" t="str">
        <f>IFERROR(VLOOKUP(L1706,#REF!,4,0),"0,00")</f>
        <v>0,00</v>
      </c>
      <c r="R1706" s="9" t="s">
        <v>57</v>
      </c>
      <c r="S1706" s="9">
        <f>COUNTIF(D1706,"*_SEG_*")</f>
        <v>0</v>
      </c>
      <c r="T1706" s="9">
        <f>COUNTIF(D1706,"*_MAN_*")</f>
        <v>1</v>
      </c>
      <c r="U1706" s="9">
        <f>(RIGHT(D1706,4))*1</f>
        <v>90</v>
      </c>
      <c r="V1706" s="9" t="str">
        <f>IFERROR(VLOOKUP(I1706,#REF!,2,0),"Sinalização")</f>
        <v>Sinalização</v>
      </c>
    </row>
    <row r="1707" spans="1:22" x14ac:dyDescent="0.25">
      <c r="A1707" s="3" t="s">
        <v>22</v>
      </c>
      <c r="B1707" s="4">
        <v>23302055</v>
      </c>
      <c r="C1707" s="5" t="s">
        <v>23</v>
      </c>
      <c r="D1707" s="6" t="s">
        <v>576</v>
      </c>
      <c r="E1707" s="6" t="s">
        <v>25</v>
      </c>
      <c r="F1707" s="11">
        <v>46146</v>
      </c>
      <c r="G1707" s="6" t="s">
        <v>1079</v>
      </c>
      <c r="H1707" s="7"/>
      <c r="I1707" s="7" t="s">
        <v>426</v>
      </c>
      <c r="J1707" s="7" t="s">
        <v>578</v>
      </c>
      <c r="K1707" s="7" t="s">
        <v>29</v>
      </c>
      <c r="L1707" s="3" t="str">
        <f>E1707&amp;D1707</f>
        <v>E.SP.IPAEE_MAN_CONF_S_I_BL INT RELÉ S/ BAT_0090</v>
      </c>
      <c r="M1707" s="3" t="str">
        <f>IFERROR(MID(D1707,SEARCH("S_I_",D1707,1),3),"")</f>
        <v>S_I</v>
      </c>
      <c r="N1707" s="3" t="str">
        <f>IFERROR(MID(D1707,SEARCH("C_I_",D1707,1),3),"")</f>
        <v/>
      </c>
      <c r="O1707" s="3" t="str">
        <f>IF(AND(M1707="",N1707=""),"Extra","")</f>
        <v/>
      </c>
      <c r="P1707" s="3" t="str">
        <f>IF(Q1707=0,"TERCEIRO","MRS")</f>
        <v>MRS</v>
      </c>
      <c r="Q1707" s="8" t="str">
        <f>IFERROR(VLOOKUP(L1707,#REF!,4,0),"0,00")</f>
        <v>0,00</v>
      </c>
      <c r="R1707" s="9" t="s">
        <v>57</v>
      </c>
      <c r="S1707" s="9">
        <f>COUNTIF(D1707,"*_SEG_*")</f>
        <v>0</v>
      </c>
      <c r="T1707" s="9">
        <f>COUNTIF(D1707,"*_MAN_*")</f>
        <v>1</v>
      </c>
      <c r="U1707" s="9">
        <f>(RIGHT(D1707,4))*1</f>
        <v>90</v>
      </c>
      <c r="V1707" s="9" t="str">
        <f>IFERROR(VLOOKUP(I1707,#REF!,2,0),"Sinalização")</f>
        <v>Sinalização</v>
      </c>
    </row>
    <row r="1708" spans="1:22" x14ac:dyDescent="0.25">
      <c r="A1708" s="3" t="s">
        <v>22</v>
      </c>
      <c r="B1708" s="4">
        <v>23302056</v>
      </c>
      <c r="C1708" s="5" t="s">
        <v>23</v>
      </c>
      <c r="D1708" s="6" t="s">
        <v>582</v>
      </c>
      <c r="E1708" s="6" t="s">
        <v>25</v>
      </c>
      <c r="F1708" s="11">
        <v>46146</v>
      </c>
      <c r="G1708" s="6" t="s">
        <v>1079</v>
      </c>
      <c r="H1708" s="7"/>
      <c r="I1708" s="7" t="s">
        <v>583</v>
      </c>
      <c r="J1708" s="7" t="s">
        <v>584</v>
      </c>
      <c r="K1708" s="7" t="s">
        <v>29</v>
      </c>
      <c r="L1708" s="3" t="str">
        <f>E1708&amp;D1708</f>
        <v>E.SP.IPAEE_MAN_CONF_S_I_QUADRO DISTR ENER_0090</v>
      </c>
      <c r="M1708" s="3" t="str">
        <f>IFERROR(MID(D1708,SEARCH("S_I_",D1708,1),3),"")</f>
        <v>S_I</v>
      </c>
      <c r="N1708" s="3" t="str">
        <f>IFERROR(MID(D1708,SEARCH("C_I_",D1708,1),3),"")</f>
        <v/>
      </c>
      <c r="O1708" s="3" t="str">
        <f>IF(AND(M1708="",N1708=""),"Extra","")</f>
        <v/>
      </c>
      <c r="P1708" s="3" t="str">
        <f>IF(Q1708=0,"TERCEIRO","MRS")</f>
        <v>MRS</v>
      </c>
      <c r="Q1708" s="8" t="str">
        <f>IFERROR(VLOOKUP(L1708,#REF!,4,0),"0,00")</f>
        <v>0,00</v>
      </c>
      <c r="R1708" s="9" t="s">
        <v>98</v>
      </c>
      <c r="S1708" s="9">
        <f>COUNTIF(D1708,"*_SEG_*")</f>
        <v>0</v>
      </c>
      <c r="T1708" s="9">
        <f>COUNTIF(D1708,"*_MAN_*")</f>
        <v>1</v>
      </c>
      <c r="U1708" s="9">
        <f>(RIGHT(D1708,4))*1</f>
        <v>90</v>
      </c>
      <c r="V1708" s="9" t="str">
        <f>IFERROR(VLOOKUP(I1708,#REF!,2,0),"Sinalização")</f>
        <v>Sinalização</v>
      </c>
    </row>
    <row r="1709" spans="1:22" x14ac:dyDescent="0.25">
      <c r="A1709" s="3" t="s">
        <v>22</v>
      </c>
      <c r="B1709" s="4">
        <v>23302057</v>
      </c>
      <c r="C1709" s="5" t="s">
        <v>23</v>
      </c>
      <c r="D1709" s="6" t="s">
        <v>582</v>
      </c>
      <c r="E1709" s="6" t="s">
        <v>25</v>
      </c>
      <c r="F1709" s="11">
        <v>46146</v>
      </c>
      <c r="G1709" s="6" t="s">
        <v>1079</v>
      </c>
      <c r="H1709" s="7"/>
      <c r="I1709" s="7" t="s">
        <v>585</v>
      </c>
      <c r="J1709" s="7" t="s">
        <v>584</v>
      </c>
      <c r="K1709" s="7" t="s">
        <v>29</v>
      </c>
      <c r="L1709" s="3" t="str">
        <f>E1709&amp;D1709</f>
        <v>E.SP.IPAEE_MAN_CONF_S_I_QUADRO DISTR ENER_0090</v>
      </c>
      <c r="M1709" s="3" t="str">
        <f>IFERROR(MID(D1709,SEARCH("S_I_",D1709,1),3),"")</f>
        <v>S_I</v>
      </c>
      <c r="N1709" s="3" t="str">
        <f>IFERROR(MID(D1709,SEARCH("C_I_",D1709,1),3),"")</f>
        <v/>
      </c>
      <c r="O1709" s="3" t="str">
        <f>IF(AND(M1709="",N1709=""),"Extra","")</f>
        <v/>
      </c>
      <c r="P1709" s="3" t="str">
        <f>IF(Q1709=0,"TERCEIRO","MRS")</f>
        <v>MRS</v>
      </c>
      <c r="Q1709" s="8" t="str">
        <f>IFERROR(VLOOKUP(L1709,#REF!,4,0),"0,00")</f>
        <v>0,00</v>
      </c>
      <c r="R1709" s="9" t="s">
        <v>98</v>
      </c>
      <c r="S1709" s="9">
        <f>COUNTIF(D1709,"*_SEG_*")</f>
        <v>0</v>
      </c>
      <c r="T1709" s="9">
        <f>COUNTIF(D1709,"*_MAN_*")</f>
        <v>1</v>
      </c>
      <c r="U1709" s="9">
        <f>(RIGHT(D1709,4))*1</f>
        <v>90</v>
      </c>
      <c r="V1709" s="9" t="str">
        <f>IFERROR(VLOOKUP(I1709,#REF!,2,0),"Sinalização")</f>
        <v>Sinalização</v>
      </c>
    </row>
    <row r="1710" spans="1:22" x14ac:dyDescent="0.25">
      <c r="A1710" s="3" t="s">
        <v>22</v>
      </c>
      <c r="B1710" s="4">
        <v>23302058</v>
      </c>
      <c r="C1710" s="5" t="s">
        <v>23</v>
      </c>
      <c r="D1710" s="6" t="s">
        <v>582</v>
      </c>
      <c r="E1710" s="6" t="s">
        <v>25</v>
      </c>
      <c r="F1710" s="11">
        <v>46146</v>
      </c>
      <c r="G1710" s="6" t="s">
        <v>1079</v>
      </c>
      <c r="H1710" s="7"/>
      <c r="I1710" s="7" t="s">
        <v>586</v>
      </c>
      <c r="J1710" s="7" t="s">
        <v>584</v>
      </c>
      <c r="K1710" s="7" t="s">
        <v>29</v>
      </c>
      <c r="L1710" s="3" t="str">
        <f>E1710&amp;D1710</f>
        <v>E.SP.IPAEE_MAN_CONF_S_I_QUADRO DISTR ENER_0090</v>
      </c>
      <c r="M1710" s="3" t="str">
        <f>IFERROR(MID(D1710,SEARCH("S_I_",D1710,1),3),"")</f>
        <v>S_I</v>
      </c>
      <c r="N1710" s="3" t="str">
        <f>IFERROR(MID(D1710,SEARCH("C_I_",D1710,1),3),"")</f>
        <v/>
      </c>
      <c r="O1710" s="3" t="str">
        <f>IF(AND(M1710="",N1710=""),"Extra","")</f>
        <v/>
      </c>
      <c r="P1710" s="3" t="str">
        <f>IF(Q1710=0,"TERCEIRO","MRS")</f>
        <v>MRS</v>
      </c>
      <c r="Q1710" s="8" t="str">
        <f>IFERROR(VLOOKUP(L1710,#REF!,4,0),"0,00")</f>
        <v>0,00</v>
      </c>
      <c r="R1710" s="9" t="s">
        <v>98</v>
      </c>
      <c r="S1710" s="9">
        <f>COUNTIF(D1710,"*_SEG_*")</f>
        <v>0</v>
      </c>
      <c r="T1710" s="9">
        <f>COUNTIF(D1710,"*_MAN_*")</f>
        <v>1</v>
      </c>
      <c r="U1710" s="9">
        <f>(RIGHT(D1710,4))*1</f>
        <v>90</v>
      </c>
      <c r="V1710" s="9" t="str">
        <f>IFERROR(VLOOKUP(I1710,#REF!,2,0),"Sinalização")</f>
        <v>Sinalização</v>
      </c>
    </row>
    <row r="1711" spans="1:22" x14ac:dyDescent="0.25">
      <c r="A1711" s="3" t="s">
        <v>22</v>
      </c>
      <c r="B1711" s="4">
        <v>23302059</v>
      </c>
      <c r="C1711" s="5" t="s">
        <v>23</v>
      </c>
      <c r="D1711" s="6" t="s">
        <v>582</v>
      </c>
      <c r="E1711" s="6" t="s">
        <v>25</v>
      </c>
      <c r="F1711" s="11">
        <v>46146</v>
      </c>
      <c r="G1711" s="6" t="s">
        <v>1079</v>
      </c>
      <c r="H1711" s="7"/>
      <c r="I1711" s="7" t="s">
        <v>134</v>
      </c>
      <c r="J1711" s="7" t="s">
        <v>584</v>
      </c>
      <c r="K1711" s="7" t="s">
        <v>29</v>
      </c>
      <c r="L1711" s="3" t="str">
        <f>E1711&amp;D1711</f>
        <v>E.SP.IPAEE_MAN_CONF_S_I_QUADRO DISTR ENER_0090</v>
      </c>
      <c r="M1711" s="3" t="str">
        <f>IFERROR(MID(D1711,SEARCH("S_I_",D1711,1),3),"")</f>
        <v>S_I</v>
      </c>
      <c r="N1711" s="3" t="str">
        <f>IFERROR(MID(D1711,SEARCH("C_I_",D1711,1),3),"")</f>
        <v/>
      </c>
      <c r="O1711" s="3" t="str">
        <f>IF(AND(M1711="",N1711=""),"Extra","")</f>
        <v/>
      </c>
      <c r="P1711" s="3" t="str">
        <f>IF(Q1711=0,"TERCEIRO","MRS")</f>
        <v>MRS</v>
      </c>
      <c r="Q1711" s="8" t="str">
        <f>IFERROR(VLOOKUP(L1711,#REF!,4,0),"0,00")</f>
        <v>0,00</v>
      </c>
      <c r="R1711" s="9" t="s">
        <v>98</v>
      </c>
      <c r="S1711" s="9">
        <f>COUNTIF(D1711,"*_SEG_*")</f>
        <v>0</v>
      </c>
      <c r="T1711" s="9">
        <f>COUNTIF(D1711,"*_MAN_*")</f>
        <v>1</v>
      </c>
      <c r="U1711" s="9">
        <f>(RIGHT(D1711,4))*1</f>
        <v>90</v>
      </c>
      <c r="V1711" s="9" t="str">
        <f>IFERROR(VLOOKUP(I1711,#REF!,2,0),"Sinalização")</f>
        <v>Sinalização</v>
      </c>
    </row>
    <row r="1712" spans="1:22" x14ac:dyDescent="0.25">
      <c r="A1712" s="3" t="s">
        <v>22</v>
      </c>
      <c r="B1712" s="4">
        <v>23302060</v>
      </c>
      <c r="C1712" s="5" t="s">
        <v>23</v>
      </c>
      <c r="D1712" s="6" t="s">
        <v>582</v>
      </c>
      <c r="E1712" s="6" t="s">
        <v>25</v>
      </c>
      <c r="F1712" s="11">
        <v>46146</v>
      </c>
      <c r="G1712" s="6" t="s">
        <v>1079</v>
      </c>
      <c r="H1712" s="7"/>
      <c r="I1712" s="7" t="s">
        <v>587</v>
      </c>
      <c r="J1712" s="7" t="s">
        <v>584</v>
      </c>
      <c r="K1712" s="7" t="s">
        <v>29</v>
      </c>
      <c r="L1712" s="3" t="str">
        <f>E1712&amp;D1712</f>
        <v>E.SP.IPAEE_MAN_CONF_S_I_QUADRO DISTR ENER_0090</v>
      </c>
      <c r="M1712" s="3" t="str">
        <f>IFERROR(MID(D1712,SEARCH("S_I_",D1712,1),3),"")</f>
        <v>S_I</v>
      </c>
      <c r="N1712" s="3" t="str">
        <f>IFERROR(MID(D1712,SEARCH("C_I_",D1712,1),3),"")</f>
        <v/>
      </c>
      <c r="O1712" s="3" t="str">
        <f>IF(AND(M1712="",N1712=""),"Extra","")</f>
        <v/>
      </c>
      <c r="P1712" s="3" t="str">
        <f>IF(Q1712=0,"TERCEIRO","MRS")</f>
        <v>MRS</v>
      </c>
      <c r="Q1712" s="8" t="str">
        <f>IFERROR(VLOOKUP(L1712,#REF!,4,0),"0,00")</f>
        <v>0,00</v>
      </c>
      <c r="R1712" s="9" t="s">
        <v>98</v>
      </c>
      <c r="S1712" s="9">
        <f>COUNTIF(D1712,"*_SEG_*")</f>
        <v>0</v>
      </c>
      <c r="T1712" s="9">
        <f>COUNTIF(D1712,"*_MAN_*")</f>
        <v>1</v>
      </c>
      <c r="U1712" s="9">
        <f>(RIGHT(D1712,4))*1</f>
        <v>90</v>
      </c>
      <c r="V1712" s="9" t="str">
        <f>IFERROR(VLOOKUP(I1712,#REF!,2,0),"Sinalização")</f>
        <v>Sinalização</v>
      </c>
    </row>
    <row r="1713" spans="1:22" x14ac:dyDescent="0.25">
      <c r="A1713" s="3" t="s">
        <v>22</v>
      </c>
      <c r="B1713" s="4">
        <v>23302061</v>
      </c>
      <c r="C1713" s="5" t="s">
        <v>23</v>
      </c>
      <c r="D1713" s="6" t="s">
        <v>588</v>
      </c>
      <c r="E1713" s="6" t="s">
        <v>25</v>
      </c>
      <c r="F1713" s="11">
        <v>46146</v>
      </c>
      <c r="G1713" s="6" t="s">
        <v>1079</v>
      </c>
      <c r="H1713" s="7"/>
      <c r="I1713" s="7" t="s">
        <v>583</v>
      </c>
      <c r="J1713" s="7" t="s">
        <v>589</v>
      </c>
      <c r="K1713" s="7" t="s">
        <v>29</v>
      </c>
      <c r="L1713" s="3" t="str">
        <f>E1713&amp;D1713</f>
        <v>E.SP.IPAEE_INS_CONF_C_I_QUADRO DISTR ENER_0090</v>
      </c>
      <c r="M1713" s="3" t="str">
        <f>IFERROR(MID(D1713,SEARCH("S_I_",D1713,1),3),"")</f>
        <v/>
      </c>
      <c r="N1713" s="3" t="str">
        <f>IFERROR(MID(D1713,SEARCH("C_I_",D1713,1),3),"")</f>
        <v>C_I</v>
      </c>
      <c r="O1713" s="3" t="str">
        <f>IF(AND(M1713="",N1713=""),"Extra","")</f>
        <v/>
      </c>
      <c r="P1713" s="3" t="str">
        <f>IF(Q1713=0,"TERCEIRO","MRS")</f>
        <v>MRS</v>
      </c>
      <c r="Q1713" s="8" t="str">
        <f>IFERROR(VLOOKUP(L1713,#REF!,4,0),"0,00")</f>
        <v>0,00</v>
      </c>
      <c r="R1713" s="9" t="s">
        <v>98</v>
      </c>
      <c r="S1713" s="9">
        <f>COUNTIF(D1713,"*_SEG_*")</f>
        <v>0</v>
      </c>
      <c r="T1713" s="9">
        <f>COUNTIF(D1713,"*_MAN_*")</f>
        <v>0</v>
      </c>
      <c r="U1713" s="9">
        <f>(RIGHT(D1713,4))*1</f>
        <v>90</v>
      </c>
      <c r="V1713" s="9" t="str">
        <f>IFERROR(VLOOKUP(I1713,#REF!,2,0),"Sinalização")</f>
        <v>Sinalização</v>
      </c>
    </row>
    <row r="1714" spans="1:22" x14ac:dyDescent="0.25">
      <c r="A1714" s="3" t="s">
        <v>22</v>
      </c>
      <c r="B1714" s="4">
        <v>23302062</v>
      </c>
      <c r="C1714" s="5" t="s">
        <v>23</v>
      </c>
      <c r="D1714" s="6" t="s">
        <v>588</v>
      </c>
      <c r="E1714" s="6" t="s">
        <v>25</v>
      </c>
      <c r="F1714" s="11">
        <v>46146</v>
      </c>
      <c r="G1714" s="6" t="s">
        <v>1079</v>
      </c>
      <c r="H1714" s="7"/>
      <c r="I1714" s="7" t="s">
        <v>585</v>
      </c>
      <c r="J1714" s="7" t="s">
        <v>589</v>
      </c>
      <c r="K1714" s="7" t="s">
        <v>29</v>
      </c>
      <c r="L1714" s="3" t="str">
        <f>E1714&amp;D1714</f>
        <v>E.SP.IPAEE_INS_CONF_C_I_QUADRO DISTR ENER_0090</v>
      </c>
      <c r="M1714" s="3" t="str">
        <f>IFERROR(MID(D1714,SEARCH("S_I_",D1714,1),3),"")</f>
        <v/>
      </c>
      <c r="N1714" s="3" t="str">
        <f>IFERROR(MID(D1714,SEARCH("C_I_",D1714,1),3),"")</f>
        <v>C_I</v>
      </c>
      <c r="O1714" s="3" t="str">
        <f>IF(AND(M1714="",N1714=""),"Extra","")</f>
        <v/>
      </c>
      <c r="P1714" s="3" t="str">
        <f>IF(Q1714=0,"TERCEIRO","MRS")</f>
        <v>MRS</v>
      </c>
      <c r="Q1714" s="8" t="str">
        <f>IFERROR(VLOOKUP(L1714,#REF!,4,0),"0,00")</f>
        <v>0,00</v>
      </c>
      <c r="R1714" s="9" t="s">
        <v>98</v>
      </c>
      <c r="S1714" s="9">
        <f>COUNTIF(D1714,"*_SEG_*")</f>
        <v>0</v>
      </c>
      <c r="T1714" s="9">
        <f>COUNTIF(D1714,"*_MAN_*")</f>
        <v>0</v>
      </c>
      <c r="U1714" s="9">
        <f>(RIGHT(D1714,4))*1</f>
        <v>90</v>
      </c>
      <c r="V1714" s="9" t="str">
        <f>IFERROR(VLOOKUP(I1714,#REF!,2,0),"Sinalização")</f>
        <v>Sinalização</v>
      </c>
    </row>
    <row r="1715" spans="1:22" x14ac:dyDescent="0.25">
      <c r="A1715" s="3" t="s">
        <v>22</v>
      </c>
      <c r="B1715" s="4">
        <v>23302063</v>
      </c>
      <c r="C1715" s="5" t="s">
        <v>23</v>
      </c>
      <c r="D1715" s="6" t="s">
        <v>588</v>
      </c>
      <c r="E1715" s="6" t="s">
        <v>25</v>
      </c>
      <c r="F1715" s="11">
        <v>46146</v>
      </c>
      <c r="G1715" s="6" t="s">
        <v>1079</v>
      </c>
      <c r="H1715" s="7"/>
      <c r="I1715" s="7" t="s">
        <v>586</v>
      </c>
      <c r="J1715" s="7" t="s">
        <v>589</v>
      </c>
      <c r="K1715" s="7" t="s">
        <v>29</v>
      </c>
      <c r="L1715" s="3" t="str">
        <f>E1715&amp;D1715</f>
        <v>E.SP.IPAEE_INS_CONF_C_I_QUADRO DISTR ENER_0090</v>
      </c>
      <c r="M1715" s="3" t="str">
        <f>IFERROR(MID(D1715,SEARCH("S_I_",D1715,1),3),"")</f>
        <v/>
      </c>
      <c r="N1715" s="3" t="str">
        <f>IFERROR(MID(D1715,SEARCH("C_I_",D1715,1),3),"")</f>
        <v>C_I</v>
      </c>
      <c r="O1715" s="3" t="str">
        <f>IF(AND(M1715="",N1715=""),"Extra","")</f>
        <v/>
      </c>
      <c r="P1715" s="3" t="str">
        <f>IF(Q1715=0,"TERCEIRO","MRS")</f>
        <v>MRS</v>
      </c>
      <c r="Q1715" s="8" t="str">
        <f>IFERROR(VLOOKUP(L1715,#REF!,4,0),"0,00")</f>
        <v>0,00</v>
      </c>
      <c r="R1715" s="9" t="s">
        <v>98</v>
      </c>
      <c r="S1715" s="9">
        <f>COUNTIF(D1715,"*_SEG_*")</f>
        <v>0</v>
      </c>
      <c r="T1715" s="9">
        <f>COUNTIF(D1715,"*_MAN_*")</f>
        <v>0</v>
      </c>
      <c r="U1715" s="9">
        <f>(RIGHT(D1715,4))*1</f>
        <v>90</v>
      </c>
      <c r="V1715" s="9" t="str">
        <f>IFERROR(VLOOKUP(I1715,#REF!,2,0),"Sinalização")</f>
        <v>Sinalização</v>
      </c>
    </row>
    <row r="1716" spans="1:22" x14ac:dyDescent="0.25">
      <c r="A1716" s="3" t="s">
        <v>22</v>
      </c>
      <c r="B1716" s="4">
        <v>23302064</v>
      </c>
      <c r="C1716" s="5" t="s">
        <v>23</v>
      </c>
      <c r="D1716" s="6" t="s">
        <v>588</v>
      </c>
      <c r="E1716" s="6" t="s">
        <v>25</v>
      </c>
      <c r="F1716" s="11">
        <v>46146</v>
      </c>
      <c r="G1716" s="6" t="s">
        <v>1079</v>
      </c>
      <c r="H1716" s="7"/>
      <c r="I1716" s="7" t="s">
        <v>134</v>
      </c>
      <c r="J1716" s="7" t="s">
        <v>589</v>
      </c>
      <c r="K1716" s="7" t="s">
        <v>29</v>
      </c>
      <c r="L1716" s="3" t="str">
        <f>E1716&amp;D1716</f>
        <v>E.SP.IPAEE_INS_CONF_C_I_QUADRO DISTR ENER_0090</v>
      </c>
      <c r="M1716" s="3" t="str">
        <f>IFERROR(MID(D1716,SEARCH("S_I_",D1716,1),3),"")</f>
        <v/>
      </c>
      <c r="N1716" s="3" t="str">
        <f>IFERROR(MID(D1716,SEARCH("C_I_",D1716,1),3),"")</f>
        <v>C_I</v>
      </c>
      <c r="O1716" s="3" t="str">
        <f>IF(AND(M1716="",N1716=""),"Extra","")</f>
        <v/>
      </c>
      <c r="P1716" s="3" t="str">
        <f>IF(Q1716=0,"TERCEIRO","MRS")</f>
        <v>MRS</v>
      </c>
      <c r="Q1716" s="8" t="str">
        <f>IFERROR(VLOOKUP(L1716,#REF!,4,0),"0,00")</f>
        <v>0,00</v>
      </c>
      <c r="R1716" s="9" t="s">
        <v>98</v>
      </c>
      <c r="S1716" s="9">
        <f>COUNTIF(D1716,"*_SEG_*")</f>
        <v>0</v>
      </c>
      <c r="T1716" s="9">
        <f>COUNTIF(D1716,"*_MAN_*")</f>
        <v>0</v>
      </c>
      <c r="U1716" s="9">
        <f>(RIGHT(D1716,4))*1</f>
        <v>90</v>
      </c>
      <c r="V1716" s="9" t="str">
        <f>IFERROR(VLOOKUP(I1716,#REF!,2,0),"Sinalização")</f>
        <v>Sinalização</v>
      </c>
    </row>
    <row r="1717" spans="1:22" x14ac:dyDescent="0.25">
      <c r="A1717" s="3" t="s">
        <v>22</v>
      </c>
      <c r="B1717" s="4">
        <v>23302065</v>
      </c>
      <c r="C1717" s="5" t="s">
        <v>23</v>
      </c>
      <c r="D1717" s="6" t="s">
        <v>588</v>
      </c>
      <c r="E1717" s="6" t="s">
        <v>25</v>
      </c>
      <c r="F1717" s="11">
        <v>46146</v>
      </c>
      <c r="G1717" s="6" t="s">
        <v>1079</v>
      </c>
      <c r="H1717" s="7"/>
      <c r="I1717" s="7" t="s">
        <v>587</v>
      </c>
      <c r="J1717" s="7" t="s">
        <v>589</v>
      </c>
      <c r="K1717" s="7" t="s">
        <v>29</v>
      </c>
      <c r="L1717" s="3" t="str">
        <f>E1717&amp;D1717</f>
        <v>E.SP.IPAEE_INS_CONF_C_I_QUADRO DISTR ENER_0090</v>
      </c>
      <c r="M1717" s="3" t="str">
        <f>IFERROR(MID(D1717,SEARCH("S_I_",D1717,1),3),"")</f>
        <v/>
      </c>
      <c r="N1717" s="3" t="str">
        <f>IFERROR(MID(D1717,SEARCH("C_I_",D1717,1),3),"")</f>
        <v>C_I</v>
      </c>
      <c r="O1717" s="3" t="str">
        <f>IF(AND(M1717="",N1717=""),"Extra","")</f>
        <v/>
      </c>
      <c r="P1717" s="3" t="str">
        <f>IF(Q1717=0,"TERCEIRO","MRS")</f>
        <v>MRS</v>
      </c>
      <c r="Q1717" s="8" t="str">
        <f>IFERROR(VLOOKUP(L1717,#REF!,4,0),"0,00")</f>
        <v>0,00</v>
      </c>
      <c r="R1717" s="9" t="s">
        <v>98</v>
      </c>
      <c r="S1717" s="9">
        <f>COUNTIF(D1717,"*_SEG_*")</f>
        <v>0</v>
      </c>
      <c r="T1717" s="9">
        <f>COUNTIF(D1717,"*_MAN_*")</f>
        <v>0</v>
      </c>
      <c r="U1717" s="9">
        <f>(RIGHT(D1717,4))*1</f>
        <v>90</v>
      </c>
      <c r="V1717" s="9" t="str">
        <f>IFERROR(VLOOKUP(I1717,#REF!,2,0),"Sinalização")</f>
        <v>Sinalização</v>
      </c>
    </row>
    <row r="1718" spans="1:22" x14ac:dyDescent="0.25">
      <c r="A1718" s="3" t="s">
        <v>22</v>
      </c>
      <c r="B1718" s="4">
        <v>23302082</v>
      </c>
      <c r="C1718" s="5" t="s">
        <v>23</v>
      </c>
      <c r="D1718" s="6" t="s">
        <v>590</v>
      </c>
      <c r="E1718" s="6" t="s">
        <v>25</v>
      </c>
      <c r="F1718" s="11">
        <v>46146</v>
      </c>
      <c r="G1718" s="6" t="s">
        <v>1079</v>
      </c>
      <c r="H1718" s="7"/>
      <c r="I1718" s="7" t="s">
        <v>188</v>
      </c>
      <c r="J1718" s="7" t="s">
        <v>591</v>
      </c>
      <c r="K1718" s="7" t="s">
        <v>29</v>
      </c>
      <c r="L1718" s="3" t="str">
        <f>E1718&amp;D1718</f>
        <v>E.SP.IPAEE_INS_CONF_S_I_MCH 110VCC GRS 55BR_0090</v>
      </c>
      <c r="M1718" s="3" t="str">
        <f>IFERROR(MID(D1718,SEARCH("S_I_",D1718,1),3),"")</f>
        <v>S_I</v>
      </c>
      <c r="N1718" s="3" t="str">
        <f>IFERROR(MID(D1718,SEARCH("C_I_",D1718,1),3),"")</f>
        <v/>
      </c>
      <c r="O1718" s="3" t="str">
        <f>IF(AND(M1718="",N1718=""),"Extra","")</f>
        <v/>
      </c>
      <c r="P1718" s="3" t="str">
        <f>IF(Q1718=0,"TERCEIRO","MRS")</f>
        <v>MRS</v>
      </c>
      <c r="Q1718" s="8" t="str">
        <f>IFERROR(VLOOKUP(L1718,#REF!,4,0),"0,00")</f>
        <v>0,00</v>
      </c>
      <c r="R1718" s="9" t="s">
        <v>42</v>
      </c>
      <c r="S1718" s="9">
        <f>COUNTIF(D1718,"*_SEG_*")</f>
        <v>0</v>
      </c>
      <c r="T1718" s="9">
        <f>COUNTIF(D1718,"*_MAN_*")</f>
        <v>0</v>
      </c>
      <c r="U1718" s="9">
        <f>(RIGHT(D1718,4))*1</f>
        <v>90</v>
      </c>
      <c r="V1718" s="9" t="str">
        <f>IFERROR(VLOOKUP(I1718,#REF!,2,0),"Sinalização")</f>
        <v>Sinalização</v>
      </c>
    </row>
    <row r="1719" spans="1:22" x14ac:dyDescent="0.25">
      <c r="A1719" s="3" t="s">
        <v>22</v>
      </c>
      <c r="B1719" s="4">
        <v>23302083</v>
      </c>
      <c r="C1719" s="5" t="s">
        <v>23</v>
      </c>
      <c r="D1719" s="6" t="s">
        <v>590</v>
      </c>
      <c r="E1719" s="6" t="s">
        <v>25</v>
      </c>
      <c r="F1719" s="11">
        <v>46146</v>
      </c>
      <c r="G1719" s="6" t="s">
        <v>1079</v>
      </c>
      <c r="H1719" s="7"/>
      <c r="I1719" s="7" t="s">
        <v>191</v>
      </c>
      <c r="J1719" s="7" t="s">
        <v>591</v>
      </c>
      <c r="K1719" s="7" t="s">
        <v>29</v>
      </c>
      <c r="L1719" s="3" t="str">
        <f>E1719&amp;D1719</f>
        <v>E.SP.IPAEE_INS_CONF_S_I_MCH 110VCC GRS 55BR_0090</v>
      </c>
      <c r="M1719" s="3" t="str">
        <f>IFERROR(MID(D1719,SEARCH("S_I_",D1719,1),3),"")</f>
        <v>S_I</v>
      </c>
      <c r="N1719" s="3" t="str">
        <f>IFERROR(MID(D1719,SEARCH("C_I_",D1719,1),3),"")</f>
        <v/>
      </c>
      <c r="O1719" s="3" t="str">
        <f>IF(AND(M1719="",N1719=""),"Extra","")</f>
        <v/>
      </c>
      <c r="P1719" s="3" t="str">
        <f>IF(Q1719=0,"TERCEIRO","MRS")</f>
        <v>MRS</v>
      </c>
      <c r="Q1719" s="8" t="str">
        <f>IFERROR(VLOOKUP(L1719,#REF!,4,0),"0,00")</f>
        <v>0,00</v>
      </c>
      <c r="R1719" s="9" t="s">
        <v>42</v>
      </c>
      <c r="S1719" s="9">
        <f>COUNTIF(D1719,"*_SEG_*")</f>
        <v>0</v>
      </c>
      <c r="T1719" s="9">
        <f>COUNTIF(D1719,"*_MAN_*")</f>
        <v>0</v>
      </c>
      <c r="U1719" s="9">
        <f>(RIGHT(D1719,4))*1</f>
        <v>90</v>
      </c>
      <c r="V1719" s="9" t="str">
        <f>IFERROR(VLOOKUP(I1719,#REF!,2,0),"Sinalização")</f>
        <v>Sinalização</v>
      </c>
    </row>
    <row r="1720" spans="1:22" x14ac:dyDescent="0.25">
      <c r="A1720" s="3" t="s">
        <v>22</v>
      </c>
      <c r="B1720" s="4">
        <v>23302084</v>
      </c>
      <c r="C1720" s="5" t="s">
        <v>23</v>
      </c>
      <c r="D1720" s="6" t="s">
        <v>590</v>
      </c>
      <c r="E1720" s="6" t="s">
        <v>25</v>
      </c>
      <c r="F1720" s="11">
        <v>46146</v>
      </c>
      <c r="G1720" s="6" t="s">
        <v>1079</v>
      </c>
      <c r="H1720" s="7"/>
      <c r="I1720" s="7" t="s">
        <v>190</v>
      </c>
      <c r="J1720" s="7" t="s">
        <v>591</v>
      </c>
      <c r="K1720" s="7" t="s">
        <v>29</v>
      </c>
      <c r="L1720" s="3" t="str">
        <f>E1720&amp;D1720</f>
        <v>E.SP.IPAEE_INS_CONF_S_I_MCH 110VCC GRS 55BR_0090</v>
      </c>
      <c r="M1720" s="3" t="str">
        <f>IFERROR(MID(D1720,SEARCH("S_I_",D1720,1),3),"")</f>
        <v>S_I</v>
      </c>
      <c r="N1720" s="3" t="str">
        <f>IFERROR(MID(D1720,SEARCH("C_I_",D1720,1),3),"")</f>
        <v/>
      </c>
      <c r="O1720" s="3" t="str">
        <f>IF(AND(M1720="",N1720=""),"Extra","")</f>
        <v/>
      </c>
      <c r="P1720" s="3" t="str">
        <f>IF(Q1720=0,"TERCEIRO","MRS")</f>
        <v>MRS</v>
      </c>
      <c r="Q1720" s="8" t="str">
        <f>IFERROR(VLOOKUP(L1720,#REF!,4,0),"0,00")</f>
        <v>0,00</v>
      </c>
      <c r="R1720" s="9" t="s">
        <v>42</v>
      </c>
      <c r="S1720" s="9">
        <f>COUNTIF(D1720,"*_SEG_*")</f>
        <v>0</v>
      </c>
      <c r="T1720" s="9">
        <f>COUNTIF(D1720,"*_MAN_*")</f>
        <v>0</v>
      </c>
      <c r="U1720" s="9">
        <f>(RIGHT(D1720,4))*1</f>
        <v>90</v>
      </c>
      <c r="V1720" s="9" t="str">
        <f>IFERROR(VLOOKUP(I1720,#REF!,2,0),"Sinalização")</f>
        <v>Sinalização</v>
      </c>
    </row>
    <row r="1721" spans="1:22" x14ac:dyDescent="0.25">
      <c r="A1721" s="3" t="s">
        <v>22</v>
      </c>
      <c r="B1721" s="4">
        <v>23302110</v>
      </c>
      <c r="C1721" s="5" t="s">
        <v>23</v>
      </c>
      <c r="D1721" s="6" t="s">
        <v>592</v>
      </c>
      <c r="E1721" s="6" t="s">
        <v>25</v>
      </c>
      <c r="F1721" s="11">
        <v>46146</v>
      </c>
      <c r="G1721" s="6" t="s">
        <v>1079</v>
      </c>
      <c r="H1721" s="7"/>
      <c r="I1721" s="7" t="s">
        <v>583</v>
      </c>
      <c r="J1721" s="7" t="s">
        <v>593</v>
      </c>
      <c r="K1721" s="7" t="s">
        <v>29</v>
      </c>
      <c r="L1721" s="3" t="str">
        <f>E1721&amp;D1721</f>
        <v>E.SP.IPAEE_MAN_CONF_C_I_QUADRO DISTR ENER_0090</v>
      </c>
      <c r="M1721" s="3" t="str">
        <f>IFERROR(MID(D1721,SEARCH("S_I_",D1721,1),3),"")</f>
        <v/>
      </c>
      <c r="N1721" s="3" t="str">
        <f>IFERROR(MID(D1721,SEARCH("C_I_",D1721,1),3),"")</f>
        <v>C_I</v>
      </c>
      <c r="O1721" s="3" t="str">
        <f>IF(AND(M1721="",N1721=""),"Extra","")</f>
        <v/>
      </c>
      <c r="P1721" s="3" t="str">
        <f>IF(Q1721=0,"TERCEIRO","MRS")</f>
        <v>MRS</v>
      </c>
      <c r="Q1721" s="8" t="str">
        <f>IFERROR(VLOOKUP(L1721,#REF!,4,0),"0,00")</f>
        <v>0,00</v>
      </c>
      <c r="R1721" s="9" t="s">
        <v>98</v>
      </c>
      <c r="S1721" s="9">
        <f>COUNTIF(D1721,"*_SEG_*")</f>
        <v>0</v>
      </c>
      <c r="T1721" s="9">
        <f>COUNTIF(D1721,"*_MAN_*")</f>
        <v>1</v>
      </c>
      <c r="U1721" s="9">
        <f>(RIGHT(D1721,4))*1</f>
        <v>90</v>
      </c>
      <c r="V1721" s="9" t="str">
        <f>IFERROR(VLOOKUP(I1721,#REF!,2,0),"Sinalização")</f>
        <v>Sinalização</v>
      </c>
    </row>
    <row r="1722" spans="1:22" x14ac:dyDescent="0.25">
      <c r="A1722" s="3" t="s">
        <v>22</v>
      </c>
      <c r="B1722" s="4">
        <v>23302111</v>
      </c>
      <c r="C1722" s="5" t="s">
        <v>23</v>
      </c>
      <c r="D1722" s="6" t="s">
        <v>592</v>
      </c>
      <c r="E1722" s="6" t="s">
        <v>25</v>
      </c>
      <c r="F1722" s="11">
        <v>46146</v>
      </c>
      <c r="G1722" s="6" t="s">
        <v>1079</v>
      </c>
      <c r="H1722" s="7"/>
      <c r="I1722" s="7" t="s">
        <v>585</v>
      </c>
      <c r="J1722" s="7" t="s">
        <v>593</v>
      </c>
      <c r="K1722" s="7" t="s">
        <v>29</v>
      </c>
      <c r="L1722" s="3" t="str">
        <f>E1722&amp;D1722</f>
        <v>E.SP.IPAEE_MAN_CONF_C_I_QUADRO DISTR ENER_0090</v>
      </c>
      <c r="M1722" s="3" t="str">
        <f>IFERROR(MID(D1722,SEARCH("S_I_",D1722,1),3),"")</f>
        <v/>
      </c>
      <c r="N1722" s="3" t="str">
        <f>IFERROR(MID(D1722,SEARCH("C_I_",D1722,1),3),"")</f>
        <v>C_I</v>
      </c>
      <c r="O1722" s="3" t="str">
        <f>IF(AND(M1722="",N1722=""),"Extra","")</f>
        <v/>
      </c>
      <c r="P1722" s="3" t="str">
        <f>IF(Q1722=0,"TERCEIRO","MRS")</f>
        <v>MRS</v>
      </c>
      <c r="Q1722" s="8" t="str">
        <f>IFERROR(VLOOKUP(L1722,#REF!,4,0),"0,00")</f>
        <v>0,00</v>
      </c>
      <c r="R1722" s="9" t="s">
        <v>98</v>
      </c>
      <c r="S1722" s="9">
        <f>COUNTIF(D1722,"*_SEG_*")</f>
        <v>0</v>
      </c>
      <c r="T1722" s="9">
        <f>COUNTIF(D1722,"*_MAN_*")</f>
        <v>1</v>
      </c>
      <c r="U1722" s="9">
        <f>(RIGHT(D1722,4))*1</f>
        <v>90</v>
      </c>
      <c r="V1722" s="9" t="str">
        <f>IFERROR(VLOOKUP(I1722,#REF!,2,0),"Sinalização")</f>
        <v>Sinalização</v>
      </c>
    </row>
    <row r="1723" spans="1:22" x14ac:dyDescent="0.25">
      <c r="A1723" s="3" t="s">
        <v>22</v>
      </c>
      <c r="B1723" s="4">
        <v>23302112</v>
      </c>
      <c r="C1723" s="5" t="s">
        <v>23</v>
      </c>
      <c r="D1723" s="6" t="s">
        <v>592</v>
      </c>
      <c r="E1723" s="6" t="s">
        <v>25</v>
      </c>
      <c r="F1723" s="11">
        <v>46146</v>
      </c>
      <c r="G1723" s="6" t="s">
        <v>1079</v>
      </c>
      <c r="H1723" s="7"/>
      <c r="I1723" s="7" t="s">
        <v>586</v>
      </c>
      <c r="J1723" s="7" t="s">
        <v>593</v>
      </c>
      <c r="K1723" s="7" t="s">
        <v>29</v>
      </c>
      <c r="L1723" s="3" t="str">
        <f>E1723&amp;D1723</f>
        <v>E.SP.IPAEE_MAN_CONF_C_I_QUADRO DISTR ENER_0090</v>
      </c>
      <c r="M1723" s="3" t="str">
        <f>IFERROR(MID(D1723,SEARCH("S_I_",D1723,1),3),"")</f>
        <v/>
      </c>
      <c r="N1723" s="3" t="str">
        <f>IFERROR(MID(D1723,SEARCH("C_I_",D1723,1),3),"")</f>
        <v>C_I</v>
      </c>
      <c r="O1723" s="3" t="str">
        <f>IF(AND(M1723="",N1723=""),"Extra","")</f>
        <v/>
      </c>
      <c r="P1723" s="3" t="str">
        <f>IF(Q1723=0,"TERCEIRO","MRS")</f>
        <v>MRS</v>
      </c>
      <c r="Q1723" s="8" t="str">
        <f>IFERROR(VLOOKUP(L1723,#REF!,4,0),"0,00")</f>
        <v>0,00</v>
      </c>
      <c r="R1723" s="9" t="s">
        <v>98</v>
      </c>
      <c r="S1723" s="9">
        <f>COUNTIF(D1723,"*_SEG_*")</f>
        <v>0</v>
      </c>
      <c r="T1723" s="9">
        <f>COUNTIF(D1723,"*_MAN_*")</f>
        <v>1</v>
      </c>
      <c r="U1723" s="9">
        <f>(RIGHT(D1723,4))*1</f>
        <v>90</v>
      </c>
      <c r="V1723" s="9" t="str">
        <f>IFERROR(VLOOKUP(I1723,#REF!,2,0),"Sinalização")</f>
        <v>Sinalização</v>
      </c>
    </row>
    <row r="1724" spans="1:22" x14ac:dyDescent="0.25">
      <c r="A1724" s="3" t="s">
        <v>22</v>
      </c>
      <c r="B1724" s="4">
        <v>23302113</v>
      </c>
      <c r="C1724" s="5" t="s">
        <v>23</v>
      </c>
      <c r="D1724" s="6" t="s">
        <v>592</v>
      </c>
      <c r="E1724" s="6" t="s">
        <v>25</v>
      </c>
      <c r="F1724" s="11">
        <v>46146</v>
      </c>
      <c r="G1724" s="6" t="s">
        <v>1079</v>
      </c>
      <c r="H1724" s="7"/>
      <c r="I1724" s="7" t="s">
        <v>96</v>
      </c>
      <c r="J1724" s="7" t="s">
        <v>593</v>
      </c>
      <c r="K1724" s="7" t="s">
        <v>29</v>
      </c>
      <c r="L1724" s="3" t="str">
        <f>E1724&amp;D1724</f>
        <v>E.SP.IPAEE_MAN_CONF_C_I_QUADRO DISTR ENER_0090</v>
      </c>
      <c r="M1724" s="3" t="str">
        <f>IFERROR(MID(D1724,SEARCH("S_I_",D1724,1),3),"")</f>
        <v/>
      </c>
      <c r="N1724" s="3" t="str">
        <f>IFERROR(MID(D1724,SEARCH("C_I_",D1724,1),3),"")</f>
        <v>C_I</v>
      </c>
      <c r="O1724" s="3" t="str">
        <f>IF(AND(M1724="",N1724=""),"Extra","")</f>
        <v/>
      </c>
      <c r="P1724" s="3" t="str">
        <f>IF(Q1724=0,"TERCEIRO","MRS")</f>
        <v>MRS</v>
      </c>
      <c r="Q1724" s="8" t="str">
        <f>IFERROR(VLOOKUP(L1724,#REF!,4,0),"0,00")</f>
        <v>0,00</v>
      </c>
      <c r="R1724" s="9" t="s">
        <v>98</v>
      </c>
      <c r="S1724" s="9">
        <f>COUNTIF(D1724,"*_SEG_*")</f>
        <v>0</v>
      </c>
      <c r="T1724" s="9">
        <f>COUNTIF(D1724,"*_MAN_*")</f>
        <v>1</v>
      </c>
      <c r="U1724" s="9">
        <f>(RIGHT(D1724,4))*1</f>
        <v>90</v>
      </c>
      <c r="V1724" s="9" t="str">
        <f>IFERROR(VLOOKUP(I1724,#REF!,2,0),"Sinalização")</f>
        <v>Sinalização</v>
      </c>
    </row>
    <row r="1725" spans="1:22" x14ac:dyDescent="0.25">
      <c r="A1725" s="3" t="s">
        <v>22</v>
      </c>
      <c r="B1725" s="4">
        <v>23302114</v>
      </c>
      <c r="C1725" s="5" t="s">
        <v>23</v>
      </c>
      <c r="D1725" s="6" t="s">
        <v>592</v>
      </c>
      <c r="E1725" s="6" t="s">
        <v>25</v>
      </c>
      <c r="F1725" s="11">
        <v>46146</v>
      </c>
      <c r="G1725" s="6" t="s">
        <v>1079</v>
      </c>
      <c r="H1725" s="7"/>
      <c r="I1725" s="7" t="s">
        <v>134</v>
      </c>
      <c r="J1725" s="7" t="s">
        <v>593</v>
      </c>
      <c r="K1725" s="7" t="s">
        <v>29</v>
      </c>
      <c r="L1725" s="3" t="str">
        <f>E1725&amp;D1725</f>
        <v>E.SP.IPAEE_MAN_CONF_C_I_QUADRO DISTR ENER_0090</v>
      </c>
      <c r="M1725" s="3" t="str">
        <f>IFERROR(MID(D1725,SEARCH("S_I_",D1725,1),3),"")</f>
        <v/>
      </c>
      <c r="N1725" s="3" t="str">
        <f>IFERROR(MID(D1725,SEARCH("C_I_",D1725,1),3),"")</f>
        <v>C_I</v>
      </c>
      <c r="O1725" s="3" t="str">
        <f>IF(AND(M1725="",N1725=""),"Extra","")</f>
        <v/>
      </c>
      <c r="P1725" s="3" t="str">
        <f>IF(Q1725=0,"TERCEIRO","MRS")</f>
        <v>MRS</v>
      </c>
      <c r="Q1725" s="8" t="str">
        <f>IFERROR(VLOOKUP(L1725,#REF!,4,0),"0,00")</f>
        <v>0,00</v>
      </c>
      <c r="R1725" s="9" t="s">
        <v>98</v>
      </c>
      <c r="S1725" s="9">
        <f>COUNTIF(D1725,"*_SEG_*")</f>
        <v>0</v>
      </c>
      <c r="T1725" s="9">
        <f>COUNTIF(D1725,"*_MAN_*")</f>
        <v>1</v>
      </c>
      <c r="U1725" s="9">
        <f>(RIGHT(D1725,4))*1</f>
        <v>90</v>
      </c>
      <c r="V1725" s="9" t="str">
        <f>IFERROR(VLOOKUP(I1725,#REF!,2,0),"Sinalização")</f>
        <v>Sinalização</v>
      </c>
    </row>
    <row r="1726" spans="1:22" x14ac:dyDescent="0.25">
      <c r="A1726" s="3" t="s">
        <v>22</v>
      </c>
      <c r="B1726" s="4">
        <v>23302115</v>
      </c>
      <c r="C1726" s="5" t="s">
        <v>23</v>
      </c>
      <c r="D1726" s="6" t="s">
        <v>592</v>
      </c>
      <c r="E1726" s="6" t="s">
        <v>25</v>
      </c>
      <c r="F1726" s="11">
        <v>46146</v>
      </c>
      <c r="G1726" s="6" t="s">
        <v>1079</v>
      </c>
      <c r="H1726" s="7"/>
      <c r="I1726" s="7" t="s">
        <v>587</v>
      </c>
      <c r="J1726" s="7" t="s">
        <v>593</v>
      </c>
      <c r="K1726" s="7" t="s">
        <v>29</v>
      </c>
      <c r="L1726" s="3" t="str">
        <f>E1726&amp;D1726</f>
        <v>E.SP.IPAEE_MAN_CONF_C_I_QUADRO DISTR ENER_0090</v>
      </c>
      <c r="M1726" s="3" t="str">
        <f>IFERROR(MID(D1726,SEARCH("S_I_",D1726,1),3),"")</f>
        <v/>
      </c>
      <c r="N1726" s="3" t="str">
        <f>IFERROR(MID(D1726,SEARCH("C_I_",D1726,1),3),"")</f>
        <v>C_I</v>
      </c>
      <c r="O1726" s="3" t="str">
        <f>IF(AND(M1726="",N1726=""),"Extra","")</f>
        <v/>
      </c>
      <c r="P1726" s="3" t="str">
        <f>IF(Q1726=0,"TERCEIRO","MRS")</f>
        <v>MRS</v>
      </c>
      <c r="Q1726" s="8" t="str">
        <f>IFERROR(VLOOKUP(L1726,#REF!,4,0),"0,00")</f>
        <v>0,00</v>
      </c>
      <c r="R1726" s="9" t="s">
        <v>98</v>
      </c>
      <c r="S1726" s="9">
        <f>COUNTIF(D1726,"*_SEG_*")</f>
        <v>0</v>
      </c>
      <c r="T1726" s="9">
        <f>COUNTIF(D1726,"*_MAN_*")</f>
        <v>1</v>
      </c>
      <c r="U1726" s="9">
        <f>(RIGHT(D1726,4))*1</f>
        <v>90</v>
      </c>
      <c r="V1726" s="9" t="str">
        <f>IFERROR(VLOOKUP(I1726,#REF!,2,0),"Sinalização")</f>
        <v>Sinalização</v>
      </c>
    </row>
    <row r="1727" spans="1:22" x14ac:dyDescent="0.25">
      <c r="A1727" s="3" t="s">
        <v>22</v>
      </c>
      <c r="B1727" s="4">
        <v>23302174</v>
      </c>
      <c r="C1727" s="5" t="s">
        <v>23</v>
      </c>
      <c r="D1727" s="6" t="s">
        <v>594</v>
      </c>
      <c r="E1727" s="6" t="s">
        <v>25</v>
      </c>
      <c r="F1727" s="11">
        <v>46146</v>
      </c>
      <c r="G1727" s="6" t="s">
        <v>1079</v>
      </c>
      <c r="H1727" s="7"/>
      <c r="I1727" s="7" t="s">
        <v>125</v>
      </c>
      <c r="J1727" s="7" t="s">
        <v>595</v>
      </c>
      <c r="K1727" s="7" t="s">
        <v>29</v>
      </c>
      <c r="L1727" s="3" t="str">
        <f>E1727&amp;D1727</f>
        <v>E.SP.IPAEE_INS_CONF_S_I_BL INT RELÉ S/ BAT_0090</v>
      </c>
      <c r="M1727" s="3" t="str">
        <f>IFERROR(MID(D1727,SEARCH("S_I_",D1727,1),3),"")</f>
        <v>S_I</v>
      </c>
      <c r="N1727" s="3" t="str">
        <f>IFERROR(MID(D1727,SEARCH("C_I_",D1727,1),3),"")</f>
        <v/>
      </c>
      <c r="O1727" s="3" t="str">
        <f>IF(AND(M1727="",N1727=""),"Extra","")</f>
        <v/>
      </c>
      <c r="P1727" s="3" t="str">
        <f>IF(Q1727=0,"TERCEIRO","MRS")</f>
        <v>MRS</v>
      </c>
      <c r="Q1727" s="8" t="str">
        <f>IFERROR(VLOOKUP(L1727,#REF!,4,0),"0,00")</f>
        <v>0,00</v>
      </c>
      <c r="R1727" s="9" t="s">
        <v>98</v>
      </c>
      <c r="S1727" s="9">
        <f>COUNTIF(D1727,"*_SEG_*")</f>
        <v>0</v>
      </c>
      <c r="T1727" s="9">
        <f>COUNTIF(D1727,"*_MAN_*")</f>
        <v>0</v>
      </c>
      <c r="U1727" s="9">
        <f>(RIGHT(D1727,4))*1</f>
        <v>90</v>
      </c>
      <c r="V1727" s="9" t="str">
        <f>IFERROR(VLOOKUP(I1727,#REF!,2,0),"Sinalização")</f>
        <v>Sinalização</v>
      </c>
    </row>
    <row r="1728" spans="1:22" x14ac:dyDescent="0.25">
      <c r="A1728" s="3" t="s">
        <v>22</v>
      </c>
      <c r="B1728" s="4">
        <v>23302175</v>
      </c>
      <c r="C1728" s="5" t="s">
        <v>23</v>
      </c>
      <c r="D1728" s="6" t="s">
        <v>594</v>
      </c>
      <c r="E1728" s="6" t="s">
        <v>25</v>
      </c>
      <c r="F1728" s="11">
        <v>46146</v>
      </c>
      <c r="G1728" s="6" t="s">
        <v>1079</v>
      </c>
      <c r="H1728" s="7"/>
      <c r="I1728" s="7" t="s">
        <v>399</v>
      </c>
      <c r="J1728" s="7" t="s">
        <v>595</v>
      </c>
      <c r="K1728" s="7" t="s">
        <v>29</v>
      </c>
      <c r="L1728" s="3" t="str">
        <f>E1728&amp;D1728</f>
        <v>E.SP.IPAEE_INS_CONF_S_I_BL INT RELÉ S/ BAT_0090</v>
      </c>
      <c r="M1728" s="3" t="str">
        <f>IFERROR(MID(D1728,SEARCH("S_I_",D1728,1),3),"")</f>
        <v>S_I</v>
      </c>
      <c r="N1728" s="3" t="str">
        <f>IFERROR(MID(D1728,SEARCH("C_I_",D1728,1),3),"")</f>
        <v/>
      </c>
      <c r="O1728" s="3" t="str">
        <f>IF(AND(M1728="",N1728=""),"Extra","")</f>
        <v/>
      </c>
      <c r="P1728" s="3" t="str">
        <f>IF(Q1728=0,"TERCEIRO","MRS")</f>
        <v>MRS</v>
      </c>
      <c r="Q1728" s="8" t="str">
        <f>IFERROR(VLOOKUP(L1728,#REF!,4,0),"0,00")</f>
        <v>0,00</v>
      </c>
      <c r="R1728" s="9" t="s">
        <v>98</v>
      </c>
      <c r="S1728" s="9">
        <f>COUNTIF(D1728,"*_SEG_*")</f>
        <v>0</v>
      </c>
      <c r="T1728" s="9">
        <f>COUNTIF(D1728,"*_MAN_*")</f>
        <v>0</v>
      </c>
      <c r="U1728" s="9">
        <f>(RIGHT(D1728,4))*1</f>
        <v>90</v>
      </c>
      <c r="V1728" s="9" t="str">
        <f>IFERROR(VLOOKUP(I1728,#REF!,2,0),"Sinalização")</f>
        <v>Sinalização</v>
      </c>
    </row>
    <row r="1729" spans="1:22" x14ac:dyDescent="0.25">
      <c r="A1729" s="3" t="s">
        <v>22</v>
      </c>
      <c r="B1729" s="4">
        <v>23302176</v>
      </c>
      <c r="C1729" s="5" t="s">
        <v>23</v>
      </c>
      <c r="D1729" s="6" t="s">
        <v>594</v>
      </c>
      <c r="E1729" s="6" t="s">
        <v>25</v>
      </c>
      <c r="F1729" s="11">
        <v>46146</v>
      </c>
      <c r="G1729" s="6" t="s">
        <v>1079</v>
      </c>
      <c r="H1729" s="7"/>
      <c r="I1729" s="7" t="s">
        <v>378</v>
      </c>
      <c r="J1729" s="7" t="s">
        <v>595</v>
      </c>
      <c r="K1729" s="7" t="s">
        <v>29</v>
      </c>
      <c r="L1729" s="3" t="str">
        <f>E1729&amp;D1729</f>
        <v>E.SP.IPAEE_INS_CONF_S_I_BL INT RELÉ S/ BAT_0090</v>
      </c>
      <c r="M1729" s="3" t="str">
        <f>IFERROR(MID(D1729,SEARCH("S_I_",D1729,1),3),"")</f>
        <v>S_I</v>
      </c>
      <c r="N1729" s="3" t="str">
        <f>IFERROR(MID(D1729,SEARCH("C_I_",D1729,1),3),"")</f>
        <v/>
      </c>
      <c r="O1729" s="3" t="str">
        <f>IF(AND(M1729="",N1729=""),"Extra","")</f>
        <v/>
      </c>
      <c r="P1729" s="3" t="str">
        <f>IF(Q1729=0,"TERCEIRO","MRS")</f>
        <v>MRS</v>
      </c>
      <c r="Q1729" s="8" t="str">
        <f>IFERROR(VLOOKUP(L1729,#REF!,4,0),"0,00")</f>
        <v>0,00</v>
      </c>
      <c r="R1729" s="9" t="s">
        <v>98</v>
      </c>
      <c r="S1729" s="9">
        <f>COUNTIF(D1729,"*_SEG_*")</f>
        <v>0</v>
      </c>
      <c r="T1729" s="9">
        <f>COUNTIF(D1729,"*_MAN_*")</f>
        <v>0</v>
      </c>
      <c r="U1729" s="9">
        <f>(RIGHT(D1729,4))*1</f>
        <v>90</v>
      </c>
      <c r="V1729" s="9" t="str">
        <f>IFERROR(VLOOKUP(I1729,#REF!,2,0),"Sinalização")</f>
        <v>Sinalização</v>
      </c>
    </row>
    <row r="1730" spans="1:22" x14ac:dyDescent="0.25">
      <c r="A1730" s="3" t="s">
        <v>22</v>
      </c>
      <c r="B1730" s="4">
        <v>23302177</v>
      </c>
      <c r="C1730" s="5" t="s">
        <v>23</v>
      </c>
      <c r="D1730" s="6" t="s">
        <v>594</v>
      </c>
      <c r="E1730" s="6" t="s">
        <v>25</v>
      </c>
      <c r="F1730" s="11">
        <v>46146</v>
      </c>
      <c r="G1730" s="6" t="s">
        <v>1079</v>
      </c>
      <c r="H1730" s="7"/>
      <c r="I1730" s="7" t="s">
        <v>377</v>
      </c>
      <c r="J1730" s="7" t="s">
        <v>595</v>
      </c>
      <c r="K1730" s="7" t="s">
        <v>29</v>
      </c>
      <c r="L1730" s="3" t="str">
        <f>E1730&amp;D1730</f>
        <v>E.SP.IPAEE_INS_CONF_S_I_BL INT RELÉ S/ BAT_0090</v>
      </c>
      <c r="M1730" s="3" t="str">
        <f>IFERROR(MID(D1730,SEARCH("S_I_",D1730,1),3),"")</f>
        <v>S_I</v>
      </c>
      <c r="N1730" s="3" t="str">
        <f>IFERROR(MID(D1730,SEARCH("C_I_",D1730,1),3),"")</f>
        <v/>
      </c>
      <c r="O1730" s="3" t="str">
        <f>IF(AND(M1730="",N1730=""),"Extra","")</f>
        <v/>
      </c>
      <c r="P1730" s="3" t="str">
        <f>IF(Q1730=0,"TERCEIRO","MRS")</f>
        <v>MRS</v>
      </c>
      <c r="Q1730" s="8" t="str">
        <f>IFERROR(VLOOKUP(L1730,#REF!,4,0),"0,00")</f>
        <v>0,00</v>
      </c>
      <c r="R1730" s="9" t="s">
        <v>98</v>
      </c>
      <c r="S1730" s="9">
        <f>COUNTIF(D1730,"*_SEG_*")</f>
        <v>0</v>
      </c>
      <c r="T1730" s="9">
        <f>COUNTIF(D1730,"*_MAN_*")</f>
        <v>0</v>
      </c>
      <c r="U1730" s="9">
        <f>(RIGHT(D1730,4))*1</f>
        <v>90</v>
      </c>
      <c r="V1730" s="9" t="str">
        <f>IFERROR(VLOOKUP(I1730,#REF!,2,0),"Sinalização")</f>
        <v>Sinalização</v>
      </c>
    </row>
    <row r="1731" spans="1:22" x14ac:dyDescent="0.25">
      <c r="A1731" s="3" t="s">
        <v>22</v>
      </c>
      <c r="B1731" s="4">
        <v>23302178</v>
      </c>
      <c r="C1731" s="5" t="s">
        <v>23</v>
      </c>
      <c r="D1731" s="6" t="s">
        <v>594</v>
      </c>
      <c r="E1731" s="6" t="s">
        <v>25</v>
      </c>
      <c r="F1731" s="11">
        <v>46146</v>
      </c>
      <c r="G1731" s="6" t="s">
        <v>1079</v>
      </c>
      <c r="H1731" s="7"/>
      <c r="I1731" s="7" t="s">
        <v>379</v>
      </c>
      <c r="J1731" s="7" t="s">
        <v>595</v>
      </c>
      <c r="K1731" s="7" t="s">
        <v>29</v>
      </c>
      <c r="L1731" s="3" t="str">
        <f>E1731&amp;D1731</f>
        <v>E.SP.IPAEE_INS_CONF_S_I_BL INT RELÉ S/ BAT_0090</v>
      </c>
      <c r="M1731" s="3" t="str">
        <f>IFERROR(MID(D1731,SEARCH("S_I_",D1731,1),3),"")</f>
        <v>S_I</v>
      </c>
      <c r="N1731" s="3" t="str">
        <f>IFERROR(MID(D1731,SEARCH("C_I_",D1731,1),3),"")</f>
        <v/>
      </c>
      <c r="O1731" s="3" t="str">
        <f>IF(AND(M1731="",N1731=""),"Extra","")</f>
        <v/>
      </c>
      <c r="P1731" s="3" t="str">
        <f>IF(Q1731=0,"TERCEIRO","MRS")</f>
        <v>MRS</v>
      </c>
      <c r="Q1731" s="8" t="str">
        <f>IFERROR(VLOOKUP(L1731,#REF!,4,0),"0,00")</f>
        <v>0,00</v>
      </c>
      <c r="R1731" s="9" t="s">
        <v>98</v>
      </c>
      <c r="S1731" s="9">
        <f>COUNTIF(D1731,"*_SEG_*")</f>
        <v>0</v>
      </c>
      <c r="T1731" s="9">
        <f>COUNTIF(D1731,"*_MAN_*")</f>
        <v>0</v>
      </c>
      <c r="U1731" s="9">
        <f>(RIGHT(D1731,4))*1</f>
        <v>90</v>
      </c>
      <c r="V1731" s="9" t="str">
        <f>IFERROR(VLOOKUP(I1731,#REF!,2,0),"Sinalização")</f>
        <v>Sinalização</v>
      </c>
    </row>
    <row r="1732" spans="1:22" x14ac:dyDescent="0.25">
      <c r="A1732" s="3" t="s">
        <v>22</v>
      </c>
      <c r="B1732" s="4">
        <v>23302179</v>
      </c>
      <c r="C1732" s="5" t="s">
        <v>23</v>
      </c>
      <c r="D1732" s="6" t="s">
        <v>594</v>
      </c>
      <c r="E1732" s="6" t="s">
        <v>25</v>
      </c>
      <c r="F1732" s="11">
        <v>46146</v>
      </c>
      <c r="G1732" s="6" t="s">
        <v>1079</v>
      </c>
      <c r="H1732" s="7"/>
      <c r="I1732" s="7" t="s">
        <v>577</v>
      </c>
      <c r="J1732" s="7" t="s">
        <v>595</v>
      </c>
      <c r="K1732" s="7" t="s">
        <v>29</v>
      </c>
      <c r="L1732" s="3" t="str">
        <f>E1732&amp;D1732</f>
        <v>E.SP.IPAEE_INS_CONF_S_I_BL INT RELÉ S/ BAT_0090</v>
      </c>
      <c r="M1732" s="3" t="str">
        <f>IFERROR(MID(D1732,SEARCH("S_I_",D1732,1),3),"")</f>
        <v>S_I</v>
      </c>
      <c r="N1732" s="3" t="str">
        <f>IFERROR(MID(D1732,SEARCH("C_I_",D1732,1),3),"")</f>
        <v/>
      </c>
      <c r="O1732" s="3" t="str">
        <f>IF(AND(M1732="",N1732=""),"Extra","")</f>
        <v/>
      </c>
      <c r="P1732" s="3" t="str">
        <f>IF(Q1732=0,"TERCEIRO","MRS")</f>
        <v>MRS</v>
      </c>
      <c r="Q1732" s="8" t="str">
        <f>IFERROR(VLOOKUP(L1732,#REF!,4,0),"0,00")</f>
        <v>0,00</v>
      </c>
      <c r="R1732" s="9" t="s">
        <v>98</v>
      </c>
      <c r="S1732" s="9">
        <f>COUNTIF(D1732,"*_SEG_*")</f>
        <v>0</v>
      </c>
      <c r="T1732" s="9">
        <f>COUNTIF(D1732,"*_MAN_*")</f>
        <v>0</v>
      </c>
      <c r="U1732" s="9">
        <f>(RIGHT(D1732,4))*1</f>
        <v>90</v>
      </c>
      <c r="V1732" s="9" t="str">
        <f>IFERROR(VLOOKUP(I1732,#REF!,2,0),"Sinalização")</f>
        <v>Sinalização</v>
      </c>
    </row>
    <row r="1733" spans="1:22" x14ac:dyDescent="0.25">
      <c r="A1733" s="3" t="s">
        <v>22</v>
      </c>
      <c r="B1733" s="4">
        <v>23302180</v>
      </c>
      <c r="C1733" s="5" t="s">
        <v>23</v>
      </c>
      <c r="D1733" s="6" t="s">
        <v>594</v>
      </c>
      <c r="E1733" s="6" t="s">
        <v>25</v>
      </c>
      <c r="F1733" s="11">
        <v>46146</v>
      </c>
      <c r="G1733" s="6" t="s">
        <v>1079</v>
      </c>
      <c r="H1733" s="7"/>
      <c r="I1733" s="7" t="s">
        <v>580</v>
      </c>
      <c r="J1733" s="7" t="s">
        <v>595</v>
      </c>
      <c r="K1733" s="7" t="s">
        <v>29</v>
      </c>
      <c r="L1733" s="3" t="str">
        <f>E1733&amp;D1733</f>
        <v>E.SP.IPAEE_INS_CONF_S_I_BL INT RELÉ S/ BAT_0090</v>
      </c>
      <c r="M1733" s="3" t="str">
        <f>IFERROR(MID(D1733,SEARCH("S_I_",D1733,1),3),"")</f>
        <v>S_I</v>
      </c>
      <c r="N1733" s="3" t="str">
        <f>IFERROR(MID(D1733,SEARCH("C_I_",D1733,1),3),"")</f>
        <v/>
      </c>
      <c r="O1733" s="3" t="str">
        <f>IF(AND(M1733="",N1733=""),"Extra","")</f>
        <v/>
      </c>
      <c r="P1733" s="3" t="str">
        <f>IF(Q1733=0,"TERCEIRO","MRS")</f>
        <v>MRS</v>
      </c>
      <c r="Q1733" s="8" t="str">
        <f>IFERROR(VLOOKUP(L1733,#REF!,4,0),"0,00")</f>
        <v>0,00</v>
      </c>
      <c r="R1733" s="9" t="s">
        <v>98</v>
      </c>
      <c r="S1733" s="9">
        <f>COUNTIF(D1733,"*_SEG_*")</f>
        <v>0</v>
      </c>
      <c r="T1733" s="9">
        <f>COUNTIF(D1733,"*_MAN_*")</f>
        <v>0</v>
      </c>
      <c r="U1733" s="9">
        <f>(RIGHT(D1733,4))*1</f>
        <v>90</v>
      </c>
      <c r="V1733" s="9" t="str">
        <f>IFERROR(VLOOKUP(I1733,#REF!,2,0),"Sinalização")</f>
        <v>Sinalização</v>
      </c>
    </row>
    <row r="1734" spans="1:22" x14ac:dyDescent="0.25">
      <c r="A1734" s="3" t="s">
        <v>22</v>
      </c>
      <c r="B1734" s="4">
        <v>23302181</v>
      </c>
      <c r="C1734" s="5" t="s">
        <v>23</v>
      </c>
      <c r="D1734" s="6" t="s">
        <v>594</v>
      </c>
      <c r="E1734" s="6" t="s">
        <v>25</v>
      </c>
      <c r="F1734" s="11">
        <v>46146</v>
      </c>
      <c r="G1734" s="6" t="s">
        <v>1079</v>
      </c>
      <c r="H1734" s="7"/>
      <c r="I1734" s="7" t="s">
        <v>581</v>
      </c>
      <c r="J1734" s="7" t="s">
        <v>595</v>
      </c>
      <c r="K1734" s="7" t="s">
        <v>29</v>
      </c>
      <c r="L1734" s="3" t="str">
        <f>E1734&amp;D1734</f>
        <v>E.SP.IPAEE_INS_CONF_S_I_BL INT RELÉ S/ BAT_0090</v>
      </c>
      <c r="M1734" s="3" t="str">
        <f>IFERROR(MID(D1734,SEARCH("S_I_",D1734,1),3),"")</f>
        <v>S_I</v>
      </c>
      <c r="N1734" s="3" t="str">
        <f>IFERROR(MID(D1734,SEARCH("C_I_",D1734,1),3),"")</f>
        <v/>
      </c>
      <c r="O1734" s="3" t="str">
        <f>IF(AND(M1734="",N1734=""),"Extra","")</f>
        <v/>
      </c>
      <c r="P1734" s="3" t="str">
        <f>IF(Q1734=0,"TERCEIRO","MRS")</f>
        <v>MRS</v>
      </c>
      <c r="Q1734" s="8" t="str">
        <f>IFERROR(VLOOKUP(L1734,#REF!,4,0),"0,00")</f>
        <v>0,00</v>
      </c>
      <c r="R1734" s="9" t="s">
        <v>98</v>
      </c>
      <c r="S1734" s="9">
        <f>COUNTIF(D1734,"*_SEG_*")</f>
        <v>0</v>
      </c>
      <c r="T1734" s="9">
        <f>COUNTIF(D1734,"*_MAN_*")</f>
        <v>0</v>
      </c>
      <c r="U1734" s="9">
        <f>(RIGHT(D1734,4))*1</f>
        <v>90</v>
      </c>
      <c r="V1734" s="9" t="str">
        <f>IFERROR(VLOOKUP(I1734,#REF!,2,0),"Sinalização")</f>
        <v>Sinalização</v>
      </c>
    </row>
    <row r="1735" spans="1:22" x14ac:dyDescent="0.25">
      <c r="A1735" s="3" t="s">
        <v>22</v>
      </c>
      <c r="B1735" s="4">
        <v>23302182</v>
      </c>
      <c r="C1735" s="5" t="s">
        <v>23</v>
      </c>
      <c r="D1735" s="6" t="s">
        <v>594</v>
      </c>
      <c r="E1735" s="6" t="s">
        <v>25</v>
      </c>
      <c r="F1735" s="11">
        <v>46146</v>
      </c>
      <c r="G1735" s="6" t="s">
        <v>1079</v>
      </c>
      <c r="H1735" s="7"/>
      <c r="I1735" s="7" t="s">
        <v>457</v>
      </c>
      <c r="J1735" s="7" t="s">
        <v>595</v>
      </c>
      <c r="K1735" s="7" t="s">
        <v>29</v>
      </c>
      <c r="L1735" s="3" t="str">
        <f>E1735&amp;D1735</f>
        <v>E.SP.IPAEE_INS_CONF_S_I_BL INT RELÉ S/ BAT_0090</v>
      </c>
      <c r="M1735" s="3" t="str">
        <f>IFERROR(MID(D1735,SEARCH("S_I_",D1735,1),3),"")</f>
        <v>S_I</v>
      </c>
      <c r="N1735" s="3" t="str">
        <f>IFERROR(MID(D1735,SEARCH("C_I_",D1735,1),3),"")</f>
        <v/>
      </c>
      <c r="O1735" s="3" t="str">
        <f>IF(AND(M1735="",N1735=""),"Extra","")</f>
        <v/>
      </c>
      <c r="P1735" s="3" t="str">
        <f>IF(Q1735=0,"TERCEIRO","MRS")</f>
        <v>MRS</v>
      </c>
      <c r="Q1735" s="8" t="str">
        <f>IFERROR(VLOOKUP(L1735,#REF!,4,0),"0,00")</f>
        <v>0,00</v>
      </c>
      <c r="R1735" s="9" t="s">
        <v>98</v>
      </c>
      <c r="S1735" s="9">
        <f>COUNTIF(D1735,"*_SEG_*")</f>
        <v>0</v>
      </c>
      <c r="T1735" s="9">
        <f>COUNTIF(D1735,"*_MAN_*")</f>
        <v>0</v>
      </c>
      <c r="U1735" s="9">
        <f>(RIGHT(D1735,4))*1</f>
        <v>90</v>
      </c>
      <c r="V1735" s="9" t="str">
        <f>IFERROR(VLOOKUP(I1735,#REF!,2,0),"Sinalização")</f>
        <v>Sinalização</v>
      </c>
    </row>
    <row r="1736" spans="1:22" x14ac:dyDescent="0.25">
      <c r="A1736" s="3" t="s">
        <v>22</v>
      </c>
      <c r="B1736" s="4">
        <v>23302183</v>
      </c>
      <c r="C1736" s="5" t="s">
        <v>23</v>
      </c>
      <c r="D1736" s="6" t="s">
        <v>594</v>
      </c>
      <c r="E1736" s="6" t="s">
        <v>25</v>
      </c>
      <c r="F1736" s="11">
        <v>46146</v>
      </c>
      <c r="G1736" s="6" t="s">
        <v>1079</v>
      </c>
      <c r="H1736" s="7"/>
      <c r="I1736" s="7" t="s">
        <v>579</v>
      </c>
      <c r="J1736" s="7" t="s">
        <v>595</v>
      </c>
      <c r="K1736" s="7" t="s">
        <v>29</v>
      </c>
      <c r="L1736" s="3" t="str">
        <f>E1736&amp;D1736</f>
        <v>E.SP.IPAEE_INS_CONF_S_I_BL INT RELÉ S/ BAT_0090</v>
      </c>
      <c r="M1736" s="3" t="str">
        <f>IFERROR(MID(D1736,SEARCH("S_I_",D1736,1),3),"")</f>
        <v>S_I</v>
      </c>
      <c r="N1736" s="3" t="str">
        <f>IFERROR(MID(D1736,SEARCH("C_I_",D1736,1),3),"")</f>
        <v/>
      </c>
      <c r="O1736" s="3" t="str">
        <f>IF(AND(M1736="",N1736=""),"Extra","")</f>
        <v/>
      </c>
      <c r="P1736" s="3" t="str">
        <f>IF(Q1736=0,"TERCEIRO","MRS")</f>
        <v>MRS</v>
      </c>
      <c r="Q1736" s="8" t="str">
        <f>IFERROR(VLOOKUP(L1736,#REF!,4,0),"0,00")</f>
        <v>0,00</v>
      </c>
      <c r="R1736" s="9" t="s">
        <v>98</v>
      </c>
      <c r="S1736" s="9">
        <f>COUNTIF(D1736,"*_SEG_*")</f>
        <v>0</v>
      </c>
      <c r="T1736" s="9">
        <f>COUNTIF(D1736,"*_MAN_*")</f>
        <v>0</v>
      </c>
      <c r="U1736" s="9">
        <f>(RIGHT(D1736,4))*1</f>
        <v>90</v>
      </c>
      <c r="V1736" s="9" t="str">
        <f>IFERROR(VLOOKUP(I1736,#REF!,2,0),"Sinalização")</f>
        <v>Sinalização</v>
      </c>
    </row>
    <row r="1737" spans="1:22" x14ac:dyDescent="0.25">
      <c r="A1737" s="3" t="s">
        <v>22</v>
      </c>
      <c r="B1737" s="4">
        <v>23302184</v>
      </c>
      <c r="C1737" s="5" t="s">
        <v>23</v>
      </c>
      <c r="D1737" s="6" t="s">
        <v>594</v>
      </c>
      <c r="E1737" s="6" t="s">
        <v>25</v>
      </c>
      <c r="F1737" s="11">
        <v>46146</v>
      </c>
      <c r="G1737" s="6" t="s">
        <v>1079</v>
      </c>
      <c r="H1737" s="7"/>
      <c r="I1737" s="7" t="s">
        <v>448</v>
      </c>
      <c r="J1737" s="7" t="s">
        <v>595</v>
      </c>
      <c r="K1737" s="7" t="s">
        <v>29</v>
      </c>
      <c r="L1737" s="3" t="str">
        <f>E1737&amp;D1737</f>
        <v>E.SP.IPAEE_INS_CONF_S_I_BL INT RELÉ S/ BAT_0090</v>
      </c>
      <c r="M1737" s="3" t="str">
        <f>IFERROR(MID(D1737,SEARCH("S_I_",D1737,1),3),"")</f>
        <v>S_I</v>
      </c>
      <c r="N1737" s="3" t="str">
        <f>IFERROR(MID(D1737,SEARCH("C_I_",D1737,1),3),"")</f>
        <v/>
      </c>
      <c r="O1737" s="3" t="str">
        <f>IF(AND(M1737="",N1737=""),"Extra","")</f>
        <v/>
      </c>
      <c r="P1737" s="3" t="str">
        <f>IF(Q1737=0,"TERCEIRO","MRS")</f>
        <v>MRS</v>
      </c>
      <c r="Q1737" s="8" t="str">
        <f>IFERROR(VLOOKUP(L1737,#REF!,4,0),"0,00")</f>
        <v>0,00</v>
      </c>
      <c r="R1737" s="9" t="s">
        <v>98</v>
      </c>
      <c r="S1737" s="9">
        <f>COUNTIF(D1737,"*_SEG_*")</f>
        <v>0</v>
      </c>
      <c r="T1737" s="9">
        <f>COUNTIF(D1737,"*_MAN_*")</f>
        <v>0</v>
      </c>
      <c r="U1737" s="9">
        <f>(RIGHT(D1737,4))*1</f>
        <v>90</v>
      </c>
      <c r="V1737" s="9" t="str">
        <f>IFERROR(VLOOKUP(I1737,#REF!,2,0),"Sinalização")</f>
        <v>Sinalização</v>
      </c>
    </row>
    <row r="1738" spans="1:22" x14ac:dyDescent="0.25">
      <c r="A1738" s="3" t="s">
        <v>22</v>
      </c>
      <c r="B1738" s="4">
        <v>23302185</v>
      </c>
      <c r="C1738" s="5" t="s">
        <v>23</v>
      </c>
      <c r="D1738" s="6" t="s">
        <v>594</v>
      </c>
      <c r="E1738" s="6" t="s">
        <v>25</v>
      </c>
      <c r="F1738" s="11">
        <v>46146</v>
      </c>
      <c r="G1738" s="6" t="s">
        <v>1079</v>
      </c>
      <c r="H1738" s="7"/>
      <c r="I1738" s="7" t="s">
        <v>459</v>
      </c>
      <c r="J1738" s="7" t="s">
        <v>595</v>
      </c>
      <c r="K1738" s="7" t="s">
        <v>29</v>
      </c>
      <c r="L1738" s="3" t="str">
        <f>E1738&amp;D1738</f>
        <v>E.SP.IPAEE_INS_CONF_S_I_BL INT RELÉ S/ BAT_0090</v>
      </c>
      <c r="M1738" s="3" t="str">
        <f>IFERROR(MID(D1738,SEARCH("S_I_",D1738,1),3),"")</f>
        <v>S_I</v>
      </c>
      <c r="N1738" s="3" t="str">
        <f>IFERROR(MID(D1738,SEARCH("C_I_",D1738,1),3),"")</f>
        <v/>
      </c>
      <c r="O1738" s="3" t="str">
        <f>IF(AND(M1738="",N1738=""),"Extra","")</f>
        <v/>
      </c>
      <c r="P1738" s="3" t="str">
        <f>IF(Q1738=0,"TERCEIRO","MRS")</f>
        <v>MRS</v>
      </c>
      <c r="Q1738" s="8" t="str">
        <f>IFERROR(VLOOKUP(L1738,#REF!,4,0),"0,00")</f>
        <v>0,00</v>
      </c>
      <c r="R1738" s="9" t="s">
        <v>98</v>
      </c>
      <c r="S1738" s="9">
        <f>COUNTIF(D1738,"*_SEG_*")</f>
        <v>0</v>
      </c>
      <c r="T1738" s="9">
        <f>COUNTIF(D1738,"*_MAN_*")</f>
        <v>0</v>
      </c>
      <c r="U1738" s="9">
        <f>(RIGHT(D1738,4))*1</f>
        <v>90</v>
      </c>
      <c r="V1738" s="9" t="str">
        <f>IFERROR(VLOOKUP(I1738,#REF!,2,0),"Sinalização")</f>
        <v>Sinalização</v>
      </c>
    </row>
    <row r="1739" spans="1:22" x14ac:dyDescent="0.25">
      <c r="A1739" s="3" t="s">
        <v>22</v>
      </c>
      <c r="B1739" s="4">
        <v>23302187</v>
      </c>
      <c r="C1739" s="5" t="s">
        <v>23</v>
      </c>
      <c r="D1739" s="6" t="s">
        <v>594</v>
      </c>
      <c r="E1739" s="6" t="s">
        <v>25</v>
      </c>
      <c r="F1739" s="11">
        <v>46146</v>
      </c>
      <c r="G1739" s="6" t="s">
        <v>1079</v>
      </c>
      <c r="H1739" s="7"/>
      <c r="I1739" s="7" t="s">
        <v>458</v>
      </c>
      <c r="J1739" s="7" t="s">
        <v>595</v>
      </c>
      <c r="K1739" s="7" t="s">
        <v>29</v>
      </c>
      <c r="L1739" s="3" t="str">
        <f>E1739&amp;D1739</f>
        <v>E.SP.IPAEE_INS_CONF_S_I_BL INT RELÉ S/ BAT_0090</v>
      </c>
      <c r="M1739" s="3" t="str">
        <f>IFERROR(MID(D1739,SEARCH("S_I_",D1739,1),3),"")</f>
        <v>S_I</v>
      </c>
      <c r="N1739" s="3" t="str">
        <f>IFERROR(MID(D1739,SEARCH("C_I_",D1739,1),3),"")</f>
        <v/>
      </c>
      <c r="O1739" s="3" t="str">
        <f>IF(AND(M1739="",N1739=""),"Extra","")</f>
        <v/>
      </c>
      <c r="P1739" s="3" t="str">
        <f>IF(Q1739=0,"TERCEIRO","MRS")</f>
        <v>MRS</v>
      </c>
      <c r="Q1739" s="8" t="str">
        <f>IFERROR(VLOOKUP(L1739,#REF!,4,0),"0,00")</f>
        <v>0,00</v>
      </c>
      <c r="R1739" s="9" t="s">
        <v>98</v>
      </c>
      <c r="S1739" s="9">
        <f>COUNTIF(D1739,"*_SEG_*")</f>
        <v>0</v>
      </c>
      <c r="T1739" s="9">
        <f>COUNTIF(D1739,"*_MAN_*")</f>
        <v>0</v>
      </c>
      <c r="U1739" s="9">
        <f>(RIGHT(D1739,4))*1</f>
        <v>90</v>
      </c>
      <c r="V1739" s="9" t="str">
        <f>IFERROR(VLOOKUP(I1739,#REF!,2,0),"Sinalização")</f>
        <v>Sinalização</v>
      </c>
    </row>
    <row r="1740" spans="1:22" x14ac:dyDescent="0.25">
      <c r="A1740" s="3" t="s">
        <v>22</v>
      </c>
      <c r="B1740" s="4">
        <v>23302191</v>
      </c>
      <c r="C1740" s="5" t="s">
        <v>23</v>
      </c>
      <c r="D1740" s="6" t="s">
        <v>594</v>
      </c>
      <c r="E1740" s="6" t="s">
        <v>25</v>
      </c>
      <c r="F1740" s="11">
        <v>46146</v>
      </c>
      <c r="G1740" s="6" t="s">
        <v>1079</v>
      </c>
      <c r="H1740" s="7"/>
      <c r="I1740" s="7" t="s">
        <v>417</v>
      </c>
      <c r="J1740" s="7" t="s">
        <v>595</v>
      </c>
      <c r="K1740" s="7" t="s">
        <v>29</v>
      </c>
      <c r="L1740" s="3" t="str">
        <f>E1740&amp;D1740</f>
        <v>E.SP.IPAEE_INS_CONF_S_I_BL INT RELÉ S/ BAT_0090</v>
      </c>
      <c r="M1740" s="3" t="str">
        <f>IFERROR(MID(D1740,SEARCH("S_I_",D1740,1),3),"")</f>
        <v>S_I</v>
      </c>
      <c r="N1740" s="3" t="str">
        <f>IFERROR(MID(D1740,SEARCH("C_I_",D1740,1),3),"")</f>
        <v/>
      </c>
      <c r="O1740" s="3" t="str">
        <f>IF(AND(M1740="",N1740=""),"Extra","")</f>
        <v/>
      </c>
      <c r="P1740" s="3" t="str">
        <f>IF(Q1740=0,"TERCEIRO","MRS")</f>
        <v>MRS</v>
      </c>
      <c r="Q1740" s="8" t="str">
        <f>IFERROR(VLOOKUP(L1740,#REF!,4,0),"0,00")</f>
        <v>0,00</v>
      </c>
      <c r="R1740" s="9" t="s">
        <v>98</v>
      </c>
      <c r="S1740" s="9">
        <f>COUNTIF(D1740,"*_SEG_*")</f>
        <v>0</v>
      </c>
      <c r="T1740" s="9">
        <f>COUNTIF(D1740,"*_MAN_*")</f>
        <v>0</v>
      </c>
      <c r="U1740" s="9">
        <f>(RIGHT(D1740,4))*1</f>
        <v>90</v>
      </c>
      <c r="V1740" s="9" t="str">
        <f>IFERROR(VLOOKUP(I1740,#REF!,2,0),"Sinalização")</f>
        <v>Sinalização</v>
      </c>
    </row>
    <row r="1741" spans="1:22" x14ac:dyDescent="0.25">
      <c r="A1741" s="3" t="s">
        <v>22</v>
      </c>
      <c r="B1741" s="4">
        <v>23302195</v>
      </c>
      <c r="C1741" s="5" t="s">
        <v>23</v>
      </c>
      <c r="D1741" s="6" t="s">
        <v>594</v>
      </c>
      <c r="E1741" s="6" t="s">
        <v>25</v>
      </c>
      <c r="F1741" s="11">
        <v>46146</v>
      </c>
      <c r="G1741" s="6" t="s">
        <v>1079</v>
      </c>
      <c r="H1741" s="7"/>
      <c r="I1741" s="7" t="s">
        <v>426</v>
      </c>
      <c r="J1741" s="7" t="s">
        <v>595</v>
      </c>
      <c r="K1741" s="7" t="s">
        <v>29</v>
      </c>
      <c r="L1741" s="3" t="str">
        <f>E1741&amp;D1741</f>
        <v>E.SP.IPAEE_INS_CONF_S_I_BL INT RELÉ S/ BAT_0090</v>
      </c>
      <c r="M1741" s="3" t="str">
        <f>IFERROR(MID(D1741,SEARCH("S_I_",D1741,1),3),"")</f>
        <v>S_I</v>
      </c>
      <c r="N1741" s="3" t="str">
        <f>IFERROR(MID(D1741,SEARCH("C_I_",D1741,1),3),"")</f>
        <v/>
      </c>
      <c r="O1741" s="3" t="str">
        <f>IF(AND(M1741="",N1741=""),"Extra","")</f>
        <v/>
      </c>
      <c r="P1741" s="3" t="str">
        <f>IF(Q1741=0,"TERCEIRO","MRS")</f>
        <v>MRS</v>
      </c>
      <c r="Q1741" s="8" t="str">
        <f>IFERROR(VLOOKUP(L1741,#REF!,4,0),"0,00")</f>
        <v>0,00</v>
      </c>
      <c r="R1741" s="9" t="s">
        <v>98</v>
      </c>
      <c r="S1741" s="9">
        <f>COUNTIF(D1741,"*_SEG_*")</f>
        <v>0</v>
      </c>
      <c r="T1741" s="9">
        <f>COUNTIF(D1741,"*_MAN_*")</f>
        <v>0</v>
      </c>
      <c r="U1741" s="9">
        <f>(RIGHT(D1741,4))*1</f>
        <v>90</v>
      </c>
      <c r="V1741" s="9" t="str">
        <f>IFERROR(VLOOKUP(I1741,#REF!,2,0),"Sinalização")</f>
        <v>Sinalização</v>
      </c>
    </row>
    <row r="1742" spans="1:22" x14ac:dyDescent="0.25">
      <c r="A1742" s="3" t="s">
        <v>22</v>
      </c>
      <c r="B1742" s="4">
        <v>23302222</v>
      </c>
      <c r="C1742" s="5" t="s">
        <v>23</v>
      </c>
      <c r="D1742" s="6" t="s">
        <v>596</v>
      </c>
      <c r="E1742" s="6" t="s">
        <v>25</v>
      </c>
      <c r="F1742" s="11">
        <v>46146</v>
      </c>
      <c r="G1742" s="6" t="s">
        <v>1079</v>
      </c>
      <c r="H1742" s="7"/>
      <c r="I1742" s="7" t="s">
        <v>485</v>
      </c>
      <c r="J1742" s="7" t="s">
        <v>597</v>
      </c>
      <c r="K1742" s="7" t="s">
        <v>29</v>
      </c>
      <c r="L1742" s="3" t="str">
        <f>E1742&amp;D1742</f>
        <v>E.SP.IPAEE_INS_CONF_S_I_LINK DE RADIO A_0090</v>
      </c>
      <c r="M1742" s="3" t="str">
        <f>IFERROR(MID(D1742,SEARCH("S_I_",D1742,1),3),"")</f>
        <v>S_I</v>
      </c>
      <c r="N1742" s="3" t="str">
        <f>IFERROR(MID(D1742,SEARCH("C_I_",D1742,1),3),"")</f>
        <v/>
      </c>
      <c r="O1742" s="3" t="str">
        <f>IF(AND(M1742="",N1742=""),"Extra","")</f>
        <v/>
      </c>
      <c r="P1742" s="3" t="str">
        <f>IF(Q1742=0,"TERCEIRO","MRS")</f>
        <v>MRS</v>
      </c>
      <c r="Q1742" s="8" t="str">
        <f>IFERROR(VLOOKUP(L1742,#REF!,4,0),"0,00")</f>
        <v>0,00</v>
      </c>
      <c r="R1742" s="9" t="s">
        <v>57</v>
      </c>
      <c r="S1742" s="9">
        <f>COUNTIF(D1742,"*_SEG_*")</f>
        <v>0</v>
      </c>
      <c r="T1742" s="9">
        <f>COUNTIF(D1742,"*_MAN_*")</f>
        <v>0</v>
      </c>
      <c r="U1742" s="9">
        <f>(RIGHT(D1742,4))*1</f>
        <v>90</v>
      </c>
      <c r="V1742" s="9" t="str">
        <f>IFERROR(VLOOKUP(I1742,#REF!,2,0),"Sinalização")</f>
        <v>Sinalização</v>
      </c>
    </row>
    <row r="1743" spans="1:22" x14ac:dyDescent="0.25">
      <c r="A1743" s="3" t="s">
        <v>22</v>
      </c>
      <c r="B1743" s="4">
        <v>23302225</v>
      </c>
      <c r="C1743" s="5" t="s">
        <v>23</v>
      </c>
      <c r="D1743" s="6" t="s">
        <v>598</v>
      </c>
      <c r="E1743" s="6" t="s">
        <v>25</v>
      </c>
      <c r="F1743" s="11">
        <v>46146</v>
      </c>
      <c r="G1743" s="6" t="s">
        <v>1079</v>
      </c>
      <c r="H1743" s="7"/>
      <c r="I1743" s="7" t="s">
        <v>456</v>
      </c>
      <c r="J1743" s="7" t="s">
        <v>591</v>
      </c>
      <c r="K1743" s="7" t="s">
        <v>29</v>
      </c>
      <c r="L1743" s="3" t="str">
        <f>E1743&amp;D1743</f>
        <v>E.SP.IPAEE_INS_CONF_S_I_MCH 110V GRS 55BR R_0090</v>
      </c>
      <c r="M1743" s="3" t="str">
        <f>IFERROR(MID(D1743,SEARCH("S_I_",D1743,1),3),"")</f>
        <v>S_I</v>
      </c>
      <c r="N1743" s="3" t="str">
        <f>IFERROR(MID(D1743,SEARCH("C_I_",D1743,1),3),"")</f>
        <v/>
      </c>
      <c r="O1743" s="3" t="str">
        <f>IF(AND(M1743="",N1743=""),"Extra","")</f>
        <v/>
      </c>
      <c r="P1743" s="3" t="str">
        <f>IF(Q1743=0,"TERCEIRO","MRS")</f>
        <v>MRS</v>
      </c>
      <c r="Q1743" s="8" t="str">
        <f>IFERROR(VLOOKUP(L1743,#REF!,4,0),"0,00")</f>
        <v>0,00</v>
      </c>
      <c r="R1743" s="9" t="s">
        <v>42</v>
      </c>
      <c r="S1743" s="9">
        <f>COUNTIF(D1743,"*_SEG_*")</f>
        <v>0</v>
      </c>
      <c r="T1743" s="9">
        <f>COUNTIF(D1743,"*_MAN_*")</f>
        <v>0</v>
      </c>
      <c r="U1743" s="9">
        <f>(RIGHT(D1743,4))*1</f>
        <v>90</v>
      </c>
      <c r="V1743" s="9" t="str">
        <f>IFERROR(VLOOKUP(I1743,#REF!,2,0),"Sinalização")</f>
        <v>Sinalização</v>
      </c>
    </row>
    <row r="1744" spans="1:22" x14ac:dyDescent="0.25">
      <c r="A1744" s="3" t="s">
        <v>22</v>
      </c>
      <c r="B1744" s="4">
        <v>23302226</v>
      </c>
      <c r="C1744" s="5" t="s">
        <v>23</v>
      </c>
      <c r="D1744" s="6" t="s">
        <v>598</v>
      </c>
      <c r="E1744" s="6" t="s">
        <v>25</v>
      </c>
      <c r="F1744" s="11">
        <v>46146</v>
      </c>
      <c r="G1744" s="6" t="s">
        <v>1079</v>
      </c>
      <c r="H1744" s="7"/>
      <c r="I1744" s="7" t="s">
        <v>599</v>
      </c>
      <c r="J1744" s="7" t="s">
        <v>591</v>
      </c>
      <c r="K1744" s="7" t="s">
        <v>29</v>
      </c>
      <c r="L1744" s="3" t="str">
        <f>E1744&amp;D1744</f>
        <v>E.SP.IPAEE_INS_CONF_S_I_MCH 110V GRS 55BR R_0090</v>
      </c>
      <c r="M1744" s="3" t="str">
        <f>IFERROR(MID(D1744,SEARCH("S_I_",D1744,1),3),"")</f>
        <v>S_I</v>
      </c>
      <c r="N1744" s="3" t="str">
        <f>IFERROR(MID(D1744,SEARCH("C_I_",D1744,1),3),"")</f>
        <v/>
      </c>
      <c r="O1744" s="3" t="str">
        <f>IF(AND(M1744="",N1744=""),"Extra","")</f>
        <v/>
      </c>
      <c r="P1744" s="3" t="str">
        <f>IF(Q1744=0,"TERCEIRO","MRS")</f>
        <v>MRS</v>
      </c>
      <c r="Q1744" s="8" t="str">
        <f>IFERROR(VLOOKUP(L1744,#REF!,4,0),"0,00")</f>
        <v>0,00</v>
      </c>
      <c r="R1744" s="9" t="s">
        <v>42</v>
      </c>
      <c r="S1744" s="9">
        <f>COUNTIF(D1744,"*_SEG_*")</f>
        <v>0</v>
      </c>
      <c r="T1744" s="9">
        <f>COUNTIF(D1744,"*_MAN_*")</f>
        <v>0</v>
      </c>
      <c r="U1744" s="9">
        <f>(RIGHT(D1744,4))*1</f>
        <v>90</v>
      </c>
      <c r="V1744" s="9" t="str">
        <f>IFERROR(VLOOKUP(I1744,#REF!,2,0),"Sinalização")</f>
        <v>Sinalização</v>
      </c>
    </row>
    <row r="1745" spans="1:22" x14ac:dyDescent="0.25">
      <c r="A1745" s="3" t="s">
        <v>22</v>
      </c>
      <c r="B1745" s="4">
        <v>23302227</v>
      </c>
      <c r="C1745" s="5" t="s">
        <v>23</v>
      </c>
      <c r="D1745" s="6" t="s">
        <v>598</v>
      </c>
      <c r="E1745" s="6" t="s">
        <v>25</v>
      </c>
      <c r="F1745" s="11">
        <v>46146</v>
      </c>
      <c r="G1745" s="6" t="s">
        <v>1079</v>
      </c>
      <c r="H1745" s="7"/>
      <c r="I1745" s="7" t="s">
        <v>446</v>
      </c>
      <c r="J1745" s="7" t="s">
        <v>591</v>
      </c>
      <c r="K1745" s="7" t="s">
        <v>29</v>
      </c>
      <c r="L1745" s="3" t="str">
        <f>E1745&amp;D1745</f>
        <v>E.SP.IPAEE_INS_CONF_S_I_MCH 110V GRS 55BR R_0090</v>
      </c>
      <c r="M1745" s="3" t="str">
        <f>IFERROR(MID(D1745,SEARCH("S_I_",D1745,1),3),"")</f>
        <v>S_I</v>
      </c>
      <c r="N1745" s="3" t="str">
        <f>IFERROR(MID(D1745,SEARCH("C_I_",D1745,1),3),"")</f>
        <v/>
      </c>
      <c r="O1745" s="3" t="str">
        <f>IF(AND(M1745="",N1745=""),"Extra","")</f>
        <v/>
      </c>
      <c r="P1745" s="3" t="str">
        <f>IF(Q1745=0,"TERCEIRO","MRS")</f>
        <v>MRS</v>
      </c>
      <c r="Q1745" s="8" t="str">
        <f>IFERROR(VLOOKUP(L1745,#REF!,4,0),"0,00")</f>
        <v>0,00</v>
      </c>
      <c r="R1745" s="9" t="s">
        <v>42</v>
      </c>
      <c r="S1745" s="9">
        <f>COUNTIF(D1745,"*_SEG_*")</f>
        <v>0</v>
      </c>
      <c r="T1745" s="9">
        <f>COUNTIF(D1745,"*_MAN_*")</f>
        <v>0</v>
      </c>
      <c r="U1745" s="9">
        <f>(RIGHT(D1745,4))*1</f>
        <v>90</v>
      </c>
      <c r="V1745" s="9" t="str">
        <f>IFERROR(VLOOKUP(I1745,#REF!,2,0),"Sinalização")</f>
        <v>Sinalização</v>
      </c>
    </row>
    <row r="1746" spans="1:22" x14ac:dyDescent="0.25">
      <c r="A1746" s="3" t="s">
        <v>22</v>
      </c>
      <c r="B1746" s="4">
        <v>23302228</v>
      </c>
      <c r="C1746" s="5" t="s">
        <v>23</v>
      </c>
      <c r="D1746" s="6" t="s">
        <v>598</v>
      </c>
      <c r="E1746" s="6" t="s">
        <v>25</v>
      </c>
      <c r="F1746" s="11">
        <v>46146</v>
      </c>
      <c r="G1746" s="6" t="s">
        <v>1079</v>
      </c>
      <c r="H1746" s="7"/>
      <c r="I1746" s="7" t="s">
        <v>483</v>
      </c>
      <c r="J1746" s="7" t="s">
        <v>591</v>
      </c>
      <c r="K1746" s="7" t="s">
        <v>29</v>
      </c>
      <c r="L1746" s="3" t="str">
        <f>E1746&amp;D1746</f>
        <v>E.SP.IPAEE_INS_CONF_S_I_MCH 110V GRS 55BR R_0090</v>
      </c>
      <c r="M1746" s="3" t="str">
        <f>IFERROR(MID(D1746,SEARCH("S_I_",D1746,1),3),"")</f>
        <v>S_I</v>
      </c>
      <c r="N1746" s="3" t="str">
        <f>IFERROR(MID(D1746,SEARCH("C_I_",D1746,1),3),"")</f>
        <v/>
      </c>
      <c r="O1746" s="3" t="str">
        <f>IF(AND(M1746="",N1746=""),"Extra","")</f>
        <v/>
      </c>
      <c r="P1746" s="3" t="str">
        <f>IF(Q1746=0,"TERCEIRO","MRS")</f>
        <v>MRS</v>
      </c>
      <c r="Q1746" s="8" t="str">
        <f>IFERROR(VLOOKUP(L1746,#REF!,4,0),"0,00")</f>
        <v>0,00</v>
      </c>
      <c r="R1746" s="9" t="s">
        <v>42</v>
      </c>
      <c r="S1746" s="9">
        <f>COUNTIF(D1746,"*_SEG_*")</f>
        <v>0</v>
      </c>
      <c r="T1746" s="9">
        <f>COUNTIF(D1746,"*_MAN_*")</f>
        <v>0</v>
      </c>
      <c r="U1746" s="9">
        <f>(RIGHT(D1746,4))*1</f>
        <v>90</v>
      </c>
      <c r="V1746" s="9" t="str">
        <f>IFERROR(VLOOKUP(I1746,#REF!,2,0),"Sinalização")</f>
        <v>Sinalização</v>
      </c>
    </row>
    <row r="1747" spans="1:22" x14ac:dyDescent="0.25">
      <c r="A1747" s="3" t="s">
        <v>22</v>
      </c>
      <c r="B1747" s="4">
        <v>23302229</v>
      </c>
      <c r="C1747" s="5" t="s">
        <v>23</v>
      </c>
      <c r="D1747" s="6" t="s">
        <v>600</v>
      </c>
      <c r="E1747" s="6" t="s">
        <v>25</v>
      </c>
      <c r="F1747" s="11">
        <v>46146</v>
      </c>
      <c r="G1747" s="6" t="s">
        <v>1079</v>
      </c>
      <c r="H1747" s="7"/>
      <c r="I1747" s="7" t="s">
        <v>601</v>
      </c>
      <c r="J1747" s="7" t="s">
        <v>560</v>
      </c>
      <c r="K1747" s="7" t="s">
        <v>29</v>
      </c>
      <c r="L1747" s="3" t="str">
        <f>E1747&amp;D1747</f>
        <v>E.SP.IPAEE_INS_SEG_S_I_CIRCUITO VIA CC_0090</v>
      </c>
      <c r="M1747" s="3" t="str">
        <f>IFERROR(MID(D1747,SEARCH("S_I_",D1747,1),3),"")</f>
        <v>S_I</v>
      </c>
      <c r="N1747" s="3" t="str">
        <f>IFERROR(MID(D1747,SEARCH("C_I_",D1747,1),3),"")</f>
        <v/>
      </c>
      <c r="O1747" s="3" t="str">
        <f>IF(AND(M1747="",N1747=""),"Extra","")</f>
        <v/>
      </c>
      <c r="P1747" s="3" t="str">
        <f>IF(Q1747=0,"TERCEIRO","MRS")</f>
        <v>MRS</v>
      </c>
      <c r="Q1747" s="8" t="str">
        <f>IFERROR(VLOOKUP(L1747,#REF!,4,0),"0,00")</f>
        <v>0,00</v>
      </c>
      <c r="R1747" s="9" t="s">
        <v>30</v>
      </c>
      <c r="S1747" s="9">
        <f>COUNTIF(D1747,"*_SEG_*")</f>
        <v>1</v>
      </c>
      <c r="T1747" s="9">
        <f>COUNTIF(D1747,"*_MAN_*")</f>
        <v>0</v>
      </c>
      <c r="U1747" s="9">
        <f>(RIGHT(D1747,4))*1</f>
        <v>90</v>
      </c>
      <c r="V1747" s="9" t="str">
        <f>IFERROR(VLOOKUP(I1747,#REF!,2,0),"Sinalização")</f>
        <v>Sinalização</v>
      </c>
    </row>
    <row r="1748" spans="1:22" x14ac:dyDescent="0.25">
      <c r="A1748" s="3" t="s">
        <v>22</v>
      </c>
      <c r="B1748" s="4">
        <v>23302274</v>
      </c>
      <c r="C1748" s="5" t="s">
        <v>23</v>
      </c>
      <c r="D1748" s="6" t="s">
        <v>602</v>
      </c>
      <c r="E1748" s="6" t="s">
        <v>25</v>
      </c>
      <c r="F1748" s="11">
        <v>46146</v>
      </c>
      <c r="G1748" s="6" t="s">
        <v>1079</v>
      </c>
      <c r="H1748" s="7"/>
      <c r="I1748" s="7" t="s">
        <v>603</v>
      </c>
      <c r="J1748" s="7" t="s">
        <v>604</v>
      </c>
      <c r="K1748" s="7" t="s">
        <v>29</v>
      </c>
      <c r="L1748" s="3" t="str">
        <f>E1748&amp;D1748</f>
        <v>E.SP.IPAEE_MAN_CONF_S_I_COM ENER CHAN OVER_0090</v>
      </c>
      <c r="M1748" s="3" t="str">
        <f>IFERROR(MID(D1748,SEARCH("S_I_",D1748,1),3),"")</f>
        <v>S_I</v>
      </c>
      <c r="N1748" s="3" t="str">
        <f>IFERROR(MID(D1748,SEARCH("C_I_",D1748,1),3),"")</f>
        <v/>
      </c>
      <c r="O1748" s="3" t="str">
        <f>IF(AND(M1748="",N1748=""),"Extra","")</f>
        <v/>
      </c>
      <c r="P1748" s="3" t="str">
        <f>IF(Q1748=0,"TERCEIRO","MRS")</f>
        <v>MRS</v>
      </c>
      <c r="Q1748" s="8" t="str">
        <f>IFERROR(VLOOKUP(L1748,#REF!,4,0),"0,00")</f>
        <v>0,00</v>
      </c>
      <c r="R1748" s="9" t="s">
        <v>98</v>
      </c>
      <c r="S1748" s="9">
        <f>COUNTIF(D1748,"*_SEG_*")</f>
        <v>0</v>
      </c>
      <c r="T1748" s="9">
        <f>COUNTIF(D1748,"*_MAN_*")</f>
        <v>1</v>
      </c>
      <c r="U1748" s="9">
        <f>(RIGHT(D1748,4))*1</f>
        <v>90</v>
      </c>
      <c r="V1748" s="9" t="str">
        <f>IFERROR(VLOOKUP(I1748,#REF!,2,0),"Sinalização")</f>
        <v>Sinalização</v>
      </c>
    </row>
    <row r="1749" spans="1:22" x14ac:dyDescent="0.25">
      <c r="A1749" s="3" t="s">
        <v>22</v>
      </c>
      <c r="B1749" s="4">
        <v>23302341</v>
      </c>
      <c r="C1749" s="5" t="s">
        <v>23</v>
      </c>
      <c r="D1749" s="6" t="s">
        <v>605</v>
      </c>
      <c r="E1749" s="6" t="s">
        <v>25</v>
      </c>
      <c r="F1749" s="11">
        <v>46146</v>
      </c>
      <c r="G1749" s="6" t="s">
        <v>1079</v>
      </c>
      <c r="H1749" s="7"/>
      <c r="I1749" s="7" t="s">
        <v>569</v>
      </c>
      <c r="J1749" s="7" t="s">
        <v>560</v>
      </c>
      <c r="K1749" s="7" t="s">
        <v>29</v>
      </c>
      <c r="L1749" s="3" t="str">
        <f>E1749&amp;D1749</f>
        <v>E.SP.IPAEE_INS_SEG_S_I_CIRCUITO VIA CA_0090</v>
      </c>
      <c r="M1749" s="3" t="str">
        <f>IFERROR(MID(D1749,SEARCH("S_I_",D1749,1),3),"")</f>
        <v>S_I</v>
      </c>
      <c r="N1749" s="3" t="str">
        <f>IFERROR(MID(D1749,SEARCH("C_I_",D1749,1),3),"")</f>
        <v/>
      </c>
      <c r="O1749" s="3" t="str">
        <f>IF(AND(M1749="",N1749=""),"Extra","")</f>
        <v/>
      </c>
      <c r="P1749" s="3" t="str">
        <f>IF(Q1749=0,"TERCEIRO","MRS")</f>
        <v>MRS</v>
      </c>
      <c r="Q1749" s="8" t="str">
        <f>IFERROR(VLOOKUP(L1749,#REF!,4,0),"0,00")</f>
        <v>0,00</v>
      </c>
      <c r="R1749" s="9" t="s">
        <v>30</v>
      </c>
      <c r="S1749" s="9">
        <f>COUNTIF(D1749,"*_SEG_*")</f>
        <v>1</v>
      </c>
      <c r="T1749" s="9">
        <f>COUNTIF(D1749,"*_MAN_*")</f>
        <v>0</v>
      </c>
      <c r="U1749" s="9">
        <f>(RIGHT(D1749,4))*1</f>
        <v>90</v>
      </c>
      <c r="V1749" s="9" t="str">
        <f>IFERROR(VLOOKUP(I1749,#REF!,2,0),"Sinalização")</f>
        <v>Sinalização</v>
      </c>
    </row>
    <row r="1750" spans="1:22" x14ac:dyDescent="0.25">
      <c r="A1750" s="3" t="s">
        <v>22</v>
      </c>
      <c r="B1750" s="4">
        <v>23302351</v>
      </c>
      <c r="C1750" s="5" t="s">
        <v>23</v>
      </c>
      <c r="D1750" s="6" t="s">
        <v>606</v>
      </c>
      <c r="E1750" s="6" t="s">
        <v>25</v>
      </c>
      <c r="F1750" s="11">
        <v>46146</v>
      </c>
      <c r="G1750" s="6" t="s">
        <v>1079</v>
      </c>
      <c r="H1750" s="7"/>
      <c r="I1750" s="7" t="s">
        <v>456</v>
      </c>
      <c r="J1750" s="7" t="s">
        <v>567</v>
      </c>
      <c r="K1750" s="7" t="s">
        <v>29</v>
      </c>
      <c r="L1750" s="3" t="str">
        <f>E1750&amp;D1750</f>
        <v>E.SP.IPAEE_INS_CONF_C_I_MCH 110V GRS 55BR R_0090</v>
      </c>
      <c r="M1750" s="3" t="str">
        <f>IFERROR(MID(D1750,SEARCH("S_I_",D1750,1),3),"")</f>
        <v/>
      </c>
      <c r="N1750" s="3" t="str">
        <f>IFERROR(MID(D1750,SEARCH("C_I_",D1750,1),3),"")</f>
        <v>C_I</v>
      </c>
      <c r="O1750" s="3" t="str">
        <f>IF(AND(M1750="",N1750=""),"Extra","")</f>
        <v/>
      </c>
      <c r="P1750" s="3" t="str">
        <f>IF(Q1750=0,"TERCEIRO","MRS")</f>
        <v>MRS</v>
      </c>
      <c r="Q1750" s="8" t="str">
        <f>IFERROR(VLOOKUP(L1750,#REF!,4,0),"0,00")</f>
        <v>0,00</v>
      </c>
      <c r="R1750" s="9" t="s">
        <v>42</v>
      </c>
      <c r="S1750" s="9">
        <f>COUNTIF(D1750,"*_SEG_*")</f>
        <v>0</v>
      </c>
      <c r="T1750" s="9">
        <f>COUNTIF(D1750,"*_MAN_*")</f>
        <v>0</v>
      </c>
      <c r="U1750" s="9">
        <f>(RIGHT(D1750,4))*1</f>
        <v>90</v>
      </c>
      <c r="V1750" s="9" t="str">
        <f>IFERROR(VLOOKUP(I1750,#REF!,2,0),"Sinalização")</f>
        <v>Sinalização</v>
      </c>
    </row>
    <row r="1751" spans="1:22" x14ac:dyDescent="0.25">
      <c r="A1751" s="3" t="s">
        <v>22</v>
      </c>
      <c r="B1751" s="4">
        <v>23302352</v>
      </c>
      <c r="C1751" s="5" t="s">
        <v>23</v>
      </c>
      <c r="D1751" s="6" t="s">
        <v>606</v>
      </c>
      <c r="E1751" s="6" t="s">
        <v>25</v>
      </c>
      <c r="F1751" s="11">
        <v>46146</v>
      </c>
      <c r="G1751" s="6" t="s">
        <v>1079</v>
      </c>
      <c r="H1751" s="7"/>
      <c r="I1751" s="7" t="s">
        <v>599</v>
      </c>
      <c r="J1751" s="7" t="s">
        <v>567</v>
      </c>
      <c r="K1751" s="7" t="s">
        <v>29</v>
      </c>
      <c r="L1751" s="3" t="str">
        <f>E1751&amp;D1751</f>
        <v>E.SP.IPAEE_INS_CONF_C_I_MCH 110V GRS 55BR R_0090</v>
      </c>
      <c r="M1751" s="3" t="str">
        <f>IFERROR(MID(D1751,SEARCH("S_I_",D1751,1),3),"")</f>
        <v/>
      </c>
      <c r="N1751" s="3" t="str">
        <f>IFERROR(MID(D1751,SEARCH("C_I_",D1751,1),3),"")</f>
        <v>C_I</v>
      </c>
      <c r="O1751" s="3" t="str">
        <f>IF(AND(M1751="",N1751=""),"Extra","")</f>
        <v/>
      </c>
      <c r="P1751" s="3" t="str">
        <f>IF(Q1751=0,"TERCEIRO","MRS")</f>
        <v>MRS</v>
      </c>
      <c r="Q1751" s="8" t="str">
        <f>IFERROR(VLOOKUP(L1751,#REF!,4,0),"0,00")</f>
        <v>0,00</v>
      </c>
      <c r="R1751" s="9" t="s">
        <v>42</v>
      </c>
      <c r="S1751" s="9">
        <f>COUNTIF(D1751,"*_SEG_*")</f>
        <v>0</v>
      </c>
      <c r="T1751" s="9">
        <f>COUNTIF(D1751,"*_MAN_*")</f>
        <v>0</v>
      </c>
      <c r="U1751" s="9">
        <f>(RIGHT(D1751,4))*1</f>
        <v>90</v>
      </c>
      <c r="V1751" s="9" t="str">
        <f>IFERROR(VLOOKUP(I1751,#REF!,2,0),"Sinalização")</f>
        <v>Sinalização</v>
      </c>
    </row>
    <row r="1752" spans="1:22" x14ac:dyDescent="0.25">
      <c r="A1752" s="3" t="s">
        <v>22</v>
      </c>
      <c r="B1752" s="4">
        <v>23302353</v>
      </c>
      <c r="C1752" s="5" t="s">
        <v>23</v>
      </c>
      <c r="D1752" s="6" t="s">
        <v>606</v>
      </c>
      <c r="E1752" s="6" t="s">
        <v>25</v>
      </c>
      <c r="F1752" s="11">
        <v>46146</v>
      </c>
      <c r="G1752" s="6" t="s">
        <v>1079</v>
      </c>
      <c r="H1752" s="7"/>
      <c r="I1752" s="7" t="s">
        <v>446</v>
      </c>
      <c r="J1752" s="7" t="s">
        <v>567</v>
      </c>
      <c r="K1752" s="7" t="s">
        <v>29</v>
      </c>
      <c r="L1752" s="3" t="str">
        <f>E1752&amp;D1752</f>
        <v>E.SP.IPAEE_INS_CONF_C_I_MCH 110V GRS 55BR R_0090</v>
      </c>
      <c r="M1752" s="3" t="str">
        <f>IFERROR(MID(D1752,SEARCH("S_I_",D1752,1),3),"")</f>
        <v/>
      </c>
      <c r="N1752" s="3" t="str">
        <f>IFERROR(MID(D1752,SEARCH("C_I_",D1752,1),3),"")</f>
        <v>C_I</v>
      </c>
      <c r="O1752" s="3" t="str">
        <f>IF(AND(M1752="",N1752=""),"Extra","")</f>
        <v/>
      </c>
      <c r="P1752" s="3" t="str">
        <f>IF(Q1752=0,"TERCEIRO","MRS")</f>
        <v>MRS</v>
      </c>
      <c r="Q1752" s="8" t="str">
        <f>IFERROR(VLOOKUP(L1752,#REF!,4,0),"0,00")</f>
        <v>0,00</v>
      </c>
      <c r="R1752" s="9" t="s">
        <v>42</v>
      </c>
      <c r="S1752" s="9">
        <f>COUNTIF(D1752,"*_SEG_*")</f>
        <v>0</v>
      </c>
      <c r="T1752" s="9">
        <f>COUNTIF(D1752,"*_MAN_*")</f>
        <v>0</v>
      </c>
      <c r="U1752" s="9">
        <f>(RIGHT(D1752,4))*1</f>
        <v>90</v>
      </c>
      <c r="V1752" s="9" t="str">
        <f>IFERROR(VLOOKUP(I1752,#REF!,2,0),"Sinalização")</f>
        <v>Sinalização</v>
      </c>
    </row>
    <row r="1753" spans="1:22" x14ac:dyDescent="0.25">
      <c r="A1753" s="3" t="s">
        <v>22</v>
      </c>
      <c r="B1753" s="4">
        <v>23302354</v>
      </c>
      <c r="C1753" s="5" t="s">
        <v>23</v>
      </c>
      <c r="D1753" s="6" t="s">
        <v>606</v>
      </c>
      <c r="E1753" s="6" t="s">
        <v>25</v>
      </c>
      <c r="F1753" s="11">
        <v>46146</v>
      </c>
      <c r="G1753" s="6" t="s">
        <v>1079</v>
      </c>
      <c r="H1753" s="7"/>
      <c r="I1753" s="7" t="s">
        <v>607</v>
      </c>
      <c r="J1753" s="7" t="s">
        <v>567</v>
      </c>
      <c r="K1753" s="7" t="s">
        <v>29</v>
      </c>
      <c r="L1753" s="3" t="str">
        <f>E1753&amp;D1753</f>
        <v>E.SP.IPAEE_INS_CONF_C_I_MCH 110V GRS 55BR R_0090</v>
      </c>
      <c r="M1753" s="3" t="str">
        <f>IFERROR(MID(D1753,SEARCH("S_I_",D1753,1),3),"")</f>
        <v/>
      </c>
      <c r="N1753" s="3" t="str">
        <f>IFERROR(MID(D1753,SEARCH("C_I_",D1753,1),3),"")</f>
        <v>C_I</v>
      </c>
      <c r="O1753" s="3" t="str">
        <f>IF(AND(M1753="",N1753=""),"Extra","")</f>
        <v/>
      </c>
      <c r="P1753" s="3" t="str">
        <f>IF(Q1753=0,"TERCEIRO","MRS")</f>
        <v>MRS</v>
      </c>
      <c r="Q1753" s="8" t="str">
        <f>IFERROR(VLOOKUP(L1753,#REF!,4,0),"0,00")</f>
        <v>0,00</v>
      </c>
      <c r="R1753" s="9" t="s">
        <v>42</v>
      </c>
      <c r="S1753" s="9">
        <f>COUNTIF(D1753,"*_SEG_*")</f>
        <v>0</v>
      </c>
      <c r="T1753" s="9">
        <f>COUNTIF(D1753,"*_MAN_*")</f>
        <v>0</v>
      </c>
      <c r="U1753" s="9">
        <f>(RIGHT(D1753,4))*1</f>
        <v>90</v>
      </c>
      <c r="V1753" s="9" t="str">
        <f>IFERROR(VLOOKUP(I1753,#REF!,2,0),"Sinalização")</f>
        <v>Sinalização</v>
      </c>
    </row>
    <row r="1754" spans="1:22" x14ac:dyDescent="0.25">
      <c r="A1754" s="3" t="s">
        <v>22</v>
      </c>
      <c r="B1754" s="4">
        <v>23302448</v>
      </c>
      <c r="C1754" s="5" t="s">
        <v>23</v>
      </c>
      <c r="D1754" s="6" t="s">
        <v>608</v>
      </c>
      <c r="E1754" s="6" t="s">
        <v>25</v>
      </c>
      <c r="F1754" s="11">
        <v>46146</v>
      </c>
      <c r="G1754" s="6" t="s">
        <v>1079</v>
      </c>
      <c r="H1754" s="7"/>
      <c r="I1754" s="7" t="s">
        <v>609</v>
      </c>
      <c r="J1754" s="7" t="s">
        <v>610</v>
      </c>
      <c r="K1754" s="7" t="s">
        <v>29</v>
      </c>
      <c r="L1754" s="3" t="str">
        <f>E1754&amp;D1754</f>
        <v>E.SP.IPAEE_MAN_CONF_C_I_TRAVADOR ELÉTRICO_0090</v>
      </c>
      <c r="M1754" s="3" t="str">
        <f>IFERROR(MID(D1754,SEARCH("S_I_",D1754,1),3),"")</f>
        <v/>
      </c>
      <c r="N1754" s="3" t="str">
        <f>IFERROR(MID(D1754,SEARCH("C_I_",D1754,1),3),"")</f>
        <v>C_I</v>
      </c>
      <c r="O1754" s="3" t="str">
        <f>IF(AND(M1754="",N1754=""),"Extra","")</f>
        <v/>
      </c>
      <c r="P1754" s="3" t="str">
        <f>IF(Q1754=0,"TERCEIRO","MRS")</f>
        <v>MRS</v>
      </c>
      <c r="Q1754" s="8" t="str">
        <f>IFERROR(VLOOKUP(L1754,#REF!,4,0),"0,00")</f>
        <v>0,00</v>
      </c>
      <c r="R1754" s="9" t="s">
        <v>57</v>
      </c>
      <c r="S1754" s="9">
        <f>COUNTIF(D1754,"*_SEG_*")</f>
        <v>0</v>
      </c>
      <c r="T1754" s="9">
        <f>COUNTIF(D1754,"*_MAN_*")</f>
        <v>1</v>
      </c>
      <c r="U1754" s="9">
        <f>(RIGHT(D1754,4))*1</f>
        <v>90</v>
      </c>
      <c r="V1754" s="9" t="str">
        <f>IFERROR(VLOOKUP(I1754,#REF!,2,0),"Sinalização")</f>
        <v>Sinalização</v>
      </c>
    </row>
    <row r="1755" spans="1:22" x14ac:dyDescent="0.25">
      <c r="A1755" s="3" t="s">
        <v>22</v>
      </c>
      <c r="B1755" s="4">
        <v>23302591</v>
      </c>
      <c r="C1755" s="5" t="s">
        <v>23</v>
      </c>
      <c r="D1755" s="6" t="s">
        <v>611</v>
      </c>
      <c r="E1755" s="6" t="s">
        <v>25</v>
      </c>
      <c r="F1755" s="11">
        <v>46146</v>
      </c>
      <c r="G1755" s="6" t="s">
        <v>1079</v>
      </c>
      <c r="H1755" s="7"/>
      <c r="I1755" s="7" t="s">
        <v>612</v>
      </c>
      <c r="J1755" s="7" t="s">
        <v>613</v>
      </c>
      <c r="K1755" s="7" t="s">
        <v>29</v>
      </c>
      <c r="L1755" s="3" t="str">
        <f>E1755&amp;D1755</f>
        <v>E.SP.IPAEE_MAN_CONF_S_I_CAIXA DE LOCAÇÃO_0090</v>
      </c>
      <c r="M1755" s="3" t="str">
        <f>IFERROR(MID(D1755,SEARCH("S_I_",D1755,1),3),"")</f>
        <v>S_I</v>
      </c>
      <c r="N1755" s="3" t="str">
        <f>IFERROR(MID(D1755,SEARCH("C_I_",D1755,1),3),"")</f>
        <v/>
      </c>
      <c r="O1755" s="3" t="str">
        <f>IF(AND(M1755="",N1755=""),"Extra","")</f>
        <v/>
      </c>
      <c r="P1755" s="3" t="str">
        <f>IF(Q1755=0,"TERCEIRO","MRS")</f>
        <v>MRS</v>
      </c>
      <c r="Q1755" s="8" t="str">
        <f>IFERROR(VLOOKUP(L1755,#REF!,4,0),"0,00")</f>
        <v>0,00</v>
      </c>
      <c r="R1755" s="9" t="s">
        <v>57</v>
      </c>
      <c r="S1755" s="9">
        <f>COUNTIF(D1755,"*_SEG_*")</f>
        <v>0</v>
      </c>
      <c r="T1755" s="9">
        <f>COUNTIF(D1755,"*_MAN_*")</f>
        <v>1</v>
      </c>
      <c r="U1755" s="9">
        <f>(RIGHT(D1755,4))*1</f>
        <v>90</v>
      </c>
      <c r="V1755" s="9" t="str">
        <f>IFERROR(VLOOKUP(I1755,#REF!,2,0),"Sinalização")</f>
        <v>Sinalização</v>
      </c>
    </row>
    <row r="1756" spans="1:22" x14ac:dyDescent="0.25">
      <c r="A1756" s="3" t="s">
        <v>22</v>
      </c>
      <c r="B1756" s="4">
        <v>23302593</v>
      </c>
      <c r="C1756" s="5" t="s">
        <v>23</v>
      </c>
      <c r="D1756" s="6" t="s">
        <v>611</v>
      </c>
      <c r="E1756" s="6" t="s">
        <v>25</v>
      </c>
      <c r="F1756" s="11">
        <v>46146</v>
      </c>
      <c r="G1756" s="6" t="s">
        <v>1079</v>
      </c>
      <c r="H1756" s="7"/>
      <c r="I1756" s="7" t="s">
        <v>614</v>
      </c>
      <c r="J1756" s="7" t="s">
        <v>613</v>
      </c>
      <c r="K1756" s="7" t="s">
        <v>29</v>
      </c>
      <c r="L1756" s="3" t="str">
        <f>E1756&amp;D1756</f>
        <v>E.SP.IPAEE_MAN_CONF_S_I_CAIXA DE LOCAÇÃO_0090</v>
      </c>
      <c r="M1756" s="3" t="str">
        <f>IFERROR(MID(D1756,SEARCH("S_I_",D1756,1),3),"")</f>
        <v>S_I</v>
      </c>
      <c r="N1756" s="3" t="str">
        <f>IFERROR(MID(D1756,SEARCH("C_I_",D1756,1),3),"")</f>
        <v/>
      </c>
      <c r="O1756" s="3" t="str">
        <f>IF(AND(M1756="",N1756=""),"Extra","")</f>
        <v/>
      </c>
      <c r="P1756" s="3" t="str">
        <f>IF(Q1756=0,"TERCEIRO","MRS")</f>
        <v>MRS</v>
      </c>
      <c r="Q1756" s="8" t="str">
        <f>IFERROR(VLOOKUP(L1756,#REF!,4,0),"0,00")</f>
        <v>0,00</v>
      </c>
      <c r="R1756" s="9" t="s">
        <v>57</v>
      </c>
      <c r="S1756" s="9">
        <f>COUNTIF(D1756,"*_SEG_*")</f>
        <v>0</v>
      </c>
      <c r="T1756" s="9">
        <f>COUNTIF(D1756,"*_MAN_*")</f>
        <v>1</v>
      </c>
      <c r="U1756" s="9">
        <f>(RIGHT(D1756,4))*1</f>
        <v>90</v>
      </c>
      <c r="V1756" s="9" t="str">
        <f>IFERROR(VLOOKUP(I1756,#REF!,2,0),"Sinalização")</f>
        <v>Sinalização</v>
      </c>
    </row>
    <row r="1757" spans="1:22" x14ac:dyDescent="0.25">
      <c r="A1757" s="3" t="s">
        <v>22</v>
      </c>
      <c r="B1757" s="4">
        <v>23302594</v>
      </c>
      <c r="C1757" s="5" t="s">
        <v>23</v>
      </c>
      <c r="D1757" s="6" t="s">
        <v>611</v>
      </c>
      <c r="E1757" s="6" t="s">
        <v>25</v>
      </c>
      <c r="F1757" s="11">
        <v>46146</v>
      </c>
      <c r="G1757" s="6" t="s">
        <v>1079</v>
      </c>
      <c r="H1757" s="7"/>
      <c r="I1757" s="7" t="s">
        <v>615</v>
      </c>
      <c r="J1757" s="7" t="s">
        <v>613</v>
      </c>
      <c r="K1757" s="7" t="s">
        <v>29</v>
      </c>
      <c r="L1757" s="3" t="str">
        <f>E1757&amp;D1757</f>
        <v>E.SP.IPAEE_MAN_CONF_S_I_CAIXA DE LOCAÇÃO_0090</v>
      </c>
      <c r="M1757" s="3" t="str">
        <f>IFERROR(MID(D1757,SEARCH("S_I_",D1757,1),3),"")</f>
        <v>S_I</v>
      </c>
      <c r="N1757" s="3" t="str">
        <f>IFERROR(MID(D1757,SEARCH("C_I_",D1757,1),3),"")</f>
        <v/>
      </c>
      <c r="O1757" s="3" t="str">
        <f>IF(AND(M1757="",N1757=""),"Extra","")</f>
        <v/>
      </c>
      <c r="P1757" s="3" t="str">
        <f>IF(Q1757=0,"TERCEIRO","MRS")</f>
        <v>MRS</v>
      </c>
      <c r="Q1757" s="8" t="str">
        <f>IFERROR(VLOOKUP(L1757,#REF!,4,0),"0,00")</f>
        <v>0,00</v>
      </c>
      <c r="R1757" s="9" t="s">
        <v>57</v>
      </c>
      <c r="S1757" s="9">
        <f>COUNTIF(D1757,"*_SEG_*")</f>
        <v>0</v>
      </c>
      <c r="T1757" s="9">
        <f>COUNTIF(D1757,"*_MAN_*")</f>
        <v>1</v>
      </c>
      <c r="U1757" s="9">
        <f>(RIGHT(D1757,4))*1</f>
        <v>90</v>
      </c>
      <c r="V1757" s="9" t="str">
        <f>IFERROR(VLOOKUP(I1757,#REF!,2,0),"Sinalização")</f>
        <v>Sinalização</v>
      </c>
    </row>
    <row r="1758" spans="1:22" x14ac:dyDescent="0.25">
      <c r="A1758" s="3" t="s">
        <v>22</v>
      </c>
      <c r="B1758" s="4">
        <v>23302595</v>
      </c>
      <c r="C1758" s="5" t="s">
        <v>23</v>
      </c>
      <c r="D1758" s="6" t="s">
        <v>611</v>
      </c>
      <c r="E1758" s="6" t="s">
        <v>25</v>
      </c>
      <c r="F1758" s="11">
        <v>46146</v>
      </c>
      <c r="G1758" s="6" t="s">
        <v>1079</v>
      </c>
      <c r="H1758" s="7"/>
      <c r="I1758" s="7" t="s">
        <v>616</v>
      </c>
      <c r="J1758" s="7" t="s">
        <v>613</v>
      </c>
      <c r="K1758" s="7" t="s">
        <v>29</v>
      </c>
      <c r="L1758" s="3" t="str">
        <f>E1758&amp;D1758</f>
        <v>E.SP.IPAEE_MAN_CONF_S_I_CAIXA DE LOCAÇÃO_0090</v>
      </c>
      <c r="M1758" s="3" t="str">
        <f>IFERROR(MID(D1758,SEARCH("S_I_",D1758,1),3),"")</f>
        <v>S_I</v>
      </c>
      <c r="N1758" s="3" t="str">
        <f>IFERROR(MID(D1758,SEARCH("C_I_",D1758,1),3),"")</f>
        <v/>
      </c>
      <c r="O1758" s="3" t="str">
        <f>IF(AND(M1758="",N1758=""),"Extra","")</f>
        <v/>
      </c>
      <c r="P1758" s="3" t="str">
        <f>IF(Q1758=0,"TERCEIRO","MRS")</f>
        <v>MRS</v>
      </c>
      <c r="Q1758" s="8" t="str">
        <f>IFERROR(VLOOKUP(L1758,#REF!,4,0),"0,00")</f>
        <v>0,00</v>
      </c>
      <c r="R1758" s="9" t="s">
        <v>57</v>
      </c>
      <c r="S1758" s="9">
        <f>COUNTIF(D1758,"*_SEG_*")</f>
        <v>0</v>
      </c>
      <c r="T1758" s="9">
        <f>COUNTIF(D1758,"*_MAN_*")</f>
        <v>1</v>
      </c>
      <c r="U1758" s="9">
        <f>(RIGHT(D1758,4))*1</f>
        <v>90</v>
      </c>
      <c r="V1758" s="9" t="str">
        <f>IFERROR(VLOOKUP(I1758,#REF!,2,0),"Sinalização")</f>
        <v>Sinalização</v>
      </c>
    </row>
    <row r="1759" spans="1:22" x14ac:dyDescent="0.25">
      <c r="A1759" s="3" t="s">
        <v>22</v>
      </c>
      <c r="B1759" s="4">
        <v>23302596</v>
      </c>
      <c r="C1759" s="5" t="s">
        <v>23</v>
      </c>
      <c r="D1759" s="6" t="s">
        <v>611</v>
      </c>
      <c r="E1759" s="6" t="s">
        <v>25</v>
      </c>
      <c r="F1759" s="11">
        <v>46146</v>
      </c>
      <c r="G1759" s="6" t="s">
        <v>1079</v>
      </c>
      <c r="H1759" s="7"/>
      <c r="I1759" s="7" t="s">
        <v>617</v>
      </c>
      <c r="J1759" s="7" t="s">
        <v>613</v>
      </c>
      <c r="K1759" s="7" t="s">
        <v>29</v>
      </c>
      <c r="L1759" s="3" t="str">
        <f>E1759&amp;D1759</f>
        <v>E.SP.IPAEE_MAN_CONF_S_I_CAIXA DE LOCAÇÃO_0090</v>
      </c>
      <c r="M1759" s="3" t="str">
        <f>IFERROR(MID(D1759,SEARCH("S_I_",D1759,1),3),"")</f>
        <v>S_I</v>
      </c>
      <c r="N1759" s="3" t="str">
        <f>IFERROR(MID(D1759,SEARCH("C_I_",D1759,1),3),"")</f>
        <v/>
      </c>
      <c r="O1759" s="3" t="str">
        <f>IF(AND(M1759="",N1759=""),"Extra","")</f>
        <v/>
      </c>
      <c r="P1759" s="3" t="str">
        <f>IF(Q1759=0,"TERCEIRO","MRS")</f>
        <v>MRS</v>
      </c>
      <c r="Q1759" s="8" t="str">
        <f>IFERROR(VLOOKUP(L1759,#REF!,4,0),"0,00")</f>
        <v>0,00</v>
      </c>
      <c r="R1759" s="9" t="s">
        <v>57</v>
      </c>
      <c r="S1759" s="9">
        <f>COUNTIF(D1759,"*_SEG_*")</f>
        <v>0</v>
      </c>
      <c r="T1759" s="9">
        <f>COUNTIF(D1759,"*_MAN_*")</f>
        <v>1</v>
      </c>
      <c r="U1759" s="9">
        <f>(RIGHT(D1759,4))*1</f>
        <v>90</v>
      </c>
      <c r="V1759" s="9" t="str">
        <f>IFERROR(VLOOKUP(I1759,#REF!,2,0),"Sinalização")</f>
        <v>Sinalização</v>
      </c>
    </row>
    <row r="1760" spans="1:22" x14ac:dyDescent="0.25">
      <c r="A1760" s="3" t="s">
        <v>22</v>
      </c>
      <c r="B1760" s="4">
        <v>23302597</v>
      </c>
      <c r="C1760" s="5" t="s">
        <v>23</v>
      </c>
      <c r="D1760" s="6" t="s">
        <v>611</v>
      </c>
      <c r="E1760" s="6" t="s">
        <v>25</v>
      </c>
      <c r="F1760" s="11">
        <v>46146</v>
      </c>
      <c r="G1760" s="6" t="s">
        <v>1079</v>
      </c>
      <c r="H1760" s="7"/>
      <c r="I1760" s="7" t="s">
        <v>618</v>
      </c>
      <c r="J1760" s="7" t="s">
        <v>613</v>
      </c>
      <c r="K1760" s="7" t="s">
        <v>29</v>
      </c>
      <c r="L1760" s="3" t="str">
        <f>E1760&amp;D1760</f>
        <v>E.SP.IPAEE_MAN_CONF_S_I_CAIXA DE LOCAÇÃO_0090</v>
      </c>
      <c r="M1760" s="3" t="str">
        <f>IFERROR(MID(D1760,SEARCH("S_I_",D1760,1),3),"")</f>
        <v>S_I</v>
      </c>
      <c r="N1760" s="3" t="str">
        <f>IFERROR(MID(D1760,SEARCH("C_I_",D1760,1),3),"")</f>
        <v/>
      </c>
      <c r="O1760" s="3" t="str">
        <f>IF(AND(M1760="",N1760=""),"Extra","")</f>
        <v/>
      </c>
      <c r="P1760" s="3" t="str">
        <f>IF(Q1760=0,"TERCEIRO","MRS")</f>
        <v>MRS</v>
      </c>
      <c r="Q1760" s="8" t="str">
        <f>IFERROR(VLOOKUP(L1760,#REF!,4,0),"0,00")</f>
        <v>0,00</v>
      </c>
      <c r="R1760" s="9" t="s">
        <v>57</v>
      </c>
      <c r="S1760" s="9">
        <f>COUNTIF(D1760,"*_SEG_*")</f>
        <v>0</v>
      </c>
      <c r="T1760" s="9">
        <f>COUNTIF(D1760,"*_MAN_*")</f>
        <v>1</v>
      </c>
      <c r="U1760" s="9">
        <f>(RIGHT(D1760,4))*1</f>
        <v>90</v>
      </c>
      <c r="V1760" s="9" t="str">
        <f>IFERROR(VLOOKUP(I1760,#REF!,2,0),"Sinalização")</f>
        <v>Sinalização</v>
      </c>
    </row>
    <row r="1761" spans="1:22" x14ac:dyDescent="0.25">
      <c r="A1761" s="3" t="s">
        <v>22</v>
      </c>
      <c r="B1761" s="4">
        <v>23302640</v>
      </c>
      <c r="C1761" s="5" t="s">
        <v>23</v>
      </c>
      <c r="D1761" s="6" t="s">
        <v>611</v>
      </c>
      <c r="E1761" s="6" t="s">
        <v>25</v>
      </c>
      <c r="F1761" s="11">
        <v>46146</v>
      </c>
      <c r="G1761" s="6" t="s">
        <v>1079</v>
      </c>
      <c r="H1761" s="7"/>
      <c r="I1761" s="7" t="s">
        <v>619</v>
      </c>
      <c r="J1761" s="7" t="s">
        <v>613</v>
      </c>
      <c r="K1761" s="7" t="s">
        <v>29</v>
      </c>
      <c r="L1761" s="3" t="str">
        <f>E1761&amp;D1761</f>
        <v>E.SP.IPAEE_MAN_CONF_S_I_CAIXA DE LOCAÇÃO_0090</v>
      </c>
      <c r="M1761" s="3" t="str">
        <f>IFERROR(MID(D1761,SEARCH("S_I_",D1761,1),3),"")</f>
        <v>S_I</v>
      </c>
      <c r="N1761" s="3" t="str">
        <f>IFERROR(MID(D1761,SEARCH("C_I_",D1761,1),3),"")</f>
        <v/>
      </c>
      <c r="O1761" s="3" t="str">
        <f>IF(AND(M1761="",N1761=""),"Extra","")</f>
        <v/>
      </c>
      <c r="P1761" s="3" t="str">
        <f>IF(Q1761=0,"TERCEIRO","MRS")</f>
        <v>MRS</v>
      </c>
      <c r="Q1761" s="8" t="str">
        <f>IFERROR(VLOOKUP(L1761,#REF!,4,0),"0,00")</f>
        <v>0,00</v>
      </c>
      <c r="R1761" s="9" t="s">
        <v>57</v>
      </c>
      <c r="S1761" s="9">
        <f>COUNTIF(D1761,"*_SEG_*")</f>
        <v>0</v>
      </c>
      <c r="T1761" s="9">
        <f>COUNTIF(D1761,"*_MAN_*")</f>
        <v>1</v>
      </c>
      <c r="U1761" s="9">
        <f>(RIGHT(D1761,4))*1</f>
        <v>90</v>
      </c>
      <c r="V1761" s="9" t="str">
        <f>IFERROR(VLOOKUP(I1761,#REF!,2,0),"Sinalização")</f>
        <v>Sinalização</v>
      </c>
    </row>
    <row r="1762" spans="1:22" x14ac:dyDescent="0.25">
      <c r="A1762" s="3" t="s">
        <v>22</v>
      </c>
      <c r="B1762" s="4">
        <v>23302641</v>
      </c>
      <c r="C1762" s="5" t="s">
        <v>23</v>
      </c>
      <c r="D1762" s="6" t="s">
        <v>611</v>
      </c>
      <c r="E1762" s="6" t="s">
        <v>25</v>
      </c>
      <c r="F1762" s="11">
        <v>46146</v>
      </c>
      <c r="G1762" s="6" t="s">
        <v>1079</v>
      </c>
      <c r="H1762" s="7"/>
      <c r="I1762" s="7" t="s">
        <v>620</v>
      </c>
      <c r="J1762" s="7" t="s">
        <v>613</v>
      </c>
      <c r="K1762" s="7" t="s">
        <v>29</v>
      </c>
      <c r="L1762" s="3" t="str">
        <f>E1762&amp;D1762</f>
        <v>E.SP.IPAEE_MAN_CONF_S_I_CAIXA DE LOCAÇÃO_0090</v>
      </c>
      <c r="M1762" s="3" t="str">
        <f>IFERROR(MID(D1762,SEARCH("S_I_",D1762,1),3),"")</f>
        <v>S_I</v>
      </c>
      <c r="N1762" s="3" t="str">
        <f>IFERROR(MID(D1762,SEARCH("C_I_",D1762,1),3),"")</f>
        <v/>
      </c>
      <c r="O1762" s="3" t="str">
        <f>IF(AND(M1762="",N1762=""),"Extra","")</f>
        <v/>
      </c>
      <c r="P1762" s="3" t="str">
        <f>IF(Q1762=0,"TERCEIRO","MRS")</f>
        <v>MRS</v>
      </c>
      <c r="Q1762" s="8" t="str">
        <f>IFERROR(VLOOKUP(L1762,#REF!,4,0),"0,00")</f>
        <v>0,00</v>
      </c>
      <c r="R1762" s="9" t="s">
        <v>57</v>
      </c>
      <c r="S1762" s="9">
        <f>COUNTIF(D1762,"*_SEG_*")</f>
        <v>0</v>
      </c>
      <c r="T1762" s="9">
        <f>COUNTIF(D1762,"*_MAN_*")</f>
        <v>1</v>
      </c>
      <c r="U1762" s="9">
        <f>(RIGHT(D1762,4))*1</f>
        <v>90</v>
      </c>
      <c r="V1762" s="9" t="str">
        <f>IFERROR(VLOOKUP(I1762,#REF!,2,0),"Sinalização")</f>
        <v>Sinalização</v>
      </c>
    </row>
    <row r="1763" spans="1:22" x14ac:dyDescent="0.25">
      <c r="A1763" s="3" t="s">
        <v>22</v>
      </c>
      <c r="B1763" s="4">
        <v>23302642</v>
      </c>
      <c r="C1763" s="5" t="s">
        <v>23</v>
      </c>
      <c r="D1763" s="6" t="s">
        <v>611</v>
      </c>
      <c r="E1763" s="6" t="s">
        <v>25</v>
      </c>
      <c r="F1763" s="11">
        <v>46146</v>
      </c>
      <c r="G1763" s="6" t="s">
        <v>1079</v>
      </c>
      <c r="H1763" s="7"/>
      <c r="I1763" s="7" t="s">
        <v>621</v>
      </c>
      <c r="J1763" s="7" t="s">
        <v>613</v>
      </c>
      <c r="K1763" s="7" t="s">
        <v>29</v>
      </c>
      <c r="L1763" s="3" t="str">
        <f>E1763&amp;D1763</f>
        <v>E.SP.IPAEE_MAN_CONF_S_I_CAIXA DE LOCAÇÃO_0090</v>
      </c>
      <c r="M1763" s="3" t="str">
        <f>IFERROR(MID(D1763,SEARCH("S_I_",D1763,1),3),"")</f>
        <v>S_I</v>
      </c>
      <c r="N1763" s="3" t="str">
        <f>IFERROR(MID(D1763,SEARCH("C_I_",D1763,1),3),"")</f>
        <v/>
      </c>
      <c r="O1763" s="3" t="str">
        <f>IF(AND(M1763="",N1763=""),"Extra","")</f>
        <v/>
      </c>
      <c r="P1763" s="3" t="str">
        <f>IF(Q1763=0,"TERCEIRO","MRS")</f>
        <v>MRS</v>
      </c>
      <c r="Q1763" s="8" t="str">
        <f>IFERROR(VLOOKUP(L1763,#REF!,4,0),"0,00")</f>
        <v>0,00</v>
      </c>
      <c r="R1763" s="9" t="s">
        <v>57</v>
      </c>
      <c r="S1763" s="9">
        <f>COUNTIF(D1763,"*_SEG_*")</f>
        <v>0</v>
      </c>
      <c r="T1763" s="9">
        <f>COUNTIF(D1763,"*_MAN_*")</f>
        <v>1</v>
      </c>
      <c r="U1763" s="9">
        <f>(RIGHT(D1763,4))*1</f>
        <v>90</v>
      </c>
      <c r="V1763" s="9" t="str">
        <f>IFERROR(VLOOKUP(I1763,#REF!,2,0),"Sinalização")</f>
        <v>Sinalização</v>
      </c>
    </row>
    <row r="1764" spans="1:22" x14ac:dyDescent="0.25">
      <c r="A1764" s="3" t="s">
        <v>22</v>
      </c>
      <c r="B1764" s="4">
        <v>23302643</v>
      </c>
      <c r="C1764" s="5" t="s">
        <v>23</v>
      </c>
      <c r="D1764" s="6" t="s">
        <v>611</v>
      </c>
      <c r="E1764" s="6" t="s">
        <v>25</v>
      </c>
      <c r="F1764" s="11">
        <v>46146</v>
      </c>
      <c r="G1764" s="6" t="s">
        <v>1079</v>
      </c>
      <c r="H1764" s="7"/>
      <c r="I1764" s="7" t="s">
        <v>622</v>
      </c>
      <c r="J1764" s="7" t="s">
        <v>613</v>
      </c>
      <c r="K1764" s="7" t="s">
        <v>29</v>
      </c>
      <c r="L1764" s="3" t="str">
        <f>E1764&amp;D1764</f>
        <v>E.SP.IPAEE_MAN_CONF_S_I_CAIXA DE LOCAÇÃO_0090</v>
      </c>
      <c r="M1764" s="3" t="str">
        <f>IFERROR(MID(D1764,SEARCH("S_I_",D1764,1),3),"")</f>
        <v>S_I</v>
      </c>
      <c r="N1764" s="3" t="str">
        <f>IFERROR(MID(D1764,SEARCH("C_I_",D1764,1),3),"")</f>
        <v/>
      </c>
      <c r="O1764" s="3" t="str">
        <f>IF(AND(M1764="",N1764=""),"Extra","")</f>
        <v/>
      </c>
      <c r="P1764" s="3" t="str">
        <f>IF(Q1764=0,"TERCEIRO","MRS")</f>
        <v>MRS</v>
      </c>
      <c r="Q1764" s="8" t="str">
        <f>IFERROR(VLOOKUP(L1764,#REF!,4,0),"0,00")</f>
        <v>0,00</v>
      </c>
      <c r="R1764" s="9" t="s">
        <v>57</v>
      </c>
      <c r="S1764" s="9">
        <f>COUNTIF(D1764,"*_SEG_*")</f>
        <v>0</v>
      </c>
      <c r="T1764" s="9">
        <f>COUNTIF(D1764,"*_MAN_*")</f>
        <v>1</v>
      </c>
      <c r="U1764" s="9">
        <f>(RIGHT(D1764,4))*1</f>
        <v>90</v>
      </c>
      <c r="V1764" s="9" t="str">
        <f>IFERROR(VLOOKUP(I1764,#REF!,2,0),"Sinalização")</f>
        <v>Sinalização</v>
      </c>
    </row>
    <row r="1765" spans="1:22" x14ac:dyDescent="0.25">
      <c r="A1765" s="3" t="s">
        <v>22</v>
      </c>
      <c r="B1765" s="4">
        <v>23302644</v>
      </c>
      <c r="C1765" s="5" t="s">
        <v>23</v>
      </c>
      <c r="D1765" s="6" t="s">
        <v>611</v>
      </c>
      <c r="E1765" s="6" t="s">
        <v>25</v>
      </c>
      <c r="F1765" s="11">
        <v>46146</v>
      </c>
      <c r="G1765" s="6" t="s">
        <v>1079</v>
      </c>
      <c r="H1765" s="7"/>
      <c r="I1765" s="7" t="s">
        <v>623</v>
      </c>
      <c r="J1765" s="7" t="s">
        <v>613</v>
      </c>
      <c r="K1765" s="7" t="s">
        <v>29</v>
      </c>
      <c r="L1765" s="3" t="str">
        <f>E1765&amp;D1765</f>
        <v>E.SP.IPAEE_MAN_CONF_S_I_CAIXA DE LOCAÇÃO_0090</v>
      </c>
      <c r="M1765" s="3" t="str">
        <f>IFERROR(MID(D1765,SEARCH("S_I_",D1765,1),3),"")</f>
        <v>S_I</v>
      </c>
      <c r="N1765" s="3" t="str">
        <f>IFERROR(MID(D1765,SEARCH("C_I_",D1765,1),3),"")</f>
        <v/>
      </c>
      <c r="O1765" s="3" t="str">
        <f>IF(AND(M1765="",N1765=""),"Extra","")</f>
        <v/>
      </c>
      <c r="P1765" s="3" t="str">
        <f>IF(Q1765=0,"TERCEIRO","MRS")</f>
        <v>MRS</v>
      </c>
      <c r="Q1765" s="8" t="str">
        <f>IFERROR(VLOOKUP(L1765,#REF!,4,0),"0,00")</f>
        <v>0,00</v>
      </c>
      <c r="R1765" s="9" t="s">
        <v>57</v>
      </c>
      <c r="S1765" s="9">
        <f>COUNTIF(D1765,"*_SEG_*")</f>
        <v>0</v>
      </c>
      <c r="T1765" s="9">
        <f>COUNTIF(D1765,"*_MAN_*")</f>
        <v>1</v>
      </c>
      <c r="U1765" s="9">
        <f>(RIGHT(D1765,4))*1</f>
        <v>90</v>
      </c>
      <c r="V1765" s="9" t="str">
        <f>IFERROR(VLOOKUP(I1765,#REF!,2,0),"Sinalização")</f>
        <v>Sinalização</v>
      </c>
    </row>
    <row r="1766" spans="1:22" x14ac:dyDescent="0.25">
      <c r="A1766" s="3" t="s">
        <v>22</v>
      </c>
      <c r="B1766" s="4">
        <v>23302645</v>
      </c>
      <c r="C1766" s="5" t="s">
        <v>23</v>
      </c>
      <c r="D1766" s="6" t="s">
        <v>611</v>
      </c>
      <c r="E1766" s="6" t="s">
        <v>25</v>
      </c>
      <c r="F1766" s="11">
        <v>46146</v>
      </c>
      <c r="G1766" s="6" t="s">
        <v>1079</v>
      </c>
      <c r="H1766" s="7"/>
      <c r="I1766" s="7" t="s">
        <v>624</v>
      </c>
      <c r="J1766" s="7" t="s">
        <v>613</v>
      </c>
      <c r="K1766" s="7" t="s">
        <v>29</v>
      </c>
      <c r="L1766" s="3" t="str">
        <f>E1766&amp;D1766</f>
        <v>E.SP.IPAEE_MAN_CONF_S_I_CAIXA DE LOCAÇÃO_0090</v>
      </c>
      <c r="M1766" s="3" t="str">
        <f>IFERROR(MID(D1766,SEARCH("S_I_",D1766,1),3),"")</f>
        <v>S_I</v>
      </c>
      <c r="N1766" s="3" t="str">
        <f>IFERROR(MID(D1766,SEARCH("C_I_",D1766,1),3),"")</f>
        <v/>
      </c>
      <c r="O1766" s="3" t="str">
        <f>IF(AND(M1766="",N1766=""),"Extra","")</f>
        <v/>
      </c>
      <c r="P1766" s="3" t="str">
        <f>IF(Q1766=0,"TERCEIRO","MRS")</f>
        <v>MRS</v>
      </c>
      <c r="Q1766" s="8" t="str">
        <f>IFERROR(VLOOKUP(L1766,#REF!,4,0),"0,00")</f>
        <v>0,00</v>
      </c>
      <c r="R1766" s="9" t="s">
        <v>57</v>
      </c>
      <c r="S1766" s="9">
        <f>COUNTIF(D1766,"*_SEG_*")</f>
        <v>0</v>
      </c>
      <c r="T1766" s="9">
        <f>COUNTIF(D1766,"*_MAN_*")</f>
        <v>1</v>
      </c>
      <c r="U1766" s="9">
        <f>(RIGHT(D1766,4))*1</f>
        <v>90</v>
      </c>
      <c r="V1766" s="9" t="str">
        <f>IFERROR(VLOOKUP(I1766,#REF!,2,0),"Sinalização")</f>
        <v>Sinalização</v>
      </c>
    </row>
    <row r="1767" spans="1:22" x14ac:dyDescent="0.25">
      <c r="A1767" s="3" t="s">
        <v>22</v>
      </c>
      <c r="B1767" s="4">
        <v>23302646</v>
      </c>
      <c r="C1767" s="5" t="s">
        <v>23</v>
      </c>
      <c r="D1767" s="6" t="s">
        <v>611</v>
      </c>
      <c r="E1767" s="6" t="s">
        <v>25</v>
      </c>
      <c r="F1767" s="11">
        <v>46146</v>
      </c>
      <c r="G1767" s="6" t="s">
        <v>1079</v>
      </c>
      <c r="H1767" s="7"/>
      <c r="I1767" s="7" t="s">
        <v>625</v>
      </c>
      <c r="J1767" s="7" t="s">
        <v>613</v>
      </c>
      <c r="K1767" s="7" t="s">
        <v>29</v>
      </c>
      <c r="L1767" s="3" t="str">
        <f>E1767&amp;D1767</f>
        <v>E.SP.IPAEE_MAN_CONF_S_I_CAIXA DE LOCAÇÃO_0090</v>
      </c>
      <c r="M1767" s="3" t="str">
        <f>IFERROR(MID(D1767,SEARCH("S_I_",D1767,1),3),"")</f>
        <v>S_I</v>
      </c>
      <c r="N1767" s="3" t="str">
        <f>IFERROR(MID(D1767,SEARCH("C_I_",D1767,1),3),"")</f>
        <v/>
      </c>
      <c r="O1767" s="3" t="str">
        <f>IF(AND(M1767="",N1767=""),"Extra","")</f>
        <v/>
      </c>
      <c r="P1767" s="3" t="str">
        <f>IF(Q1767=0,"TERCEIRO","MRS")</f>
        <v>MRS</v>
      </c>
      <c r="Q1767" s="8" t="str">
        <f>IFERROR(VLOOKUP(L1767,#REF!,4,0),"0,00")</f>
        <v>0,00</v>
      </c>
      <c r="R1767" s="9" t="s">
        <v>57</v>
      </c>
      <c r="S1767" s="9">
        <f>COUNTIF(D1767,"*_SEG_*")</f>
        <v>0</v>
      </c>
      <c r="T1767" s="9">
        <f>COUNTIF(D1767,"*_MAN_*")</f>
        <v>1</v>
      </c>
      <c r="U1767" s="9">
        <f>(RIGHT(D1767,4))*1</f>
        <v>90</v>
      </c>
      <c r="V1767" s="9" t="str">
        <f>IFERROR(VLOOKUP(I1767,#REF!,2,0),"Sinalização")</f>
        <v>Sinalização</v>
      </c>
    </row>
    <row r="1768" spans="1:22" x14ac:dyDescent="0.25">
      <c r="A1768" s="3" t="s">
        <v>22</v>
      </c>
      <c r="B1768" s="4">
        <v>23302647</v>
      </c>
      <c r="C1768" s="5" t="s">
        <v>23</v>
      </c>
      <c r="D1768" s="6" t="s">
        <v>611</v>
      </c>
      <c r="E1768" s="6" t="s">
        <v>25</v>
      </c>
      <c r="F1768" s="11">
        <v>46146</v>
      </c>
      <c r="G1768" s="6" t="s">
        <v>1079</v>
      </c>
      <c r="H1768" s="7"/>
      <c r="I1768" s="7" t="s">
        <v>626</v>
      </c>
      <c r="J1768" s="7" t="s">
        <v>613</v>
      </c>
      <c r="K1768" s="7" t="s">
        <v>29</v>
      </c>
      <c r="L1768" s="3" t="str">
        <f>E1768&amp;D1768</f>
        <v>E.SP.IPAEE_MAN_CONF_S_I_CAIXA DE LOCAÇÃO_0090</v>
      </c>
      <c r="M1768" s="3" t="str">
        <f>IFERROR(MID(D1768,SEARCH("S_I_",D1768,1),3),"")</f>
        <v>S_I</v>
      </c>
      <c r="N1768" s="3" t="str">
        <f>IFERROR(MID(D1768,SEARCH("C_I_",D1768,1),3),"")</f>
        <v/>
      </c>
      <c r="O1768" s="3" t="str">
        <f>IF(AND(M1768="",N1768=""),"Extra","")</f>
        <v/>
      </c>
      <c r="P1768" s="3" t="str">
        <f>IF(Q1768=0,"TERCEIRO","MRS")</f>
        <v>MRS</v>
      </c>
      <c r="Q1768" s="8" t="str">
        <f>IFERROR(VLOOKUP(L1768,#REF!,4,0),"0,00")</f>
        <v>0,00</v>
      </c>
      <c r="R1768" s="9" t="s">
        <v>57</v>
      </c>
      <c r="S1768" s="9">
        <f>COUNTIF(D1768,"*_SEG_*")</f>
        <v>0</v>
      </c>
      <c r="T1768" s="9">
        <f>COUNTIF(D1768,"*_MAN_*")</f>
        <v>1</v>
      </c>
      <c r="U1768" s="9">
        <f>(RIGHT(D1768,4))*1</f>
        <v>90</v>
      </c>
      <c r="V1768" s="9" t="str">
        <f>IFERROR(VLOOKUP(I1768,#REF!,2,0),"Sinalização")</f>
        <v>Sinalização</v>
      </c>
    </row>
    <row r="1769" spans="1:22" x14ac:dyDescent="0.25">
      <c r="A1769" s="3" t="s">
        <v>22</v>
      </c>
      <c r="B1769" s="4">
        <v>23302648</v>
      </c>
      <c r="C1769" s="5" t="s">
        <v>23</v>
      </c>
      <c r="D1769" s="6" t="s">
        <v>611</v>
      </c>
      <c r="E1769" s="6" t="s">
        <v>25</v>
      </c>
      <c r="F1769" s="11">
        <v>46146</v>
      </c>
      <c r="G1769" s="6" t="s">
        <v>1079</v>
      </c>
      <c r="H1769" s="7"/>
      <c r="I1769" s="7" t="s">
        <v>627</v>
      </c>
      <c r="J1769" s="7" t="s">
        <v>613</v>
      </c>
      <c r="K1769" s="7" t="s">
        <v>29</v>
      </c>
      <c r="L1769" s="3" t="str">
        <f>E1769&amp;D1769</f>
        <v>E.SP.IPAEE_MAN_CONF_S_I_CAIXA DE LOCAÇÃO_0090</v>
      </c>
      <c r="M1769" s="3" t="str">
        <f>IFERROR(MID(D1769,SEARCH("S_I_",D1769,1),3),"")</f>
        <v>S_I</v>
      </c>
      <c r="N1769" s="3" t="str">
        <f>IFERROR(MID(D1769,SEARCH("C_I_",D1769,1),3),"")</f>
        <v/>
      </c>
      <c r="O1769" s="3" t="str">
        <f>IF(AND(M1769="",N1769=""),"Extra","")</f>
        <v/>
      </c>
      <c r="P1769" s="3" t="str">
        <f>IF(Q1769=0,"TERCEIRO","MRS")</f>
        <v>MRS</v>
      </c>
      <c r="Q1769" s="8" t="str">
        <f>IFERROR(VLOOKUP(L1769,#REF!,4,0),"0,00")</f>
        <v>0,00</v>
      </c>
      <c r="R1769" s="9" t="s">
        <v>57</v>
      </c>
      <c r="S1769" s="9">
        <f>COUNTIF(D1769,"*_SEG_*")</f>
        <v>0</v>
      </c>
      <c r="T1769" s="9">
        <f>COUNTIF(D1769,"*_MAN_*")</f>
        <v>1</v>
      </c>
      <c r="U1769" s="9">
        <f>(RIGHT(D1769,4))*1</f>
        <v>90</v>
      </c>
      <c r="V1769" s="9" t="str">
        <f>IFERROR(VLOOKUP(I1769,#REF!,2,0),"Sinalização")</f>
        <v>Sinalização</v>
      </c>
    </row>
    <row r="1770" spans="1:22" x14ac:dyDescent="0.25">
      <c r="A1770" s="3" t="s">
        <v>22</v>
      </c>
      <c r="B1770" s="4">
        <v>23302649</v>
      </c>
      <c r="C1770" s="5" t="s">
        <v>23</v>
      </c>
      <c r="D1770" s="6" t="s">
        <v>611</v>
      </c>
      <c r="E1770" s="6" t="s">
        <v>25</v>
      </c>
      <c r="F1770" s="11">
        <v>46146</v>
      </c>
      <c r="G1770" s="6" t="s">
        <v>1079</v>
      </c>
      <c r="H1770" s="7"/>
      <c r="I1770" s="7" t="s">
        <v>628</v>
      </c>
      <c r="J1770" s="7" t="s">
        <v>613</v>
      </c>
      <c r="K1770" s="7" t="s">
        <v>29</v>
      </c>
      <c r="L1770" s="3" t="str">
        <f>E1770&amp;D1770</f>
        <v>E.SP.IPAEE_MAN_CONF_S_I_CAIXA DE LOCAÇÃO_0090</v>
      </c>
      <c r="M1770" s="3" t="str">
        <f>IFERROR(MID(D1770,SEARCH("S_I_",D1770,1),3),"")</f>
        <v>S_I</v>
      </c>
      <c r="N1770" s="3" t="str">
        <f>IFERROR(MID(D1770,SEARCH("C_I_",D1770,1),3),"")</f>
        <v/>
      </c>
      <c r="O1770" s="3" t="str">
        <f>IF(AND(M1770="",N1770=""),"Extra","")</f>
        <v/>
      </c>
      <c r="P1770" s="3" t="str">
        <f>IF(Q1770=0,"TERCEIRO","MRS")</f>
        <v>MRS</v>
      </c>
      <c r="Q1770" s="8" t="str">
        <f>IFERROR(VLOOKUP(L1770,#REF!,4,0),"0,00")</f>
        <v>0,00</v>
      </c>
      <c r="R1770" s="9" t="s">
        <v>57</v>
      </c>
      <c r="S1770" s="9">
        <f>COUNTIF(D1770,"*_SEG_*")</f>
        <v>0</v>
      </c>
      <c r="T1770" s="9">
        <f>COUNTIF(D1770,"*_MAN_*")</f>
        <v>1</v>
      </c>
      <c r="U1770" s="9">
        <f>(RIGHT(D1770,4))*1</f>
        <v>90</v>
      </c>
      <c r="V1770" s="9" t="str">
        <f>IFERROR(VLOOKUP(I1770,#REF!,2,0),"Sinalização")</f>
        <v>Sinalização</v>
      </c>
    </row>
    <row r="1771" spans="1:22" x14ac:dyDescent="0.25">
      <c r="A1771" s="3" t="s">
        <v>22</v>
      </c>
      <c r="B1771" s="4">
        <v>23302650</v>
      </c>
      <c r="C1771" s="5" t="s">
        <v>23</v>
      </c>
      <c r="D1771" s="6" t="s">
        <v>611</v>
      </c>
      <c r="E1771" s="6" t="s">
        <v>25</v>
      </c>
      <c r="F1771" s="11">
        <v>46146</v>
      </c>
      <c r="G1771" s="6" t="s">
        <v>1079</v>
      </c>
      <c r="H1771" s="7"/>
      <c r="I1771" s="7" t="s">
        <v>629</v>
      </c>
      <c r="J1771" s="7" t="s">
        <v>613</v>
      </c>
      <c r="K1771" s="7" t="s">
        <v>29</v>
      </c>
      <c r="L1771" s="3" t="str">
        <f>E1771&amp;D1771</f>
        <v>E.SP.IPAEE_MAN_CONF_S_I_CAIXA DE LOCAÇÃO_0090</v>
      </c>
      <c r="M1771" s="3" t="str">
        <f>IFERROR(MID(D1771,SEARCH("S_I_",D1771,1),3),"")</f>
        <v>S_I</v>
      </c>
      <c r="N1771" s="3" t="str">
        <f>IFERROR(MID(D1771,SEARCH("C_I_",D1771,1),3),"")</f>
        <v/>
      </c>
      <c r="O1771" s="3" t="str">
        <f>IF(AND(M1771="",N1771=""),"Extra","")</f>
        <v/>
      </c>
      <c r="P1771" s="3" t="str">
        <f>IF(Q1771=0,"TERCEIRO","MRS")</f>
        <v>MRS</v>
      </c>
      <c r="Q1771" s="8" t="str">
        <f>IFERROR(VLOOKUP(L1771,#REF!,4,0),"0,00")</f>
        <v>0,00</v>
      </c>
      <c r="R1771" s="9" t="s">
        <v>57</v>
      </c>
      <c r="S1771" s="9">
        <f>COUNTIF(D1771,"*_SEG_*")</f>
        <v>0</v>
      </c>
      <c r="T1771" s="9">
        <f>COUNTIF(D1771,"*_MAN_*")</f>
        <v>1</v>
      </c>
      <c r="U1771" s="9">
        <f>(RIGHT(D1771,4))*1</f>
        <v>90</v>
      </c>
      <c r="V1771" s="9" t="str">
        <f>IFERROR(VLOOKUP(I1771,#REF!,2,0),"Sinalização")</f>
        <v>Sinalização</v>
      </c>
    </row>
    <row r="1772" spans="1:22" x14ac:dyDescent="0.25">
      <c r="A1772" s="3" t="s">
        <v>22</v>
      </c>
      <c r="B1772" s="4">
        <v>23302651</v>
      </c>
      <c r="C1772" s="5" t="s">
        <v>23</v>
      </c>
      <c r="D1772" s="6" t="s">
        <v>630</v>
      </c>
      <c r="E1772" s="6" t="s">
        <v>25</v>
      </c>
      <c r="F1772" s="11">
        <v>46146</v>
      </c>
      <c r="G1772" s="6" t="s">
        <v>1079</v>
      </c>
      <c r="H1772" s="7"/>
      <c r="I1772" s="7" t="s">
        <v>607</v>
      </c>
      <c r="J1772" s="7" t="s">
        <v>631</v>
      </c>
      <c r="K1772" s="7" t="s">
        <v>29</v>
      </c>
      <c r="L1772" s="3" t="str">
        <f>E1772&amp;D1772</f>
        <v>E.SP.IPAEE_MAN_CONF_C_I_MCH 110V GRS 55BR R_0090</v>
      </c>
      <c r="M1772" s="3" t="str">
        <f>IFERROR(MID(D1772,SEARCH("S_I_",D1772,1),3),"")</f>
        <v/>
      </c>
      <c r="N1772" s="3" t="str">
        <f>IFERROR(MID(D1772,SEARCH("C_I_",D1772,1),3),"")</f>
        <v>C_I</v>
      </c>
      <c r="O1772" s="3" t="str">
        <f>IF(AND(M1772="",N1772=""),"Extra","")</f>
        <v/>
      </c>
      <c r="P1772" s="3" t="str">
        <f>IF(Q1772=0,"TERCEIRO","MRS")</f>
        <v>MRS</v>
      </c>
      <c r="Q1772" s="8" t="str">
        <f>IFERROR(VLOOKUP(L1772,#REF!,4,0),"0,00")</f>
        <v>0,00</v>
      </c>
      <c r="R1772" s="9" t="s">
        <v>42</v>
      </c>
      <c r="S1772" s="9">
        <f>COUNTIF(D1772,"*_SEG_*")</f>
        <v>0</v>
      </c>
      <c r="T1772" s="9">
        <f>COUNTIF(D1772,"*_MAN_*")</f>
        <v>1</v>
      </c>
      <c r="U1772" s="9">
        <f>(RIGHT(D1772,4))*1</f>
        <v>90</v>
      </c>
      <c r="V1772" s="9" t="str">
        <f>IFERROR(VLOOKUP(I1772,#REF!,2,0),"Sinalização")</f>
        <v>Sinalização</v>
      </c>
    </row>
    <row r="1773" spans="1:22" x14ac:dyDescent="0.25">
      <c r="A1773" s="3" t="s">
        <v>22</v>
      </c>
      <c r="B1773" s="4">
        <v>23302652</v>
      </c>
      <c r="C1773" s="5" t="s">
        <v>23</v>
      </c>
      <c r="D1773" s="6" t="s">
        <v>630</v>
      </c>
      <c r="E1773" s="6" t="s">
        <v>25</v>
      </c>
      <c r="F1773" s="11">
        <v>46146</v>
      </c>
      <c r="G1773" s="6" t="s">
        <v>1079</v>
      </c>
      <c r="H1773" s="7"/>
      <c r="I1773" s="7" t="s">
        <v>599</v>
      </c>
      <c r="J1773" s="7" t="s">
        <v>631</v>
      </c>
      <c r="K1773" s="7" t="s">
        <v>29</v>
      </c>
      <c r="L1773" s="3" t="str">
        <f>E1773&amp;D1773</f>
        <v>E.SP.IPAEE_MAN_CONF_C_I_MCH 110V GRS 55BR R_0090</v>
      </c>
      <c r="M1773" s="3" t="str">
        <f>IFERROR(MID(D1773,SEARCH("S_I_",D1773,1),3),"")</f>
        <v/>
      </c>
      <c r="N1773" s="3" t="str">
        <f>IFERROR(MID(D1773,SEARCH("C_I_",D1773,1),3),"")</f>
        <v>C_I</v>
      </c>
      <c r="O1773" s="3" t="str">
        <f>IF(AND(M1773="",N1773=""),"Extra","")</f>
        <v/>
      </c>
      <c r="P1773" s="3" t="str">
        <f>IF(Q1773=0,"TERCEIRO","MRS")</f>
        <v>MRS</v>
      </c>
      <c r="Q1773" s="8" t="str">
        <f>IFERROR(VLOOKUP(L1773,#REF!,4,0),"0,00")</f>
        <v>0,00</v>
      </c>
      <c r="R1773" s="9" t="s">
        <v>42</v>
      </c>
      <c r="S1773" s="9">
        <f>COUNTIF(D1773,"*_SEG_*")</f>
        <v>0</v>
      </c>
      <c r="T1773" s="9">
        <f>COUNTIF(D1773,"*_MAN_*")</f>
        <v>1</v>
      </c>
      <c r="U1773" s="9">
        <f>(RIGHT(D1773,4))*1</f>
        <v>90</v>
      </c>
      <c r="V1773" s="9" t="str">
        <f>IFERROR(VLOOKUP(I1773,#REF!,2,0),"Sinalização")</f>
        <v>Sinalização</v>
      </c>
    </row>
    <row r="1774" spans="1:22" x14ac:dyDescent="0.25">
      <c r="A1774" s="3" t="s">
        <v>22</v>
      </c>
      <c r="B1774" s="4">
        <v>23302653</v>
      </c>
      <c r="C1774" s="5" t="s">
        <v>23</v>
      </c>
      <c r="D1774" s="6" t="s">
        <v>630</v>
      </c>
      <c r="E1774" s="6" t="s">
        <v>25</v>
      </c>
      <c r="F1774" s="11">
        <v>46146</v>
      </c>
      <c r="G1774" s="6" t="s">
        <v>1079</v>
      </c>
      <c r="H1774" s="7"/>
      <c r="I1774" s="7" t="s">
        <v>446</v>
      </c>
      <c r="J1774" s="7" t="s">
        <v>631</v>
      </c>
      <c r="K1774" s="7" t="s">
        <v>29</v>
      </c>
      <c r="L1774" s="3" t="str">
        <f>E1774&amp;D1774</f>
        <v>E.SP.IPAEE_MAN_CONF_C_I_MCH 110V GRS 55BR R_0090</v>
      </c>
      <c r="M1774" s="3" t="str">
        <f>IFERROR(MID(D1774,SEARCH("S_I_",D1774,1),3),"")</f>
        <v/>
      </c>
      <c r="N1774" s="3" t="str">
        <f>IFERROR(MID(D1774,SEARCH("C_I_",D1774,1),3),"")</f>
        <v>C_I</v>
      </c>
      <c r="O1774" s="3" t="str">
        <f>IF(AND(M1774="",N1774=""),"Extra","")</f>
        <v/>
      </c>
      <c r="P1774" s="3" t="str">
        <f>IF(Q1774=0,"TERCEIRO","MRS")</f>
        <v>MRS</v>
      </c>
      <c r="Q1774" s="8" t="str">
        <f>IFERROR(VLOOKUP(L1774,#REF!,4,0),"0,00")</f>
        <v>0,00</v>
      </c>
      <c r="R1774" s="9" t="s">
        <v>42</v>
      </c>
      <c r="S1774" s="9">
        <f>COUNTIF(D1774,"*_SEG_*")</f>
        <v>0</v>
      </c>
      <c r="T1774" s="9">
        <f>COUNTIF(D1774,"*_MAN_*")</f>
        <v>1</v>
      </c>
      <c r="U1774" s="9">
        <f>(RIGHT(D1774,4))*1</f>
        <v>90</v>
      </c>
      <c r="V1774" s="9" t="str">
        <f>IFERROR(VLOOKUP(I1774,#REF!,2,0),"Sinalização")</f>
        <v>Sinalização</v>
      </c>
    </row>
    <row r="1775" spans="1:22" x14ac:dyDescent="0.25">
      <c r="A1775" s="3" t="s">
        <v>22</v>
      </c>
      <c r="B1775" s="4">
        <v>23302655</v>
      </c>
      <c r="C1775" s="5" t="s">
        <v>23</v>
      </c>
      <c r="D1775" s="6" t="s">
        <v>630</v>
      </c>
      <c r="E1775" s="6" t="s">
        <v>25</v>
      </c>
      <c r="F1775" s="11">
        <v>46146</v>
      </c>
      <c r="G1775" s="6" t="s">
        <v>1079</v>
      </c>
      <c r="H1775" s="7"/>
      <c r="I1775" s="7" t="s">
        <v>456</v>
      </c>
      <c r="J1775" s="7" t="s">
        <v>631</v>
      </c>
      <c r="K1775" s="7" t="s">
        <v>29</v>
      </c>
      <c r="L1775" s="3" t="str">
        <f>E1775&amp;D1775</f>
        <v>E.SP.IPAEE_MAN_CONF_C_I_MCH 110V GRS 55BR R_0090</v>
      </c>
      <c r="M1775" s="3" t="str">
        <f>IFERROR(MID(D1775,SEARCH("S_I_",D1775,1),3),"")</f>
        <v/>
      </c>
      <c r="N1775" s="3" t="str">
        <f>IFERROR(MID(D1775,SEARCH("C_I_",D1775,1),3),"")</f>
        <v>C_I</v>
      </c>
      <c r="O1775" s="3" t="str">
        <f>IF(AND(M1775="",N1775=""),"Extra","")</f>
        <v/>
      </c>
      <c r="P1775" s="3" t="str">
        <f>IF(Q1775=0,"TERCEIRO","MRS")</f>
        <v>MRS</v>
      </c>
      <c r="Q1775" s="8" t="str">
        <f>IFERROR(VLOOKUP(L1775,#REF!,4,0),"0,00")</f>
        <v>0,00</v>
      </c>
      <c r="R1775" s="9" t="s">
        <v>42</v>
      </c>
      <c r="S1775" s="9">
        <f>COUNTIF(D1775,"*_SEG_*")</f>
        <v>0</v>
      </c>
      <c r="T1775" s="9">
        <f>COUNTIF(D1775,"*_MAN_*")</f>
        <v>1</v>
      </c>
      <c r="U1775" s="9">
        <f>(RIGHT(D1775,4))*1</f>
        <v>90</v>
      </c>
      <c r="V1775" s="9" t="str">
        <f>IFERROR(VLOOKUP(I1775,#REF!,2,0),"Sinalização")</f>
        <v>Sinalização</v>
      </c>
    </row>
    <row r="1776" spans="1:22" x14ac:dyDescent="0.25">
      <c r="A1776" s="3" t="s">
        <v>22</v>
      </c>
      <c r="B1776" s="4">
        <v>23302678</v>
      </c>
      <c r="C1776" s="5" t="s">
        <v>23</v>
      </c>
      <c r="D1776" s="6" t="s">
        <v>632</v>
      </c>
      <c r="E1776" s="6" t="s">
        <v>25</v>
      </c>
      <c r="F1776" s="11">
        <v>46146</v>
      </c>
      <c r="G1776" s="6" t="s">
        <v>1079</v>
      </c>
      <c r="H1776" s="7"/>
      <c r="I1776" s="7" t="s">
        <v>633</v>
      </c>
      <c r="J1776" s="7" t="s">
        <v>634</v>
      </c>
      <c r="K1776" s="7" t="s">
        <v>29</v>
      </c>
      <c r="L1776" s="3" t="str">
        <f>E1776&amp;D1776</f>
        <v>E.SP.IPAEE_INS_CONF_C_I_MAQ CHAVE M2/M3_0090</v>
      </c>
      <c r="M1776" s="3" t="str">
        <f>IFERROR(MID(D1776,SEARCH("S_I_",D1776,1),3),"")</f>
        <v/>
      </c>
      <c r="N1776" s="3" t="str">
        <f>IFERROR(MID(D1776,SEARCH("C_I_",D1776,1),3),"")</f>
        <v>C_I</v>
      </c>
      <c r="O1776" s="3" t="str">
        <f>IF(AND(M1776="",N1776=""),"Extra","")</f>
        <v/>
      </c>
      <c r="P1776" s="3" t="str">
        <f>IF(Q1776=0,"TERCEIRO","MRS")</f>
        <v>MRS</v>
      </c>
      <c r="Q1776" s="8" t="str">
        <f>IFERROR(VLOOKUP(L1776,#REF!,4,0),"0,00")</f>
        <v>0,00</v>
      </c>
      <c r="R1776" s="9" t="s">
        <v>42</v>
      </c>
      <c r="S1776" s="9">
        <f>COUNTIF(D1776,"*_SEG_*")</f>
        <v>0</v>
      </c>
      <c r="T1776" s="9">
        <f>COUNTIF(D1776,"*_MAN_*")</f>
        <v>0</v>
      </c>
      <c r="U1776" s="9">
        <f>(RIGHT(D1776,4))*1</f>
        <v>90</v>
      </c>
      <c r="V1776" s="9" t="str">
        <f>IFERROR(VLOOKUP(I1776,#REF!,2,0),"Sinalização")</f>
        <v>Sinalização</v>
      </c>
    </row>
    <row r="1777" spans="1:22" x14ac:dyDescent="0.25">
      <c r="A1777" s="3" t="s">
        <v>22</v>
      </c>
      <c r="B1777" s="4">
        <v>23302918</v>
      </c>
      <c r="C1777" s="5" t="s">
        <v>23</v>
      </c>
      <c r="D1777" s="6" t="s">
        <v>635</v>
      </c>
      <c r="E1777" s="6" t="s">
        <v>25</v>
      </c>
      <c r="F1777" s="11">
        <v>46146</v>
      </c>
      <c r="G1777" s="6" t="s">
        <v>1079</v>
      </c>
      <c r="H1777" s="7"/>
      <c r="I1777" s="7" t="s">
        <v>456</v>
      </c>
      <c r="J1777" s="7" t="s">
        <v>636</v>
      </c>
      <c r="K1777" s="7" t="s">
        <v>29</v>
      </c>
      <c r="L1777" s="3" t="str">
        <f>E1777&amp;D1777</f>
        <v>E.SP.IPAEE_INS_SEG_S_I_MCH 110V GRS 55BR R_0090</v>
      </c>
      <c r="M1777" s="3" t="str">
        <f>IFERROR(MID(D1777,SEARCH("S_I_",D1777,1),3),"")</f>
        <v>S_I</v>
      </c>
      <c r="N1777" s="3" t="str">
        <f>IFERROR(MID(D1777,SEARCH("C_I_",D1777,1),3),"")</f>
        <v/>
      </c>
      <c r="O1777" s="3" t="str">
        <f>IF(AND(M1777="",N1777=""),"Extra","")</f>
        <v/>
      </c>
      <c r="P1777" s="3" t="str">
        <f>IF(Q1777=0,"TERCEIRO","MRS")</f>
        <v>MRS</v>
      </c>
      <c r="Q1777" s="8" t="str">
        <f>IFERROR(VLOOKUP(L1777,#REF!,4,0),"0,00")</f>
        <v>0,00</v>
      </c>
      <c r="R1777" s="9" t="s">
        <v>30</v>
      </c>
      <c r="S1777" s="9">
        <f>COUNTIF(D1777,"*_SEG_*")</f>
        <v>1</v>
      </c>
      <c r="T1777" s="9">
        <f>COUNTIF(D1777,"*_MAN_*")</f>
        <v>0</v>
      </c>
      <c r="U1777" s="9">
        <f>(RIGHT(D1777,4))*1</f>
        <v>90</v>
      </c>
      <c r="V1777" s="9" t="str">
        <f>IFERROR(VLOOKUP(I1777,#REF!,2,0),"Sinalização")</f>
        <v>Sinalização</v>
      </c>
    </row>
    <row r="1778" spans="1:22" x14ac:dyDescent="0.25">
      <c r="A1778" s="3" t="s">
        <v>22</v>
      </c>
      <c r="B1778" s="4">
        <v>23302920</v>
      </c>
      <c r="C1778" s="5" t="s">
        <v>23</v>
      </c>
      <c r="D1778" s="6" t="s">
        <v>635</v>
      </c>
      <c r="E1778" s="6" t="s">
        <v>25</v>
      </c>
      <c r="F1778" s="11">
        <v>46146</v>
      </c>
      <c r="G1778" s="6" t="s">
        <v>1079</v>
      </c>
      <c r="H1778" s="7"/>
      <c r="I1778" s="7" t="s">
        <v>599</v>
      </c>
      <c r="J1778" s="7" t="s">
        <v>636</v>
      </c>
      <c r="K1778" s="7" t="s">
        <v>29</v>
      </c>
      <c r="L1778" s="3" t="str">
        <f>E1778&amp;D1778</f>
        <v>E.SP.IPAEE_INS_SEG_S_I_MCH 110V GRS 55BR R_0090</v>
      </c>
      <c r="M1778" s="3" t="str">
        <f>IFERROR(MID(D1778,SEARCH("S_I_",D1778,1),3),"")</f>
        <v>S_I</v>
      </c>
      <c r="N1778" s="3" t="str">
        <f>IFERROR(MID(D1778,SEARCH("C_I_",D1778,1),3),"")</f>
        <v/>
      </c>
      <c r="O1778" s="3" t="str">
        <f>IF(AND(M1778="",N1778=""),"Extra","")</f>
        <v/>
      </c>
      <c r="P1778" s="3" t="str">
        <f>IF(Q1778=0,"TERCEIRO","MRS")</f>
        <v>MRS</v>
      </c>
      <c r="Q1778" s="8" t="str">
        <f>IFERROR(VLOOKUP(L1778,#REF!,4,0),"0,00")</f>
        <v>0,00</v>
      </c>
      <c r="R1778" s="9" t="s">
        <v>30</v>
      </c>
      <c r="S1778" s="9">
        <f>COUNTIF(D1778,"*_SEG_*")</f>
        <v>1</v>
      </c>
      <c r="T1778" s="9">
        <f>COUNTIF(D1778,"*_MAN_*")</f>
        <v>0</v>
      </c>
      <c r="U1778" s="9">
        <f>(RIGHT(D1778,4))*1</f>
        <v>90</v>
      </c>
      <c r="V1778" s="9" t="str">
        <f>IFERROR(VLOOKUP(I1778,#REF!,2,0),"Sinalização")</f>
        <v>Sinalização</v>
      </c>
    </row>
    <row r="1779" spans="1:22" x14ac:dyDescent="0.25">
      <c r="A1779" s="3" t="s">
        <v>22</v>
      </c>
      <c r="B1779" s="4">
        <v>23303197</v>
      </c>
      <c r="C1779" s="5" t="s">
        <v>23</v>
      </c>
      <c r="D1779" s="6" t="s">
        <v>637</v>
      </c>
      <c r="E1779" s="6" t="s">
        <v>25</v>
      </c>
      <c r="F1779" s="11">
        <v>46146</v>
      </c>
      <c r="G1779" s="6" t="s">
        <v>1079</v>
      </c>
      <c r="H1779" s="7"/>
      <c r="I1779" s="7" t="s">
        <v>609</v>
      </c>
      <c r="J1779" s="7" t="s">
        <v>563</v>
      </c>
      <c r="K1779" s="7" t="s">
        <v>29</v>
      </c>
      <c r="L1779" s="3" t="str">
        <f>E1779&amp;D1779</f>
        <v>E.SP.IPAEE_INS_CONF_S_I_TRAVADOR ELÉTRICO_0090</v>
      </c>
      <c r="M1779" s="3" t="str">
        <f>IFERROR(MID(D1779,SEARCH("S_I_",D1779,1),3),"")</f>
        <v>S_I</v>
      </c>
      <c r="N1779" s="3" t="str">
        <f>IFERROR(MID(D1779,SEARCH("C_I_",D1779,1),3),"")</f>
        <v/>
      </c>
      <c r="O1779" s="3" t="str">
        <f>IF(AND(M1779="",N1779=""),"Extra","")</f>
        <v/>
      </c>
      <c r="P1779" s="3" t="str">
        <f>IF(Q1779=0,"TERCEIRO","MRS")</f>
        <v>MRS</v>
      </c>
      <c r="Q1779" s="8" t="str">
        <f>IFERROR(VLOOKUP(L1779,#REF!,4,0),"0,00")</f>
        <v>0,00</v>
      </c>
      <c r="R1779" s="9" t="s">
        <v>42</v>
      </c>
      <c r="S1779" s="9">
        <f>COUNTIF(D1779,"*_SEG_*")</f>
        <v>0</v>
      </c>
      <c r="T1779" s="9">
        <f>COUNTIF(D1779,"*_MAN_*")</f>
        <v>0</v>
      </c>
      <c r="U1779" s="9">
        <f>(RIGHT(D1779,4))*1</f>
        <v>90</v>
      </c>
      <c r="V1779" s="9" t="str">
        <f>IFERROR(VLOOKUP(I1779,#REF!,2,0),"Sinalização")</f>
        <v>Sinalização</v>
      </c>
    </row>
    <row r="1780" spans="1:22" x14ac:dyDescent="0.25">
      <c r="A1780" s="3" t="s">
        <v>22</v>
      </c>
      <c r="B1780" s="4">
        <v>23303198</v>
      </c>
      <c r="C1780" s="5" t="s">
        <v>23</v>
      </c>
      <c r="D1780" s="6" t="s">
        <v>638</v>
      </c>
      <c r="E1780" s="6" t="s">
        <v>25</v>
      </c>
      <c r="F1780" s="11">
        <v>46146</v>
      </c>
      <c r="G1780" s="6" t="s">
        <v>1079</v>
      </c>
      <c r="H1780" s="7"/>
      <c r="I1780" s="7" t="s">
        <v>601</v>
      </c>
      <c r="J1780" s="7" t="s">
        <v>558</v>
      </c>
      <c r="K1780" s="7" t="s">
        <v>29</v>
      </c>
      <c r="L1780" s="3" t="str">
        <f>E1780&amp;D1780</f>
        <v>E.SP.IPAEE_INS_CONF_S_I_CIRCUITO VIA CC_0090</v>
      </c>
      <c r="M1780" s="3" t="str">
        <f>IFERROR(MID(D1780,SEARCH("S_I_",D1780,1),3),"")</f>
        <v>S_I</v>
      </c>
      <c r="N1780" s="3" t="str">
        <f>IFERROR(MID(D1780,SEARCH("C_I_",D1780,1),3),"")</f>
        <v/>
      </c>
      <c r="O1780" s="3" t="str">
        <f>IF(AND(M1780="",N1780=""),"Extra","")</f>
        <v/>
      </c>
      <c r="P1780" s="3" t="str">
        <f>IF(Q1780=0,"TERCEIRO","MRS")</f>
        <v>MRS</v>
      </c>
      <c r="Q1780" s="8" t="str">
        <f>IFERROR(VLOOKUP(L1780,#REF!,4,0),"0,00")</f>
        <v>0,00</v>
      </c>
      <c r="R1780" s="9" t="s">
        <v>57</v>
      </c>
      <c r="S1780" s="9">
        <f>COUNTIF(D1780,"*_SEG_*")</f>
        <v>0</v>
      </c>
      <c r="T1780" s="9">
        <f>COUNTIF(D1780,"*_MAN_*")</f>
        <v>0</v>
      </c>
      <c r="U1780" s="9">
        <f>(RIGHT(D1780,4))*1</f>
        <v>90</v>
      </c>
      <c r="V1780" s="9" t="str">
        <f>IFERROR(VLOOKUP(I1780,#REF!,2,0),"Sinalização")</f>
        <v>Sinalização</v>
      </c>
    </row>
    <row r="1781" spans="1:22" x14ac:dyDescent="0.25">
      <c r="A1781" s="3" t="s">
        <v>22</v>
      </c>
      <c r="B1781" s="4">
        <v>23303200</v>
      </c>
      <c r="C1781" s="5" t="s">
        <v>23</v>
      </c>
      <c r="D1781" s="6" t="s">
        <v>639</v>
      </c>
      <c r="E1781" s="6" t="s">
        <v>25</v>
      </c>
      <c r="F1781" s="11">
        <v>46146</v>
      </c>
      <c r="G1781" s="6" t="s">
        <v>1079</v>
      </c>
      <c r="H1781" s="7"/>
      <c r="I1781" s="7" t="s">
        <v>633</v>
      </c>
      <c r="J1781" s="7" t="s">
        <v>640</v>
      </c>
      <c r="K1781" s="7" t="s">
        <v>29</v>
      </c>
      <c r="L1781" s="3" t="str">
        <f>E1781&amp;D1781</f>
        <v>E.SP.IPAEE_MAN_CONF_C_I_MAQ CHAVE M2/M3_0090</v>
      </c>
      <c r="M1781" s="3" t="str">
        <f>IFERROR(MID(D1781,SEARCH("S_I_",D1781,1),3),"")</f>
        <v/>
      </c>
      <c r="N1781" s="3" t="str">
        <f>IFERROR(MID(D1781,SEARCH("C_I_",D1781,1),3),"")</f>
        <v>C_I</v>
      </c>
      <c r="O1781" s="3" t="str">
        <f>IF(AND(M1781="",N1781=""),"Extra","")</f>
        <v/>
      </c>
      <c r="P1781" s="3" t="str">
        <f>IF(Q1781=0,"TERCEIRO","MRS")</f>
        <v>MRS</v>
      </c>
      <c r="Q1781" s="8" t="str">
        <f>IFERROR(VLOOKUP(L1781,#REF!,4,0),"0,00")</f>
        <v>0,00</v>
      </c>
      <c r="R1781" s="9" t="s">
        <v>42</v>
      </c>
      <c r="S1781" s="9">
        <f>COUNTIF(D1781,"*_SEG_*")</f>
        <v>0</v>
      </c>
      <c r="T1781" s="9">
        <f>COUNTIF(D1781,"*_MAN_*")</f>
        <v>1</v>
      </c>
      <c r="U1781" s="9">
        <f>(RIGHT(D1781,4))*1</f>
        <v>90</v>
      </c>
      <c r="V1781" s="9" t="str">
        <f>IFERROR(VLOOKUP(I1781,#REF!,2,0),"Sinalização")</f>
        <v>Sinalização</v>
      </c>
    </row>
    <row r="1782" spans="1:22" x14ac:dyDescent="0.25">
      <c r="A1782" s="3" t="s">
        <v>22</v>
      </c>
      <c r="B1782" s="4">
        <v>23303207</v>
      </c>
      <c r="C1782" s="5" t="s">
        <v>23</v>
      </c>
      <c r="D1782" s="6" t="s">
        <v>641</v>
      </c>
      <c r="E1782" s="6" t="s">
        <v>25</v>
      </c>
      <c r="F1782" s="11">
        <v>46146</v>
      </c>
      <c r="G1782" s="6" t="s">
        <v>1079</v>
      </c>
      <c r="H1782" s="7"/>
      <c r="I1782" s="7" t="s">
        <v>554</v>
      </c>
      <c r="J1782" s="7" t="s">
        <v>642</v>
      </c>
      <c r="K1782" s="7" t="s">
        <v>29</v>
      </c>
      <c r="L1782" s="3" t="str">
        <f>E1782&amp;D1782</f>
        <v>E.SP.IPAEE_INS_CONF_S_I_MAQ CHAVE MOLA_0090</v>
      </c>
      <c r="M1782" s="3" t="str">
        <f>IFERROR(MID(D1782,SEARCH("S_I_",D1782,1),3),"")</f>
        <v>S_I</v>
      </c>
      <c r="N1782" s="3" t="str">
        <f>IFERROR(MID(D1782,SEARCH("C_I_",D1782,1),3),"")</f>
        <v/>
      </c>
      <c r="O1782" s="3" t="str">
        <f>IF(AND(M1782="",N1782=""),"Extra","")</f>
        <v/>
      </c>
      <c r="P1782" s="3" t="str">
        <f>IF(Q1782=0,"TERCEIRO","MRS")</f>
        <v>MRS</v>
      </c>
      <c r="Q1782" s="8" t="str">
        <f>IFERROR(VLOOKUP(L1782,#REF!,4,0),"0,00")</f>
        <v>0,00</v>
      </c>
      <c r="R1782" s="9" t="s">
        <v>42</v>
      </c>
      <c r="S1782" s="9">
        <f>COUNTIF(D1782,"*_SEG_*")</f>
        <v>0</v>
      </c>
      <c r="T1782" s="9">
        <f>COUNTIF(D1782,"*_MAN_*")</f>
        <v>0</v>
      </c>
      <c r="U1782" s="9">
        <f>(RIGHT(D1782,4))*1</f>
        <v>90</v>
      </c>
      <c r="V1782" s="9" t="str">
        <f>IFERROR(VLOOKUP(I1782,#REF!,2,0),"Sinalização")</f>
        <v>Sinalização</v>
      </c>
    </row>
    <row r="1783" spans="1:22" x14ac:dyDescent="0.25">
      <c r="A1783" s="3" t="s">
        <v>22</v>
      </c>
      <c r="B1783" s="4">
        <v>23303284</v>
      </c>
      <c r="C1783" s="5" t="s">
        <v>23</v>
      </c>
      <c r="D1783" s="6" t="s">
        <v>643</v>
      </c>
      <c r="E1783" s="6" t="s">
        <v>25</v>
      </c>
      <c r="F1783" s="11">
        <v>46146</v>
      </c>
      <c r="G1783" s="6" t="s">
        <v>1079</v>
      </c>
      <c r="H1783" s="7"/>
      <c r="I1783" s="7" t="s">
        <v>165</v>
      </c>
      <c r="J1783" s="7" t="s">
        <v>644</v>
      </c>
      <c r="K1783" s="7" t="s">
        <v>29</v>
      </c>
      <c r="L1783" s="3" t="str">
        <f>E1783&amp;D1783</f>
        <v>E.SP.IPAEE_MAN_CONF_S_I_DISJ AT SUBESTACAO_0090</v>
      </c>
      <c r="M1783" s="3" t="str">
        <f>IFERROR(MID(D1783,SEARCH("S_I_",D1783,1),3),"")</f>
        <v>S_I</v>
      </c>
      <c r="N1783" s="3" t="str">
        <f>IFERROR(MID(D1783,SEARCH("C_I_",D1783,1),3),"")</f>
        <v/>
      </c>
      <c r="O1783" s="3" t="str">
        <f>IF(AND(M1783="",N1783=""),"Extra","")</f>
        <v/>
      </c>
      <c r="P1783" s="3" t="str">
        <f>IF(Q1783=0,"TERCEIRO","MRS")</f>
        <v>MRS</v>
      </c>
      <c r="Q1783" s="8" t="str">
        <f>IFERROR(VLOOKUP(L1783,#REF!,4,0),"0,00")</f>
        <v>0,00</v>
      </c>
      <c r="R1783" s="9" t="s">
        <v>42</v>
      </c>
      <c r="S1783" s="9">
        <f>COUNTIF(D1783,"*_SEG_*")</f>
        <v>0</v>
      </c>
      <c r="T1783" s="9">
        <f>COUNTIF(D1783,"*_MAN_*")</f>
        <v>1</v>
      </c>
      <c r="U1783" s="9">
        <f>(RIGHT(D1783,4))*1</f>
        <v>90</v>
      </c>
      <c r="V1783" s="9" t="str">
        <f>IFERROR(VLOOKUP(I1783,#REF!,2,0),"Sinalização")</f>
        <v>Sinalização</v>
      </c>
    </row>
    <row r="1784" spans="1:22" x14ac:dyDescent="0.25">
      <c r="A1784" s="3" t="s">
        <v>22</v>
      </c>
      <c r="B1784" s="4">
        <v>23303285</v>
      </c>
      <c r="C1784" s="5" t="s">
        <v>23</v>
      </c>
      <c r="D1784" s="6" t="s">
        <v>643</v>
      </c>
      <c r="E1784" s="6" t="s">
        <v>25</v>
      </c>
      <c r="F1784" s="11">
        <v>46146</v>
      </c>
      <c r="G1784" s="6" t="s">
        <v>1079</v>
      </c>
      <c r="H1784" s="7"/>
      <c r="I1784" s="7" t="s">
        <v>538</v>
      </c>
      <c r="J1784" s="7" t="s">
        <v>644</v>
      </c>
      <c r="K1784" s="7" t="s">
        <v>29</v>
      </c>
      <c r="L1784" s="3" t="str">
        <f>E1784&amp;D1784</f>
        <v>E.SP.IPAEE_MAN_CONF_S_I_DISJ AT SUBESTACAO_0090</v>
      </c>
      <c r="M1784" s="3" t="str">
        <f>IFERROR(MID(D1784,SEARCH("S_I_",D1784,1),3),"")</f>
        <v>S_I</v>
      </c>
      <c r="N1784" s="3" t="str">
        <f>IFERROR(MID(D1784,SEARCH("C_I_",D1784,1),3),"")</f>
        <v/>
      </c>
      <c r="O1784" s="3" t="str">
        <f>IF(AND(M1784="",N1784=""),"Extra","")</f>
        <v/>
      </c>
      <c r="P1784" s="3" t="str">
        <f>IF(Q1784=0,"TERCEIRO","MRS")</f>
        <v>MRS</v>
      </c>
      <c r="Q1784" s="8" t="str">
        <f>IFERROR(VLOOKUP(L1784,#REF!,4,0),"0,00")</f>
        <v>0,00</v>
      </c>
      <c r="R1784" s="9" t="s">
        <v>42</v>
      </c>
      <c r="S1784" s="9">
        <f>COUNTIF(D1784,"*_SEG_*")</f>
        <v>0</v>
      </c>
      <c r="T1784" s="9">
        <f>COUNTIF(D1784,"*_MAN_*")</f>
        <v>1</v>
      </c>
      <c r="U1784" s="9">
        <f>(RIGHT(D1784,4))*1</f>
        <v>90</v>
      </c>
      <c r="V1784" s="9" t="str">
        <f>IFERROR(VLOOKUP(I1784,#REF!,2,0),"Sinalização")</f>
        <v>Sinalização</v>
      </c>
    </row>
    <row r="1785" spans="1:22" x14ac:dyDescent="0.25">
      <c r="A1785" s="3" t="s">
        <v>22</v>
      </c>
      <c r="B1785" s="4">
        <v>23303292</v>
      </c>
      <c r="C1785" s="5" t="s">
        <v>23</v>
      </c>
      <c r="D1785" s="6" t="s">
        <v>645</v>
      </c>
      <c r="E1785" s="6" t="s">
        <v>25</v>
      </c>
      <c r="F1785" s="11">
        <v>46146</v>
      </c>
      <c r="G1785" s="6" t="s">
        <v>1079</v>
      </c>
      <c r="H1785" s="7"/>
      <c r="I1785" s="7" t="s">
        <v>526</v>
      </c>
      <c r="J1785" s="7" t="s">
        <v>646</v>
      </c>
      <c r="K1785" s="7" t="s">
        <v>29</v>
      </c>
      <c r="L1785" s="3" t="str">
        <f>E1785&amp;D1785</f>
        <v>E.SP.IPAEE_INS_CONF_S_I_SINAL LUMINOSO PN_0090</v>
      </c>
      <c r="M1785" s="3" t="str">
        <f>IFERROR(MID(D1785,SEARCH("S_I_",D1785,1),3),"")</f>
        <v>S_I</v>
      </c>
      <c r="N1785" s="3" t="str">
        <f>IFERROR(MID(D1785,SEARCH("C_I_",D1785,1),3),"")</f>
        <v/>
      </c>
      <c r="O1785" s="3" t="str">
        <f>IF(AND(M1785="",N1785=""),"Extra","")</f>
        <v/>
      </c>
      <c r="P1785" s="3" t="str">
        <f>IF(Q1785=0,"TERCEIRO","MRS")</f>
        <v>MRS</v>
      </c>
      <c r="Q1785" s="8" t="str">
        <f>IFERROR(VLOOKUP(L1785,#REF!,4,0),"0,00")</f>
        <v>0,00</v>
      </c>
      <c r="R1785" s="9" t="s">
        <v>57</v>
      </c>
      <c r="S1785" s="9">
        <f>COUNTIF(D1785,"*_SEG_*")</f>
        <v>0</v>
      </c>
      <c r="T1785" s="9">
        <f>COUNTIF(D1785,"*_MAN_*")</f>
        <v>0</v>
      </c>
      <c r="U1785" s="9">
        <f>(RIGHT(D1785,4))*1</f>
        <v>90</v>
      </c>
      <c r="V1785" s="9" t="str">
        <f>IFERROR(VLOOKUP(I1785,#REF!,2,0),"Sinalização")</f>
        <v>Sinalização</v>
      </c>
    </row>
    <row r="1786" spans="1:22" x14ac:dyDescent="0.25">
      <c r="A1786" s="3" t="s">
        <v>22</v>
      </c>
      <c r="B1786" s="4">
        <v>23303293</v>
      </c>
      <c r="C1786" s="5" t="s">
        <v>23</v>
      </c>
      <c r="D1786" s="6" t="s">
        <v>645</v>
      </c>
      <c r="E1786" s="6" t="s">
        <v>25</v>
      </c>
      <c r="F1786" s="11">
        <v>46146</v>
      </c>
      <c r="G1786" s="6" t="s">
        <v>1079</v>
      </c>
      <c r="H1786" s="7"/>
      <c r="I1786" s="7" t="s">
        <v>524</v>
      </c>
      <c r="J1786" s="7" t="s">
        <v>646</v>
      </c>
      <c r="K1786" s="7" t="s">
        <v>29</v>
      </c>
      <c r="L1786" s="3" t="str">
        <f>E1786&amp;D1786</f>
        <v>E.SP.IPAEE_INS_CONF_S_I_SINAL LUMINOSO PN_0090</v>
      </c>
      <c r="M1786" s="3" t="str">
        <f>IFERROR(MID(D1786,SEARCH("S_I_",D1786,1),3),"")</f>
        <v>S_I</v>
      </c>
      <c r="N1786" s="3" t="str">
        <f>IFERROR(MID(D1786,SEARCH("C_I_",D1786,1),3),"")</f>
        <v/>
      </c>
      <c r="O1786" s="3" t="str">
        <f>IF(AND(M1786="",N1786=""),"Extra","")</f>
        <v/>
      </c>
      <c r="P1786" s="3" t="str">
        <f>IF(Q1786=0,"TERCEIRO","MRS")</f>
        <v>MRS</v>
      </c>
      <c r="Q1786" s="8" t="str">
        <f>IFERROR(VLOOKUP(L1786,#REF!,4,0),"0,00")</f>
        <v>0,00</v>
      </c>
      <c r="R1786" s="9" t="s">
        <v>57</v>
      </c>
      <c r="S1786" s="9">
        <f>COUNTIF(D1786,"*_SEG_*")</f>
        <v>0</v>
      </c>
      <c r="T1786" s="9">
        <f>COUNTIF(D1786,"*_MAN_*")</f>
        <v>0</v>
      </c>
      <c r="U1786" s="9">
        <f>(RIGHT(D1786,4))*1</f>
        <v>90</v>
      </c>
      <c r="V1786" s="9" t="str">
        <f>IFERROR(VLOOKUP(I1786,#REF!,2,0),"Sinalização")</f>
        <v>Sinalização</v>
      </c>
    </row>
    <row r="1787" spans="1:22" x14ac:dyDescent="0.25">
      <c r="A1787" s="3" t="s">
        <v>22</v>
      </c>
      <c r="B1787" s="4">
        <v>23303317</v>
      </c>
      <c r="C1787" s="5" t="s">
        <v>23</v>
      </c>
      <c r="D1787" s="6" t="s">
        <v>647</v>
      </c>
      <c r="E1787" s="6" t="s">
        <v>25</v>
      </c>
      <c r="F1787" s="11">
        <v>46146</v>
      </c>
      <c r="G1787" s="6" t="s">
        <v>1079</v>
      </c>
      <c r="H1787" s="7"/>
      <c r="I1787" s="7" t="s">
        <v>648</v>
      </c>
      <c r="J1787" s="7" t="s">
        <v>649</v>
      </c>
      <c r="K1787" s="7" t="s">
        <v>29</v>
      </c>
      <c r="L1787" s="3" t="str">
        <f>E1787&amp;D1787</f>
        <v>E.SP.IPAEE_MAN_CONF_S_I_PARA-RAIO CAP_0090</v>
      </c>
      <c r="M1787" s="3" t="str">
        <f>IFERROR(MID(D1787,SEARCH("S_I_",D1787,1),3),"")</f>
        <v>S_I</v>
      </c>
      <c r="N1787" s="3" t="str">
        <f>IFERROR(MID(D1787,SEARCH("C_I_",D1787,1),3),"")</f>
        <v/>
      </c>
      <c r="O1787" s="3" t="str">
        <f>IF(AND(M1787="",N1787=""),"Extra","")</f>
        <v/>
      </c>
      <c r="P1787" s="3" t="str">
        <f>IF(Q1787=0,"TERCEIRO","MRS")</f>
        <v>MRS</v>
      </c>
      <c r="Q1787" s="8" t="str">
        <f>IFERROR(VLOOKUP(L1787,#REF!,4,0),"0,00")</f>
        <v>0,00</v>
      </c>
      <c r="R1787" s="9" t="s">
        <v>42</v>
      </c>
      <c r="S1787" s="9">
        <f>COUNTIF(D1787,"*_SEG_*")</f>
        <v>0</v>
      </c>
      <c r="T1787" s="9">
        <f>COUNTIF(D1787,"*_MAN_*")</f>
        <v>1</v>
      </c>
      <c r="U1787" s="9">
        <f>(RIGHT(D1787,4))*1</f>
        <v>90</v>
      </c>
      <c r="V1787" s="9" t="str">
        <f>IFERROR(VLOOKUP(I1787,#REF!,2,0),"Sinalização")</f>
        <v>Sinalização</v>
      </c>
    </row>
    <row r="1788" spans="1:22" x14ac:dyDescent="0.25">
      <c r="A1788" s="3" t="s">
        <v>22</v>
      </c>
      <c r="B1788" s="4">
        <v>23303397</v>
      </c>
      <c r="C1788" s="5" t="s">
        <v>23</v>
      </c>
      <c r="D1788" s="6" t="s">
        <v>650</v>
      </c>
      <c r="E1788" s="6" t="s">
        <v>25</v>
      </c>
      <c r="F1788" s="11">
        <v>46146</v>
      </c>
      <c r="G1788" s="6" t="s">
        <v>1079</v>
      </c>
      <c r="H1788" s="7"/>
      <c r="I1788" s="7" t="s">
        <v>546</v>
      </c>
      <c r="J1788" s="7" t="s">
        <v>651</v>
      </c>
      <c r="K1788" s="7" t="s">
        <v>29</v>
      </c>
      <c r="L1788" s="3" t="str">
        <f>E1788&amp;D1788</f>
        <v>E.SP.IPAEE_INS_CONF_S_I_TRAFO LOCAL_0090</v>
      </c>
      <c r="M1788" s="3" t="str">
        <f>IFERROR(MID(D1788,SEARCH("S_I_",D1788,1),3),"")</f>
        <v>S_I</v>
      </c>
      <c r="N1788" s="3" t="str">
        <f>IFERROR(MID(D1788,SEARCH("C_I_",D1788,1),3),"")</f>
        <v/>
      </c>
      <c r="O1788" s="3" t="str">
        <f>IF(AND(M1788="",N1788=""),"Extra","")</f>
        <v/>
      </c>
      <c r="P1788" s="3" t="str">
        <f>IF(Q1788=0,"TERCEIRO","MRS")</f>
        <v>MRS</v>
      </c>
      <c r="Q1788" s="8" t="str">
        <f>IFERROR(VLOOKUP(L1788,#REF!,4,0),"0,00")</f>
        <v>0,00</v>
      </c>
      <c r="R1788" s="9" t="s">
        <v>42</v>
      </c>
      <c r="S1788" s="9">
        <f>COUNTIF(D1788,"*_SEG_*")</f>
        <v>0</v>
      </c>
      <c r="T1788" s="9">
        <f>COUNTIF(D1788,"*_MAN_*")</f>
        <v>0</v>
      </c>
      <c r="U1788" s="9">
        <f>(RIGHT(D1788,4))*1</f>
        <v>90</v>
      </c>
      <c r="V1788" s="9" t="str">
        <f>IFERROR(VLOOKUP(I1788,#REF!,2,0),"Sinalização")</f>
        <v>Sinalização</v>
      </c>
    </row>
    <row r="1789" spans="1:22" x14ac:dyDescent="0.25">
      <c r="A1789" s="3" t="s">
        <v>22</v>
      </c>
      <c r="B1789" s="4">
        <v>23303398</v>
      </c>
      <c r="C1789" s="5" t="s">
        <v>23</v>
      </c>
      <c r="D1789" s="6" t="s">
        <v>650</v>
      </c>
      <c r="E1789" s="6" t="s">
        <v>25</v>
      </c>
      <c r="F1789" s="11">
        <v>46146</v>
      </c>
      <c r="G1789" s="6" t="s">
        <v>1079</v>
      </c>
      <c r="H1789" s="7"/>
      <c r="I1789" s="7" t="s">
        <v>542</v>
      </c>
      <c r="J1789" s="7" t="s">
        <v>651</v>
      </c>
      <c r="K1789" s="7" t="s">
        <v>29</v>
      </c>
      <c r="L1789" s="3" t="str">
        <f>E1789&amp;D1789</f>
        <v>E.SP.IPAEE_INS_CONF_S_I_TRAFO LOCAL_0090</v>
      </c>
      <c r="M1789" s="3" t="str">
        <f>IFERROR(MID(D1789,SEARCH("S_I_",D1789,1),3),"")</f>
        <v>S_I</v>
      </c>
      <c r="N1789" s="3" t="str">
        <f>IFERROR(MID(D1789,SEARCH("C_I_",D1789,1),3),"")</f>
        <v/>
      </c>
      <c r="O1789" s="3" t="str">
        <f>IF(AND(M1789="",N1789=""),"Extra","")</f>
        <v/>
      </c>
      <c r="P1789" s="3" t="str">
        <f>IF(Q1789=0,"TERCEIRO","MRS")</f>
        <v>MRS</v>
      </c>
      <c r="Q1789" s="8" t="str">
        <f>IFERROR(VLOOKUP(L1789,#REF!,4,0),"0,00")</f>
        <v>0,00</v>
      </c>
      <c r="R1789" s="9" t="s">
        <v>42</v>
      </c>
      <c r="S1789" s="9">
        <f>COUNTIF(D1789,"*_SEG_*")</f>
        <v>0</v>
      </c>
      <c r="T1789" s="9">
        <f>COUNTIF(D1789,"*_MAN_*")</f>
        <v>0</v>
      </c>
      <c r="U1789" s="9">
        <f>(RIGHT(D1789,4))*1</f>
        <v>90</v>
      </c>
      <c r="V1789" s="9" t="str">
        <f>IFERROR(VLOOKUP(I1789,#REF!,2,0),"Sinalização")</f>
        <v>Sinalização</v>
      </c>
    </row>
    <row r="1790" spans="1:22" x14ac:dyDescent="0.25">
      <c r="A1790" s="3" t="s">
        <v>22</v>
      </c>
      <c r="B1790" s="4">
        <v>23303399</v>
      </c>
      <c r="C1790" s="5" t="s">
        <v>23</v>
      </c>
      <c r="D1790" s="6" t="s">
        <v>650</v>
      </c>
      <c r="E1790" s="6" t="s">
        <v>25</v>
      </c>
      <c r="F1790" s="11">
        <v>46146</v>
      </c>
      <c r="G1790" s="6" t="s">
        <v>1079</v>
      </c>
      <c r="H1790" s="7"/>
      <c r="I1790" s="7" t="s">
        <v>652</v>
      </c>
      <c r="J1790" s="7" t="s">
        <v>651</v>
      </c>
      <c r="K1790" s="7" t="s">
        <v>29</v>
      </c>
      <c r="L1790" s="3" t="str">
        <f>E1790&amp;D1790</f>
        <v>E.SP.IPAEE_INS_CONF_S_I_TRAFO LOCAL_0090</v>
      </c>
      <c r="M1790" s="3" t="str">
        <f>IFERROR(MID(D1790,SEARCH("S_I_",D1790,1),3),"")</f>
        <v>S_I</v>
      </c>
      <c r="N1790" s="3" t="str">
        <f>IFERROR(MID(D1790,SEARCH("C_I_",D1790,1),3),"")</f>
        <v/>
      </c>
      <c r="O1790" s="3" t="str">
        <f>IF(AND(M1790="",N1790=""),"Extra","")</f>
        <v/>
      </c>
      <c r="P1790" s="3" t="str">
        <f>IF(Q1790=0,"TERCEIRO","MRS")</f>
        <v>MRS</v>
      </c>
      <c r="Q1790" s="8" t="str">
        <f>IFERROR(VLOOKUP(L1790,#REF!,4,0),"0,00")</f>
        <v>0,00</v>
      </c>
      <c r="R1790" s="9" t="s">
        <v>42</v>
      </c>
      <c r="S1790" s="9">
        <f>COUNTIF(D1790,"*_SEG_*")</f>
        <v>0</v>
      </c>
      <c r="T1790" s="9">
        <f>COUNTIF(D1790,"*_MAN_*")</f>
        <v>0</v>
      </c>
      <c r="U1790" s="9">
        <f>(RIGHT(D1790,4))*1</f>
        <v>90</v>
      </c>
      <c r="V1790" s="9" t="str">
        <f>IFERROR(VLOOKUP(I1790,#REF!,2,0),"Sinalização")</f>
        <v>Sinalização</v>
      </c>
    </row>
    <row r="1791" spans="1:22" x14ac:dyDescent="0.25">
      <c r="A1791" s="3" t="s">
        <v>22</v>
      </c>
      <c r="B1791" s="4">
        <v>23303400</v>
      </c>
      <c r="C1791" s="5" t="s">
        <v>23</v>
      </c>
      <c r="D1791" s="6" t="s">
        <v>650</v>
      </c>
      <c r="E1791" s="6" t="s">
        <v>25</v>
      </c>
      <c r="F1791" s="11">
        <v>46146</v>
      </c>
      <c r="G1791" s="6" t="s">
        <v>1079</v>
      </c>
      <c r="H1791" s="7"/>
      <c r="I1791" s="7" t="s">
        <v>653</v>
      </c>
      <c r="J1791" s="7" t="s">
        <v>651</v>
      </c>
      <c r="K1791" s="7" t="s">
        <v>29</v>
      </c>
      <c r="L1791" s="3" t="str">
        <f>E1791&amp;D1791</f>
        <v>E.SP.IPAEE_INS_CONF_S_I_TRAFO LOCAL_0090</v>
      </c>
      <c r="M1791" s="3" t="str">
        <f>IFERROR(MID(D1791,SEARCH("S_I_",D1791,1),3),"")</f>
        <v>S_I</v>
      </c>
      <c r="N1791" s="3" t="str">
        <f>IFERROR(MID(D1791,SEARCH("C_I_",D1791,1),3),"")</f>
        <v/>
      </c>
      <c r="O1791" s="3" t="str">
        <f>IF(AND(M1791="",N1791=""),"Extra","")</f>
        <v/>
      </c>
      <c r="P1791" s="3" t="str">
        <f>IF(Q1791=0,"TERCEIRO","MRS")</f>
        <v>MRS</v>
      </c>
      <c r="Q1791" s="8" t="str">
        <f>IFERROR(VLOOKUP(L1791,#REF!,4,0),"0,00")</f>
        <v>0,00</v>
      </c>
      <c r="R1791" s="9" t="s">
        <v>42</v>
      </c>
      <c r="S1791" s="9">
        <f>COUNTIF(D1791,"*_SEG_*")</f>
        <v>0</v>
      </c>
      <c r="T1791" s="9">
        <f>COUNTIF(D1791,"*_MAN_*")</f>
        <v>0</v>
      </c>
      <c r="U1791" s="9">
        <f>(RIGHT(D1791,4))*1</f>
        <v>90</v>
      </c>
      <c r="V1791" s="9" t="str">
        <f>IFERROR(VLOOKUP(I1791,#REF!,2,0),"Sinalização")</f>
        <v>Sinalização</v>
      </c>
    </row>
    <row r="1792" spans="1:22" x14ac:dyDescent="0.25">
      <c r="A1792" s="3" t="s">
        <v>22</v>
      </c>
      <c r="B1792" s="4">
        <v>23303401</v>
      </c>
      <c r="C1792" s="5" t="s">
        <v>23</v>
      </c>
      <c r="D1792" s="6" t="s">
        <v>650</v>
      </c>
      <c r="E1792" s="6" t="s">
        <v>25</v>
      </c>
      <c r="F1792" s="11">
        <v>46146</v>
      </c>
      <c r="G1792" s="6" t="s">
        <v>1079</v>
      </c>
      <c r="H1792" s="7"/>
      <c r="I1792" s="7" t="s">
        <v>654</v>
      </c>
      <c r="J1792" s="7" t="s">
        <v>651</v>
      </c>
      <c r="K1792" s="7" t="s">
        <v>29</v>
      </c>
      <c r="L1792" s="3" t="str">
        <f>E1792&amp;D1792</f>
        <v>E.SP.IPAEE_INS_CONF_S_I_TRAFO LOCAL_0090</v>
      </c>
      <c r="M1792" s="3" t="str">
        <f>IFERROR(MID(D1792,SEARCH("S_I_",D1792,1),3),"")</f>
        <v>S_I</v>
      </c>
      <c r="N1792" s="3" t="str">
        <f>IFERROR(MID(D1792,SEARCH("C_I_",D1792,1),3),"")</f>
        <v/>
      </c>
      <c r="O1792" s="3" t="str">
        <f>IF(AND(M1792="",N1792=""),"Extra","")</f>
        <v/>
      </c>
      <c r="P1792" s="3" t="str">
        <f>IF(Q1792=0,"TERCEIRO","MRS")</f>
        <v>MRS</v>
      </c>
      <c r="Q1792" s="8" t="str">
        <f>IFERROR(VLOOKUP(L1792,#REF!,4,0),"0,00")</f>
        <v>0,00</v>
      </c>
      <c r="R1792" s="9" t="s">
        <v>42</v>
      </c>
      <c r="S1792" s="9">
        <f>COUNTIF(D1792,"*_SEG_*")</f>
        <v>0</v>
      </c>
      <c r="T1792" s="9">
        <f>COUNTIF(D1792,"*_MAN_*")</f>
        <v>0</v>
      </c>
      <c r="U1792" s="9">
        <f>(RIGHT(D1792,4))*1</f>
        <v>90</v>
      </c>
      <c r="V1792" s="9" t="str">
        <f>IFERROR(VLOOKUP(I1792,#REF!,2,0),"Sinalização")</f>
        <v>Sinalização</v>
      </c>
    </row>
    <row r="1793" spans="1:22" x14ac:dyDescent="0.25">
      <c r="A1793" s="3" t="s">
        <v>22</v>
      </c>
      <c r="B1793" s="4">
        <v>23303402</v>
      </c>
      <c r="C1793" s="5" t="s">
        <v>23</v>
      </c>
      <c r="D1793" s="6" t="s">
        <v>650</v>
      </c>
      <c r="E1793" s="6" t="s">
        <v>25</v>
      </c>
      <c r="F1793" s="11">
        <v>46146</v>
      </c>
      <c r="G1793" s="6" t="s">
        <v>1079</v>
      </c>
      <c r="H1793" s="7"/>
      <c r="I1793" s="7" t="s">
        <v>655</v>
      </c>
      <c r="J1793" s="7" t="s">
        <v>651</v>
      </c>
      <c r="K1793" s="7" t="s">
        <v>29</v>
      </c>
      <c r="L1793" s="3" t="str">
        <f>E1793&amp;D1793</f>
        <v>E.SP.IPAEE_INS_CONF_S_I_TRAFO LOCAL_0090</v>
      </c>
      <c r="M1793" s="3" t="str">
        <f>IFERROR(MID(D1793,SEARCH("S_I_",D1793,1),3),"")</f>
        <v>S_I</v>
      </c>
      <c r="N1793" s="3" t="str">
        <f>IFERROR(MID(D1793,SEARCH("C_I_",D1793,1),3),"")</f>
        <v/>
      </c>
      <c r="O1793" s="3" t="str">
        <f>IF(AND(M1793="",N1793=""),"Extra","")</f>
        <v/>
      </c>
      <c r="P1793" s="3" t="str">
        <f>IF(Q1793=0,"TERCEIRO","MRS")</f>
        <v>MRS</v>
      </c>
      <c r="Q1793" s="8" t="str">
        <f>IFERROR(VLOOKUP(L1793,#REF!,4,0),"0,00")</f>
        <v>0,00</v>
      </c>
      <c r="R1793" s="9" t="s">
        <v>42</v>
      </c>
      <c r="S1793" s="9">
        <f>COUNTIF(D1793,"*_SEG_*")</f>
        <v>0</v>
      </c>
      <c r="T1793" s="9">
        <f>COUNTIF(D1793,"*_MAN_*")</f>
        <v>0</v>
      </c>
      <c r="U1793" s="9">
        <f>(RIGHT(D1793,4))*1</f>
        <v>90</v>
      </c>
      <c r="V1793" s="9" t="str">
        <f>IFERROR(VLOOKUP(I1793,#REF!,2,0),"Sinalização")</f>
        <v>Sinalização</v>
      </c>
    </row>
    <row r="1794" spans="1:22" x14ac:dyDescent="0.25">
      <c r="A1794" s="3" t="s">
        <v>22</v>
      </c>
      <c r="B1794" s="4">
        <v>23303403</v>
      </c>
      <c r="C1794" s="5" t="s">
        <v>23</v>
      </c>
      <c r="D1794" s="6" t="s">
        <v>650</v>
      </c>
      <c r="E1794" s="6" t="s">
        <v>25</v>
      </c>
      <c r="F1794" s="11">
        <v>46146</v>
      </c>
      <c r="G1794" s="6" t="s">
        <v>1079</v>
      </c>
      <c r="H1794" s="7"/>
      <c r="I1794" s="7" t="s">
        <v>548</v>
      </c>
      <c r="J1794" s="7" t="s">
        <v>651</v>
      </c>
      <c r="K1794" s="7" t="s">
        <v>29</v>
      </c>
      <c r="L1794" s="3" t="str">
        <f>E1794&amp;D1794</f>
        <v>E.SP.IPAEE_INS_CONF_S_I_TRAFO LOCAL_0090</v>
      </c>
      <c r="M1794" s="3" t="str">
        <f>IFERROR(MID(D1794,SEARCH("S_I_",D1794,1),3),"")</f>
        <v>S_I</v>
      </c>
      <c r="N1794" s="3" t="str">
        <f>IFERROR(MID(D1794,SEARCH("C_I_",D1794,1),3),"")</f>
        <v/>
      </c>
      <c r="O1794" s="3" t="str">
        <f>IF(AND(M1794="",N1794=""),"Extra","")</f>
        <v/>
      </c>
      <c r="P1794" s="3" t="str">
        <f>IF(Q1794=0,"TERCEIRO","MRS")</f>
        <v>MRS</v>
      </c>
      <c r="Q1794" s="8" t="str">
        <f>IFERROR(VLOOKUP(L1794,#REF!,4,0),"0,00")</f>
        <v>0,00</v>
      </c>
      <c r="R1794" s="9" t="s">
        <v>42</v>
      </c>
      <c r="S1794" s="9">
        <f>COUNTIF(D1794,"*_SEG_*")</f>
        <v>0</v>
      </c>
      <c r="T1794" s="9">
        <f>COUNTIF(D1794,"*_MAN_*")</f>
        <v>0</v>
      </c>
      <c r="U1794" s="9">
        <f>(RIGHT(D1794,4))*1</f>
        <v>90</v>
      </c>
      <c r="V1794" s="9" t="str">
        <f>IFERROR(VLOOKUP(I1794,#REF!,2,0),"Sinalização")</f>
        <v>Sinalização</v>
      </c>
    </row>
    <row r="1795" spans="1:22" x14ac:dyDescent="0.25">
      <c r="A1795" s="3" t="s">
        <v>22</v>
      </c>
      <c r="B1795" s="4">
        <v>23303404</v>
      </c>
      <c r="C1795" s="5" t="s">
        <v>23</v>
      </c>
      <c r="D1795" s="6" t="s">
        <v>650</v>
      </c>
      <c r="E1795" s="6" t="s">
        <v>25</v>
      </c>
      <c r="F1795" s="11">
        <v>46146</v>
      </c>
      <c r="G1795" s="6" t="s">
        <v>1079</v>
      </c>
      <c r="H1795" s="7"/>
      <c r="I1795" s="7" t="s">
        <v>540</v>
      </c>
      <c r="J1795" s="7" t="s">
        <v>651</v>
      </c>
      <c r="K1795" s="7" t="s">
        <v>29</v>
      </c>
      <c r="L1795" s="3" t="str">
        <f>E1795&amp;D1795</f>
        <v>E.SP.IPAEE_INS_CONF_S_I_TRAFO LOCAL_0090</v>
      </c>
      <c r="M1795" s="3" t="str">
        <f>IFERROR(MID(D1795,SEARCH("S_I_",D1795,1),3),"")</f>
        <v>S_I</v>
      </c>
      <c r="N1795" s="3" t="str">
        <f>IFERROR(MID(D1795,SEARCH("C_I_",D1795,1),3),"")</f>
        <v/>
      </c>
      <c r="O1795" s="3" t="str">
        <f>IF(AND(M1795="",N1795=""),"Extra","")</f>
        <v/>
      </c>
      <c r="P1795" s="3" t="str">
        <f>IF(Q1795=0,"TERCEIRO","MRS")</f>
        <v>MRS</v>
      </c>
      <c r="Q1795" s="8" t="str">
        <f>IFERROR(VLOOKUP(L1795,#REF!,4,0),"0,00")</f>
        <v>0,00</v>
      </c>
      <c r="R1795" s="9" t="s">
        <v>42</v>
      </c>
      <c r="S1795" s="9">
        <f>COUNTIF(D1795,"*_SEG_*")</f>
        <v>0</v>
      </c>
      <c r="T1795" s="9">
        <f>COUNTIF(D1795,"*_MAN_*")</f>
        <v>0</v>
      </c>
      <c r="U1795" s="9">
        <f>(RIGHT(D1795,4))*1</f>
        <v>90</v>
      </c>
      <c r="V1795" s="9" t="str">
        <f>IFERROR(VLOOKUP(I1795,#REF!,2,0),"Sinalização")</f>
        <v>Sinalização</v>
      </c>
    </row>
    <row r="1796" spans="1:22" x14ac:dyDescent="0.25">
      <c r="A1796" s="3" t="s">
        <v>22</v>
      </c>
      <c r="B1796" s="4">
        <v>23303405</v>
      </c>
      <c r="C1796" s="5" t="s">
        <v>23</v>
      </c>
      <c r="D1796" s="6" t="s">
        <v>650</v>
      </c>
      <c r="E1796" s="6" t="s">
        <v>25</v>
      </c>
      <c r="F1796" s="11">
        <v>46146</v>
      </c>
      <c r="G1796" s="6" t="s">
        <v>1079</v>
      </c>
      <c r="H1796" s="7"/>
      <c r="I1796" s="7" t="s">
        <v>544</v>
      </c>
      <c r="J1796" s="7" t="s">
        <v>651</v>
      </c>
      <c r="K1796" s="7" t="s">
        <v>29</v>
      </c>
      <c r="L1796" s="3" t="str">
        <f>E1796&amp;D1796</f>
        <v>E.SP.IPAEE_INS_CONF_S_I_TRAFO LOCAL_0090</v>
      </c>
      <c r="M1796" s="3" t="str">
        <f>IFERROR(MID(D1796,SEARCH("S_I_",D1796,1),3),"")</f>
        <v>S_I</v>
      </c>
      <c r="N1796" s="3" t="str">
        <f>IFERROR(MID(D1796,SEARCH("C_I_",D1796,1),3),"")</f>
        <v/>
      </c>
      <c r="O1796" s="3" t="str">
        <f>IF(AND(M1796="",N1796=""),"Extra","")</f>
        <v/>
      </c>
      <c r="P1796" s="3" t="str">
        <f>IF(Q1796=0,"TERCEIRO","MRS")</f>
        <v>MRS</v>
      </c>
      <c r="Q1796" s="8" t="str">
        <f>IFERROR(VLOOKUP(L1796,#REF!,4,0),"0,00")</f>
        <v>0,00</v>
      </c>
      <c r="R1796" s="9" t="s">
        <v>42</v>
      </c>
      <c r="S1796" s="9">
        <f>COUNTIF(D1796,"*_SEG_*")</f>
        <v>0</v>
      </c>
      <c r="T1796" s="9">
        <f>COUNTIF(D1796,"*_MAN_*")</f>
        <v>0</v>
      </c>
      <c r="U1796" s="9">
        <f>(RIGHT(D1796,4))*1</f>
        <v>90</v>
      </c>
      <c r="V1796" s="9" t="str">
        <f>IFERROR(VLOOKUP(I1796,#REF!,2,0),"Sinalização")</f>
        <v>Sinalização</v>
      </c>
    </row>
    <row r="1797" spans="1:22" x14ac:dyDescent="0.25">
      <c r="A1797" s="3" t="s">
        <v>22</v>
      </c>
      <c r="B1797" s="4">
        <v>23303411</v>
      </c>
      <c r="C1797" s="5" t="s">
        <v>23</v>
      </c>
      <c r="D1797" s="6" t="s">
        <v>650</v>
      </c>
      <c r="E1797" s="6" t="s">
        <v>25</v>
      </c>
      <c r="F1797" s="11">
        <v>46146</v>
      </c>
      <c r="G1797" s="6" t="s">
        <v>1079</v>
      </c>
      <c r="H1797" s="7"/>
      <c r="I1797" s="7" t="s">
        <v>543</v>
      </c>
      <c r="J1797" s="7" t="s">
        <v>651</v>
      </c>
      <c r="K1797" s="7" t="s">
        <v>29</v>
      </c>
      <c r="L1797" s="3" t="str">
        <f>E1797&amp;D1797</f>
        <v>E.SP.IPAEE_INS_CONF_S_I_TRAFO LOCAL_0090</v>
      </c>
      <c r="M1797" s="3" t="str">
        <f>IFERROR(MID(D1797,SEARCH("S_I_",D1797,1),3),"")</f>
        <v>S_I</v>
      </c>
      <c r="N1797" s="3" t="str">
        <f>IFERROR(MID(D1797,SEARCH("C_I_",D1797,1),3),"")</f>
        <v/>
      </c>
      <c r="O1797" s="3" t="str">
        <f>IF(AND(M1797="",N1797=""),"Extra","")</f>
        <v/>
      </c>
      <c r="P1797" s="3" t="str">
        <f>IF(Q1797=0,"TERCEIRO","MRS")</f>
        <v>MRS</v>
      </c>
      <c r="Q1797" s="8" t="str">
        <f>IFERROR(VLOOKUP(L1797,#REF!,4,0),"0,00")</f>
        <v>0,00</v>
      </c>
      <c r="R1797" s="9" t="s">
        <v>42</v>
      </c>
      <c r="S1797" s="9">
        <f>COUNTIF(D1797,"*_SEG_*")</f>
        <v>0</v>
      </c>
      <c r="T1797" s="9">
        <f>COUNTIF(D1797,"*_MAN_*")</f>
        <v>0</v>
      </c>
      <c r="U1797" s="9">
        <f>(RIGHT(D1797,4))*1</f>
        <v>90</v>
      </c>
      <c r="V1797" s="9" t="str">
        <f>IFERROR(VLOOKUP(I1797,#REF!,2,0),"Sinalização")</f>
        <v>Sinalização</v>
      </c>
    </row>
    <row r="1798" spans="1:22" x14ac:dyDescent="0.25">
      <c r="A1798" s="3" t="s">
        <v>22</v>
      </c>
      <c r="B1798" s="4">
        <v>23303414</v>
      </c>
      <c r="C1798" s="5" t="s">
        <v>23</v>
      </c>
      <c r="D1798" s="6" t="s">
        <v>656</v>
      </c>
      <c r="E1798" s="6" t="s">
        <v>25</v>
      </c>
      <c r="F1798" s="11">
        <v>46146</v>
      </c>
      <c r="G1798" s="6" t="s">
        <v>1079</v>
      </c>
      <c r="H1798" s="7"/>
      <c r="I1798" s="7" t="s">
        <v>657</v>
      </c>
      <c r="J1798" s="7" t="s">
        <v>525</v>
      </c>
      <c r="K1798" s="7" t="s">
        <v>29</v>
      </c>
      <c r="L1798" s="3" t="str">
        <f>E1798&amp;D1798</f>
        <v>E.SP.IPAEE_MAN_CONF_S_I_SINAL L UNIFO CONT_0090</v>
      </c>
      <c r="M1798" s="3" t="str">
        <f>IFERROR(MID(D1798,SEARCH("S_I_",D1798,1),3),"")</f>
        <v>S_I</v>
      </c>
      <c r="N1798" s="3" t="str">
        <f>IFERROR(MID(D1798,SEARCH("C_I_",D1798,1),3),"")</f>
        <v/>
      </c>
      <c r="O1798" s="3" t="str">
        <f>IF(AND(M1798="",N1798=""),"Extra","")</f>
        <v/>
      </c>
      <c r="P1798" s="3" t="str">
        <f>IF(Q1798=0,"TERCEIRO","MRS")</f>
        <v>MRS</v>
      </c>
      <c r="Q1798" s="8" t="str">
        <f>IFERROR(VLOOKUP(L1798,#REF!,4,0),"0,00")</f>
        <v>0,00</v>
      </c>
      <c r="R1798" s="9" t="s">
        <v>57</v>
      </c>
      <c r="S1798" s="9">
        <f>COUNTIF(D1798,"*_SEG_*")</f>
        <v>0</v>
      </c>
      <c r="T1798" s="9">
        <f>COUNTIF(D1798,"*_MAN_*")</f>
        <v>1</v>
      </c>
      <c r="U1798" s="9">
        <f>(RIGHT(D1798,4))*1</f>
        <v>90</v>
      </c>
      <c r="V1798" s="9" t="str">
        <f>IFERROR(VLOOKUP(I1798,#REF!,2,0),"Sinalização")</f>
        <v>Sinalização</v>
      </c>
    </row>
    <row r="1799" spans="1:22" x14ac:dyDescent="0.25">
      <c r="A1799" s="3" t="s">
        <v>22</v>
      </c>
      <c r="B1799" s="4">
        <v>23303415</v>
      </c>
      <c r="C1799" s="5" t="s">
        <v>23</v>
      </c>
      <c r="D1799" s="6" t="s">
        <v>656</v>
      </c>
      <c r="E1799" s="6" t="s">
        <v>25</v>
      </c>
      <c r="F1799" s="11">
        <v>46146</v>
      </c>
      <c r="G1799" s="6" t="s">
        <v>1079</v>
      </c>
      <c r="H1799" s="7"/>
      <c r="I1799" s="7" t="s">
        <v>658</v>
      </c>
      <c r="J1799" s="7" t="s">
        <v>525</v>
      </c>
      <c r="K1799" s="7" t="s">
        <v>29</v>
      </c>
      <c r="L1799" s="3" t="str">
        <f>E1799&amp;D1799</f>
        <v>E.SP.IPAEE_MAN_CONF_S_I_SINAL L UNIFO CONT_0090</v>
      </c>
      <c r="M1799" s="3" t="str">
        <f>IFERROR(MID(D1799,SEARCH("S_I_",D1799,1),3),"")</f>
        <v>S_I</v>
      </c>
      <c r="N1799" s="3" t="str">
        <f>IFERROR(MID(D1799,SEARCH("C_I_",D1799,1),3),"")</f>
        <v/>
      </c>
      <c r="O1799" s="3" t="str">
        <f>IF(AND(M1799="",N1799=""),"Extra","")</f>
        <v/>
      </c>
      <c r="P1799" s="3" t="str">
        <f>IF(Q1799=0,"TERCEIRO","MRS")</f>
        <v>MRS</v>
      </c>
      <c r="Q1799" s="8" t="str">
        <f>IFERROR(VLOOKUP(L1799,#REF!,4,0),"0,00")</f>
        <v>0,00</v>
      </c>
      <c r="R1799" s="9" t="s">
        <v>57</v>
      </c>
      <c r="S1799" s="9">
        <f>COUNTIF(D1799,"*_SEG_*")</f>
        <v>0</v>
      </c>
      <c r="T1799" s="9">
        <f>COUNTIF(D1799,"*_MAN_*")</f>
        <v>1</v>
      </c>
      <c r="U1799" s="9">
        <f>(RIGHT(D1799,4))*1</f>
        <v>90</v>
      </c>
      <c r="V1799" s="9" t="str">
        <f>IFERROR(VLOOKUP(I1799,#REF!,2,0),"Sinalização")</f>
        <v>Sinalização</v>
      </c>
    </row>
    <row r="1800" spans="1:22" x14ac:dyDescent="0.25">
      <c r="A1800" s="3" t="s">
        <v>22</v>
      </c>
      <c r="B1800" s="4">
        <v>23303416</v>
      </c>
      <c r="C1800" s="5" t="s">
        <v>23</v>
      </c>
      <c r="D1800" s="6" t="s">
        <v>656</v>
      </c>
      <c r="E1800" s="6" t="s">
        <v>25</v>
      </c>
      <c r="F1800" s="11">
        <v>46146</v>
      </c>
      <c r="G1800" s="6" t="s">
        <v>1079</v>
      </c>
      <c r="H1800" s="7"/>
      <c r="I1800" s="7" t="s">
        <v>659</v>
      </c>
      <c r="J1800" s="7" t="s">
        <v>525</v>
      </c>
      <c r="K1800" s="7" t="s">
        <v>29</v>
      </c>
      <c r="L1800" s="3" t="str">
        <f>E1800&amp;D1800</f>
        <v>E.SP.IPAEE_MAN_CONF_S_I_SINAL L UNIFO CONT_0090</v>
      </c>
      <c r="M1800" s="3" t="str">
        <f>IFERROR(MID(D1800,SEARCH("S_I_",D1800,1),3),"")</f>
        <v>S_I</v>
      </c>
      <c r="N1800" s="3" t="str">
        <f>IFERROR(MID(D1800,SEARCH("C_I_",D1800,1),3),"")</f>
        <v/>
      </c>
      <c r="O1800" s="3" t="str">
        <f>IF(AND(M1800="",N1800=""),"Extra","")</f>
        <v/>
      </c>
      <c r="P1800" s="3" t="str">
        <f>IF(Q1800=0,"TERCEIRO","MRS")</f>
        <v>MRS</v>
      </c>
      <c r="Q1800" s="8" t="str">
        <f>IFERROR(VLOOKUP(L1800,#REF!,4,0),"0,00")</f>
        <v>0,00</v>
      </c>
      <c r="R1800" s="9" t="s">
        <v>57</v>
      </c>
      <c r="S1800" s="9">
        <f>COUNTIF(D1800,"*_SEG_*")</f>
        <v>0</v>
      </c>
      <c r="T1800" s="9">
        <f>COUNTIF(D1800,"*_MAN_*")</f>
        <v>1</v>
      </c>
      <c r="U1800" s="9">
        <f>(RIGHT(D1800,4))*1</f>
        <v>90</v>
      </c>
      <c r="V1800" s="9" t="str">
        <f>IFERROR(VLOOKUP(I1800,#REF!,2,0),"Sinalização")</f>
        <v>Sinalização</v>
      </c>
    </row>
    <row r="1801" spans="1:22" x14ac:dyDescent="0.25">
      <c r="A1801" s="3" t="s">
        <v>22</v>
      </c>
      <c r="B1801" s="4">
        <v>23303426</v>
      </c>
      <c r="C1801" s="5" t="s">
        <v>23</v>
      </c>
      <c r="D1801" s="6" t="s">
        <v>656</v>
      </c>
      <c r="E1801" s="6" t="s">
        <v>25</v>
      </c>
      <c r="F1801" s="11">
        <v>46146</v>
      </c>
      <c r="G1801" s="6" t="s">
        <v>1079</v>
      </c>
      <c r="H1801" s="7"/>
      <c r="I1801" s="7" t="s">
        <v>67</v>
      </c>
      <c r="J1801" s="7" t="s">
        <v>525</v>
      </c>
      <c r="K1801" s="7" t="s">
        <v>29</v>
      </c>
      <c r="L1801" s="3" t="str">
        <f>E1801&amp;D1801</f>
        <v>E.SP.IPAEE_MAN_CONF_S_I_SINAL L UNIFO CONT_0090</v>
      </c>
      <c r="M1801" s="3" t="str">
        <f>IFERROR(MID(D1801,SEARCH("S_I_",D1801,1),3),"")</f>
        <v>S_I</v>
      </c>
      <c r="N1801" s="3" t="str">
        <f>IFERROR(MID(D1801,SEARCH("C_I_",D1801,1),3),"")</f>
        <v/>
      </c>
      <c r="O1801" s="3" t="str">
        <f>IF(AND(M1801="",N1801=""),"Extra","")</f>
        <v/>
      </c>
      <c r="P1801" s="3" t="str">
        <f>IF(Q1801=0,"TERCEIRO","MRS")</f>
        <v>MRS</v>
      </c>
      <c r="Q1801" s="8" t="str">
        <f>IFERROR(VLOOKUP(L1801,#REF!,4,0),"0,00")</f>
        <v>0,00</v>
      </c>
      <c r="R1801" s="9" t="s">
        <v>57</v>
      </c>
      <c r="S1801" s="9">
        <f>COUNTIF(D1801,"*_SEG_*")</f>
        <v>0</v>
      </c>
      <c r="T1801" s="9">
        <f>COUNTIF(D1801,"*_MAN_*")</f>
        <v>1</v>
      </c>
      <c r="U1801" s="9">
        <f>(RIGHT(D1801,4))*1</f>
        <v>90</v>
      </c>
      <c r="V1801" s="9" t="str">
        <f>IFERROR(VLOOKUP(I1801,#REF!,2,0),"Sinalização")</f>
        <v>Sinalização</v>
      </c>
    </row>
    <row r="1802" spans="1:22" x14ac:dyDescent="0.25">
      <c r="A1802" s="3" t="s">
        <v>22</v>
      </c>
      <c r="B1802" s="4">
        <v>23303438</v>
      </c>
      <c r="C1802" s="5" t="s">
        <v>23</v>
      </c>
      <c r="D1802" s="6" t="s">
        <v>656</v>
      </c>
      <c r="E1802" s="6" t="s">
        <v>25</v>
      </c>
      <c r="F1802" s="11">
        <v>46146</v>
      </c>
      <c r="G1802" s="6" t="s">
        <v>1079</v>
      </c>
      <c r="H1802" s="7"/>
      <c r="I1802" s="7" t="s">
        <v>660</v>
      </c>
      <c r="J1802" s="7" t="s">
        <v>525</v>
      </c>
      <c r="K1802" s="7" t="s">
        <v>29</v>
      </c>
      <c r="L1802" s="3" t="str">
        <f>E1802&amp;D1802</f>
        <v>E.SP.IPAEE_MAN_CONF_S_I_SINAL L UNIFO CONT_0090</v>
      </c>
      <c r="M1802" s="3" t="str">
        <f>IFERROR(MID(D1802,SEARCH("S_I_",D1802,1),3),"")</f>
        <v>S_I</v>
      </c>
      <c r="N1802" s="3" t="str">
        <f>IFERROR(MID(D1802,SEARCH("C_I_",D1802,1),3),"")</f>
        <v/>
      </c>
      <c r="O1802" s="3" t="str">
        <f>IF(AND(M1802="",N1802=""),"Extra","")</f>
        <v/>
      </c>
      <c r="P1802" s="3" t="str">
        <f>IF(Q1802=0,"TERCEIRO","MRS")</f>
        <v>MRS</v>
      </c>
      <c r="Q1802" s="8" t="str">
        <f>IFERROR(VLOOKUP(L1802,#REF!,4,0),"0,00")</f>
        <v>0,00</v>
      </c>
      <c r="R1802" s="9" t="s">
        <v>57</v>
      </c>
      <c r="S1802" s="9">
        <f>COUNTIF(D1802,"*_SEG_*")</f>
        <v>0</v>
      </c>
      <c r="T1802" s="9">
        <f>COUNTIF(D1802,"*_MAN_*")</f>
        <v>1</v>
      </c>
      <c r="U1802" s="9">
        <f>(RIGHT(D1802,4))*1</f>
        <v>90</v>
      </c>
      <c r="V1802" s="9" t="str">
        <f>IFERROR(VLOOKUP(I1802,#REF!,2,0),"Sinalização")</f>
        <v>Sinalização</v>
      </c>
    </row>
    <row r="1803" spans="1:22" x14ac:dyDescent="0.25">
      <c r="A1803" s="3" t="s">
        <v>22</v>
      </c>
      <c r="B1803" s="4">
        <v>23303467</v>
      </c>
      <c r="C1803" s="5" t="s">
        <v>23</v>
      </c>
      <c r="D1803" s="6" t="s">
        <v>661</v>
      </c>
      <c r="E1803" s="6" t="s">
        <v>25</v>
      </c>
      <c r="F1803" s="11">
        <v>46146</v>
      </c>
      <c r="G1803" s="6" t="s">
        <v>1079</v>
      </c>
      <c r="H1803" s="7"/>
      <c r="I1803" s="7" t="s">
        <v>67</v>
      </c>
      <c r="J1803" s="7" t="s">
        <v>662</v>
      </c>
      <c r="K1803" s="7" t="s">
        <v>29</v>
      </c>
      <c r="L1803" s="3" t="str">
        <f>E1803&amp;D1803</f>
        <v>E.SP.IPAEE_INS_CONF_S_I_SINAL L UNIFO CONT_0090</v>
      </c>
      <c r="M1803" s="3" t="str">
        <f>IFERROR(MID(D1803,SEARCH("S_I_",D1803,1),3),"")</f>
        <v>S_I</v>
      </c>
      <c r="N1803" s="3" t="str">
        <f>IFERROR(MID(D1803,SEARCH("C_I_",D1803,1),3),"")</f>
        <v/>
      </c>
      <c r="O1803" s="3" t="str">
        <f>IF(AND(M1803="",N1803=""),"Extra","")</f>
        <v/>
      </c>
      <c r="P1803" s="3" t="str">
        <f>IF(Q1803=0,"TERCEIRO","MRS")</f>
        <v>MRS</v>
      </c>
      <c r="Q1803" s="8" t="str">
        <f>IFERROR(VLOOKUP(L1803,#REF!,4,0),"0,00")</f>
        <v>0,00</v>
      </c>
      <c r="R1803" s="9" t="s">
        <v>42</v>
      </c>
      <c r="S1803" s="9">
        <f>COUNTIF(D1803,"*_SEG_*")</f>
        <v>0</v>
      </c>
      <c r="T1803" s="9">
        <f>COUNTIF(D1803,"*_MAN_*")</f>
        <v>0</v>
      </c>
      <c r="U1803" s="9">
        <f>(RIGHT(D1803,4))*1</f>
        <v>90</v>
      </c>
      <c r="V1803" s="9" t="str">
        <f>IFERROR(VLOOKUP(I1803,#REF!,2,0),"Sinalização")</f>
        <v>Sinalização</v>
      </c>
    </row>
    <row r="1804" spans="1:22" x14ac:dyDescent="0.25">
      <c r="A1804" s="3" t="s">
        <v>22</v>
      </c>
      <c r="B1804" s="4">
        <v>23303468</v>
      </c>
      <c r="C1804" s="5" t="s">
        <v>23</v>
      </c>
      <c r="D1804" s="6" t="s">
        <v>661</v>
      </c>
      <c r="E1804" s="6" t="s">
        <v>25</v>
      </c>
      <c r="F1804" s="11">
        <v>46146</v>
      </c>
      <c r="G1804" s="6" t="s">
        <v>1079</v>
      </c>
      <c r="H1804" s="7"/>
      <c r="I1804" s="7" t="s">
        <v>657</v>
      </c>
      <c r="J1804" s="7" t="s">
        <v>662</v>
      </c>
      <c r="K1804" s="7" t="s">
        <v>29</v>
      </c>
      <c r="L1804" s="3" t="str">
        <f>E1804&amp;D1804</f>
        <v>E.SP.IPAEE_INS_CONF_S_I_SINAL L UNIFO CONT_0090</v>
      </c>
      <c r="M1804" s="3" t="str">
        <f>IFERROR(MID(D1804,SEARCH("S_I_",D1804,1),3),"")</f>
        <v>S_I</v>
      </c>
      <c r="N1804" s="3" t="str">
        <f>IFERROR(MID(D1804,SEARCH("C_I_",D1804,1),3),"")</f>
        <v/>
      </c>
      <c r="O1804" s="3" t="str">
        <f>IF(AND(M1804="",N1804=""),"Extra","")</f>
        <v/>
      </c>
      <c r="P1804" s="3" t="str">
        <f>IF(Q1804=0,"TERCEIRO","MRS")</f>
        <v>MRS</v>
      </c>
      <c r="Q1804" s="8" t="str">
        <f>IFERROR(VLOOKUP(L1804,#REF!,4,0),"0,00")</f>
        <v>0,00</v>
      </c>
      <c r="R1804" s="9" t="s">
        <v>42</v>
      </c>
      <c r="S1804" s="9">
        <f>COUNTIF(D1804,"*_SEG_*")</f>
        <v>0</v>
      </c>
      <c r="T1804" s="9">
        <f>COUNTIF(D1804,"*_MAN_*")</f>
        <v>0</v>
      </c>
      <c r="U1804" s="9">
        <f>(RIGHT(D1804,4))*1</f>
        <v>90</v>
      </c>
      <c r="V1804" s="9" t="str">
        <f>IFERROR(VLOOKUP(I1804,#REF!,2,0),"Sinalização")</f>
        <v>Sinalização</v>
      </c>
    </row>
    <row r="1805" spans="1:22" x14ac:dyDescent="0.25">
      <c r="A1805" s="3" t="s">
        <v>22</v>
      </c>
      <c r="B1805" s="4">
        <v>23303469</v>
      </c>
      <c r="C1805" s="5" t="s">
        <v>23</v>
      </c>
      <c r="D1805" s="6" t="s">
        <v>661</v>
      </c>
      <c r="E1805" s="6" t="s">
        <v>25</v>
      </c>
      <c r="F1805" s="11">
        <v>46146</v>
      </c>
      <c r="G1805" s="6" t="s">
        <v>1079</v>
      </c>
      <c r="H1805" s="7"/>
      <c r="I1805" s="7" t="s">
        <v>659</v>
      </c>
      <c r="J1805" s="7" t="s">
        <v>662</v>
      </c>
      <c r="K1805" s="7" t="s">
        <v>29</v>
      </c>
      <c r="L1805" s="3" t="str">
        <f>E1805&amp;D1805</f>
        <v>E.SP.IPAEE_INS_CONF_S_I_SINAL L UNIFO CONT_0090</v>
      </c>
      <c r="M1805" s="3" t="str">
        <f>IFERROR(MID(D1805,SEARCH("S_I_",D1805,1),3),"")</f>
        <v>S_I</v>
      </c>
      <c r="N1805" s="3" t="str">
        <f>IFERROR(MID(D1805,SEARCH("C_I_",D1805,1),3),"")</f>
        <v/>
      </c>
      <c r="O1805" s="3" t="str">
        <f>IF(AND(M1805="",N1805=""),"Extra","")</f>
        <v/>
      </c>
      <c r="P1805" s="3" t="str">
        <f>IF(Q1805=0,"TERCEIRO","MRS")</f>
        <v>MRS</v>
      </c>
      <c r="Q1805" s="8" t="str">
        <f>IFERROR(VLOOKUP(L1805,#REF!,4,0),"0,00")</f>
        <v>0,00</v>
      </c>
      <c r="R1805" s="9" t="s">
        <v>42</v>
      </c>
      <c r="S1805" s="9">
        <f>COUNTIF(D1805,"*_SEG_*")</f>
        <v>0</v>
      </c>
      <c r="T1805" s="9">
        <f>COUNTIF(D1805,"*_MAN_*")</f>
        <v>0</v>
      </c>
      <c r="U1805" s="9">
        <f>(RIGHT(D1805,4))*1</f>
        <v>90</v>
      </c>
      <c r="V1805" s="9" t="str">
        <f>IFERROR(VLOOKUP(I1805,#REF!,2,0),"Sinalização")</f>
        <v>Sinalização</v>
      </c>
    </row>
    <row r="1806" spans="1:22" x14ac:dyDescent="0.25">
      <c r="A1806" s="3" t="s">
        <v>22</v>
      </c>
      <c r="B1806" s="4">
        <v>23303470</v>
      </c>
      <c r="C1806" s="5" t="s">
        <v>23</v>
      </c>
      <c r="D1806" s="6" t="s">
        <v>661</v>
      </c>
      <c r="E1806" s="6" t="s">
        <v>25</v>
      </c>
      <c r="F1806" s="11">
        <v>46146</v>
      </c>
      <c r="G1806" s="6" t="s">
        <v>1079</v>
      </c>
      <c r="H1806" s="7"/>
      <c r="I1806" s="7" t="s">
        <v>658</v>
      </c>
      <c r="J1806" s="7" t="s">
        <v>662</v>
      </c>
      <c r="K1806" s="7" t="s">
        <v>29</v>
      </c>
      <c r="L1806" s="3" t="str">
        <f>E1806&amp;D1806</f>
        <v>E.SP.IPAEE_INS_CONF_S_I_SINAL L UNIFO CONT_0090</v>
      </c>
      <c r="M1806" s="3" t="str">
        <f>IFERROR(MID(D1806,SEARCH("S_I_",D1806,1),3),"")</f>
        <v>S_I</v>
      </c>
      <c r="N1806" s="3" t="str">
        <f>IFERROR(MID(D1806,SEARCH("C_I_",D1806,1),3),"")</f>
        <v/>
      </c>
      <c r="O1806" s="3" t="str">
        <f>IF(AND(M1806="",N1806=""),"Extra","")</f>
        <v/>
      </c>
      <c r="P1806" s="3" t="str">
        <f>IF(Q1806=0,"TERCEIRO","MRS")</f>
        <v>MRS</v>
      </c>
      <c r="Q1806" s="8" t="str">
        <f>IFERROR(VLOOKUP(L1806,#REF!,4,0),"0,00")</f>
        <v>0,00</v>
      </c>
      <c r="R1806" s="9" t="s">
        <v>42</v>
      </c>
      <c r="S1806" s="9">
        <f>COUNTIF(D1806,"*_SEG_*")</f>
        <v>0</v>
      </c>
      <c r="T1806" s="9">
        <f>COUNTIF(D1806,"*_MAN_*")</f>
        <v>0</v>
      </c>
      <c r="U1806" s="9">
        <f>(RIGHT(D1806,4))*1</f>
        <v>90</v>
      </c>
      <c r="V1806" s="9" t="str">
        <f>IFERROR(VLOOKUP(I1806,#REF!,2,0),"Sinalização")</f>
        <v>Sinalização</v>
      </c>
    </row>
    <row r="1807" spans="1:22" x14ac:dyDescent="0.25">
      <c r="A1807" s="3" t="s">
        <v>22</v>
      </c>
      <c r="B1807" s="4">
        <v>23303471</v>
      </c>
      <c r="C1807" s="5" t="s">
        <v>23</v>
      </c>
      <c r="D1807" s="6" t="s">
        <v>663</v>
      </c>
      <c r="E1807" s="6" t="s">
        <v>25</v>
      </c>
      <c r="F1807" s="11">
        <v>46146</v>
      </c>
      <c r="G1807" s="6" t="s">
        <v>1079</v>
      </c>
      <c r="H1807" s="7"/>
      <c r="I1807" s="7" t="s">
        <v>190</v>
      </c>
      <c r="J1807" s="7" t="s">
        <v>664</v>
      </c>
      <c r="K1807" s="7" t="s">
        <v>29</v>
      </c>
      <c r="L1807" s="3" t="str">
        <f>E1807&amp;D1807</f>
        <v>E.SP.IPAEE_MAN_CONF_C_I_MCH 110VCC GRS 55BR_0090</v>
      </c>
      <c r="M1807" s="3" t="str">
        <f>IFERROR(MID(D1807,SEARCH("S_I_",D1807,1),3),"")</f>
        <v/>
      </c>
      <c r="N1807" s="3" t="str">
        <f>IFERROR(MID(D1807,SEARCH("C_I_",D1807,1),3),"")</f>
        <v>C_I</v>
      </c>
      <c r="O1807" s="3" t="str">
        <f>IF(AND(M1807="",N1807=""),"Extra","")</f>
        <v/>
      </c>
      <c r="P1807" s="3" t="str">
        <f>IF(Q1807=0,"TERCEIRO","MRS")</f>
        <v>MRS</v>
      </c>
      <c r="Q1807" s="8" t="str">
        <f>IFERROR(VLOOKUP(L1807,#REF!,4,0),"0,00")</f>
        <v>0,00</v>
      </c>
      <c r="R1807" s="9" t="s">
        <v>42</v>
      </c>
      <c r="S1807" s="9">
        <f>COUNTIF(D1807,"*_SEG_*")</f>
        <v>0</v>
      </c>
      <c r="T1807" s="9">
        <f>COUNTIF(D1807,"*_MAN_*")</f>
        <v>1</v>
      </c>
      <c r="U1807" s="9">
        <f>(RIGHT(D1807,4))*1</f>
        <v>90</v>
      </c>
      <c r="V1807" s="9" t="str">
        <f>IFERROR(VLOOKUP(I1807,#REF!,2,0),"Sinalização")</f>
        <v>Sinalização</v>
      </c>
    </row>
    <row r="1808" spans="1:22" x14ac:dyDescent="0.25">
      <c r="A1808" s="3" t="s">
        <v>22</v>
      </c>
      <c r="B1808" s="4">
        <v>23303472</v>
      </c>
      <c r="C1808" s="5" t="s">
        <v>23</v>
      </c>
      <c r="D1808" s="6" t="s">
        <v>663</v>
      </c>
      <c r="E1808" s="6" t="s">
        <v>25</v>
      </c>
      <c r="F1808" s="11">
        <v>46146</v>
      </c>
      <c r="G1808" s="6" t="s">
        <v>1079</v>
      </c>
      <c r="H1808" s="7"/>
      <c r="I1808" s="7" t="s">
        <v>188</v>
      </c>
      <c r="J1808" s="7" t="s">
        <v>664</v>
      </c>
      <c r="K1808" s="7" t="s">
        <v>29</v>
      </c>
      <c r="L1808" s="3" t="str">
        <f>E1808&amp;D1808</f>
        <v>E.SP.IPAEE_MAN_CONF_C_I_MCH 110VCC GRS 55BR_0090</v>
      </c>
      <c r="M1808" s="3" t="str">
        <f>IFERROR(MID(D1808,SEARCH("S_I_",D1808,1),3),"")</f>
        <v/>
      </c>
      <c r="N1808" s="3" t="str">
        <f>IFERROR(MID(D1808,SEARCH("C_I_",D1808,1),3),"")</f>
        <v>C_I</v>
      </c>
      <c r="O1808" s="3" t="str">
        <f>IF(AND(M1808="",N1808=""),"Extra","")</f>
        <v/>
      </c>
      <c r="P1808" s="3" t="str">
        <f>IF(Q1808=0,"TERCEIRO","MRS")</f>
        <v>MRS</v>
      </c>
      <c r="Q1808" s="8" t="str">
        <f>IFERROR(VLOOKUP(L1808,#REF!,4,0),"0,00")</f>
        <v>0,00</v>
      </c>
      <c r="R1808" s="9" t="s">
        <v>42</v>
      </c>
      <c r="S1808" s="9">
        <f>COUNTIF(D1808,"*_SEG_*")</f>
        <v>0</v>
      </c>
      <c r="T1808" s="9">
        <f>COUNTIF(D1808,"*_MAN_*")</f>
        <v>1</v>
      </c>
      <c r="U1808" s="9">
        <f>(RIGHT(D1808,4))*1</f>
        <v>90</v>
      </c>
      <c r="V1808" s="9" t="str">
        <f>IFERROR(VLOOKUP(I1808,#REF!,2,0),"Sinalização")</f>
        <v>Sinalização</v>
      </c>
    </row>
    <row r="1809" spans="1:22" x14ac:dyDescent="0.25">
      <c r="A1809" s="3" t="s">
        <v>22</v>
      </c>
      <c r="B1809" s="4">
        <v>23303476</v>
      </c>
      <c r="C1809" s="5" t="s">
        <v>23</v>
      </c>
      <c r="D1809" s="6" t="s">
        <v>665</v>
      </c>
      <c r="E1809" s="6" t="s">
        <v>25</v>
      </c>
      <c r="F1809" s="11">
        <v>46146</v>
      </c>
      <c r="G1809" s="6" t="s">
        <v>1079</v>
      </c>
      <c r="H1809" s="7"/>
      <c r="I1809" s="7" t="s">
        <v>666</v>
      </c>
      <c r="J1809" s="7" t="s">
        <v>667</v>
      </c>
      <c r="K1809" s="7" t="s">
        <v>29</v>
      </c>
      <c r="L1809" s="3" t="str">
        <f>E1809&amp;D1809</f>
        <v>E.SP.IPAEE_INS_CONF_S_I_CABO DIST ENERGIA_0090</v>
      </c>
      <c r="M1809" s="3" t="str">
        <f>IFERROR(MID(D1809,SEARCH("S_I_",D1809,1),3),"")</f>
        <v>S_I</v>
      </c>
      <c r="N1809" s="3" t="str">
        <f>IFERROR(MID(D1809,SEARCH("C_I_",D1809,1),3),"")</f>
        <v/>
      </c>
      <c r="O1809" s="3" t="str">
        <f>IF(AND(M1809="",N1809=""),"Extra","")</f>
        <v/>
      </c>
      <c r="P1809" s="3" t="str">
        <f>IF(Q1809=0,"TERCEIRO","MRS")</f>
        <v>MRS</v>
      </c>
      <c r="Q1809" s="8" t="str">
        <f>IFERROR(VLOOKUP(L1809,#REF!,4,0),"0,00")</f>
        <v>0,00</v>
      </c>
      <c r="R1809" s="9" t="s">
        <v>42</v>
      </c>
      <c r="S1809" s="9">
        <f>COUNTIF(D1809,"*_SEG_*")</f>
        <v>0</v>
      </c>
      <c r="T1809" s="9">
        <f>COUNTIF(D1809,"*_MAN_*")</f>
        <v>0</v>
      </c>
      <c r="U1809" s="9">
        <f>(RIGHT(D1809,4))*1</f>
        <v>90</v>
      </c>
      <c r="V1809" s="9" t="str">
        <f>IFERROR(VLOOKUP(I1809,#REF!,2,0),"Sinalização")</f>
        <v>Sinalização</v>
      </c>
    </row>
    <row r="1810" spans="1:22" x14ac:dyDescent="0.25">
      <c r="A1810" s="3" t="s">
        <v>22</v>
      </c>
      <c r="B1810" s="4">
        <v>23303477</v>
      </c>
      <c r="C1810" s="5" t="s">
        <v>23</v>
      </c>
      <c r="D1810" s="6" t="s">
        <v>665</v>
      </c>
      <c r="E1810" s="6" t="s">
        <v>25</v>
      </c>
      <c r="F1810" s="11">
        <v>46146</v>
      </c>
      <c r="G1810" s="6" t="s">
        <v>1079</v>
      </c>
      <c r="H1810" s="7"/>
      <c r="I1810" s="7" t="s">
        <v>668</v>
      </c>
      <c r="J1810" s="7" t="s">
        <v>667</v>
      </c>
      <c r="K1810" s="7" t="s">
        <v>29</v>
      </c>
      <c r="L1810" s="3" t="str">
        <f>E1810&amp;D1810</f>
        <v>E.SP.IPAEE_INS_CONF_S_I_CABO DIST ENERGIA_0090</v>
      </c>
      <c r="M1810" s="3" t="str">
        <f>IFERROR(MID(D1810,SEARCH("S_I_",D1810,1),3),"")</f>
        <v>S_I</v>
      </c>
      <c r="N1810" s="3" t="str">
        <f>IFERROR(MID(D1810,SEARCH("C_I_",D1810,1),3),"")</f>
        <v/>
      </c>
      <c r="O1810" s="3" t="str">
        <f>IF(AND(M1810="",N1810=""),"Extra","")</f>
        <v/>
      </c>
      <c r="P1810" s="3" t="str">
        <f>IF(Q1810=0,"TERCEIRO","MRS")</f>
        <v>MRS</v>
      </c>
      <c r="Q1810" s="8" t="str">
        <f>IFERROR(VLOOKUP(L1810,#REF!,4,0),"0,00")</f>
        <v>0,00</v>
      </c>
      <c r="R1810" s="9" t="s">
        <v>42</v>
      </c>
      <c r="S1810" s="9">
        <f>COUNTIF(D1810,"*_SEG_*")</f>
        <v>0</v>
      </c>
      <c r="T1810" s="9">
        <f>COUNTIF(D1810,"*_MAN_*")</f>
        <v>0</v>
      </c>
      <c r="U1810" s="9">
        <f>(RIGHT(D1810,4))*1</f>
        <v>90</v>
      </c>
      <c r="V1810" s="9" t="str">
        <f>IFERROR(VLOOKUP(I1810,#REF!,2,0),"Sinalização")</f>
        <v>Sinalização</v>
      </c>
    </row>
    <row r="1811" spans="1:22" x14ac:dyDescent="0.25">
      <c r="A1811" s="3" t="s">
        <v>22</v>
      </c>
      <c r="B1811" s="4">
        <v>23303478</v>
      </c>
      <c r="C1811" s="5" t="s">
        <v>23</v>
      </c>
      <c r="D1811" s="6" t="s">
        <v>665</v>
      </c>
      <c r="E1811" s="6" t="s">
        <v>25</v>
      </c>
      <c r="F1811" s="11">
        <v>46146</v>
      </c>
      <c r="G1811" s="6" t="s">
        <v>1079</v>
      </c>
      <c r="H1811" s="7"/>
      <c r="I1811" s="7" t="s">
        <v>669</v>
      </c>
      <c r="J1811" s="7" t="s">
        <v>667</v>
      </c>
      <c r="K1811" s="7" t="s">
        <v>29</v>
      </c>
      <c r="L1811" s="3" t="str">
        <f>E1811&amp;D1811</f>
        <v>E.SP.IPAEE_INS_CONF_S_I_CABO DIST ENERGIA_0090</v>
      </c>
      <c r="M1811" s="3" t="str">
        <f>IFERROR(MID(D1811,SEARCH("S_I_",D1811,1),3),"")</f>
        <v>S_I</v>
      </c>
      <c r="N1811" s="3" t="str">
        <f>IFERROR(MID(D1811,SEARCH("C_I_",D1811,1),3),"")</f>
        <v/>
      </c>
      <c r="O1811" s="3" t="str">
        <f>IF(AND(M1811="",N1811=""),"Extra","")</f>
        <v/>
      </c>
      <c r="P1811" s="3" t="str">
        <f>IF(Q1811=0,"TERCEIRO","MRS")</f>
        <v>MRS</v>
      </c>
      <c r="Q1811" s="8" t="str">
        <f>IFERROR(VLOOKUP(L1811,#REF!,4,0),"0,00")</f>
        <v>0,00</v>
      </c>
      <c r="R1811" s="9" t="s">
        <v>42</v>
      </c>
      <c r="S1811" s="9">
        <f>COUNTIF(D1811,"*_SEG_*")</f>
        <v>0</v>
      </c>
      <c r="T1811" s="9">
        <f>COUNTIF(D1811,"*_MAN_*")</f>
        <v>0</v>
      </c>
      <c r="U1811" s="9">
        <f>(RIGHT(D1811,4))*1</f>
        <v>90</v>
      </c>
      <c r="V1811" s="9" t="str">
        <f>IFERROR(VLOOKUP(I1811,#REF!,2,0),"Sinalização")</f>
        <v>Sinalização</v>
      </c>
    </row>
    <row r="1812" spans="1:22" x14ac:dyDescent="0.25">
      <c r="A1812" s="3" t="s">
        <v>22</v>
      </c>
      <c r="B1812" s="4">
        <v>23303479</v>
      </c>
      <c r="C1812" s="5" t="s">
        <v>23</v>
      </c>
      <c r="D1812" s="6" t="s">
        <v>665</v>
      </c>
      <c r="E1812" s="6" t="s">
        <v>25</v>
      </c>
      <c r="F1812" s="11">
        <v>46146</v>
      </c>
      <c r="G1812" s="6" t="s">
        <v>1079</v>
      </c>
      <c r="H1812" s="7"/>
      <c r="I1812" s="7" t="s">
        <v>670</v>
      </c>
      <c r="J1812" s="7" t="s">
        <v>667</v>
      </c>
      <c r="K1812" s="7" t="s">
        <v>29</v>
      </c>
      <c r="L1812" s="3" t="str">
        <f>E1812&amp;D1812</f>
        <v>E.SP.IPAEE_INS_CONF_S_I_CABO DIST ENERGIA_0090</v>
      </c>
      <c r="M1812" s="3" t="str">
        <f>IFERROR(MID(D1812,SEARCH("S_I_",D1812,1),3),"")</f>
        <v>S_I</v>
      </c>
      <c r="N1812" s="3" t="str">
        <f>IFERROR(MID(D1812,SEARCH("C_I_",D1812,1),3),"")</f>
        <v/>
      </c>
      <c r="O1812" s="3" t="str">
        <f>IF(AND(M1812="",N1812=""),"Extra","")</f>
        <v/>
      </c>
      <c r="P1812" s="3" t="str">
        <f>IF(Q1812=0,"TERCEIRO","MRS")</f>
        <v>MRS</v>
      </c>
      <c r="Q1812" s="8" t="str">
        <f>IFERROR(VLOOKUP(L1812,#REF!,4,0),"0,00")</f>
        <v>0,00</v>
      </c>
      <c r="R1812" s="9" t="s">
        <v>42</v>
      </c>
      <c r="S1812" s="9">
        <f>COUNTIF(D1812,"*_SEG_*")</f>
        <v>0</v>
      </c>
      <c r="T1812" s="9">
        <f>COUNTIF(D1812,"*_MAN_*")</f>
        <v>0</v>
      </c>
      <c r="U1812" s="9">
        <f>(RIGHT(D1812,4))*1</f>
        <v>90</v>
      </c>
      <c r="V1812" s="9" t="str">
        <f>IFERROR(VLOOKUP(I1812,#REF!,2,0),"Sinalização")</f>
        <v>Sinalização</v>
      </c>
    </row>
    <row r="1813" spans="1:22" x14ac:dyDescent="0.25">
      <c r="A1813" s="3" t="s">
        <v>22</v>
      </c>
      <c r="B1813" s="4">
        <v>23303509</v>
      </c>
      <c r="C1813" s="5" t="s">
        <v>23</v>
      </c>
      <c r="D1813" s="6" t="s">
        <v>539</v>
      </c>
      <c r="E1813" s="6" t="s">
        <v>25</v>
      </c>
      <c r="F1813" s="11">
        <v>46146</v>
      </c>
      <c r="G1813" s="6" t="s">
        <v>1079</v>
      </c>
      <c r="H1813" s="7"/>
      <c r="I1813" s="7" t="s">
        <v>671</v>
      </c>
      <c r="J1813" s="7" t="s">
        <v>541</v>
      </c>
      <c r="K1813" s="7" t="s">
        <v>29</v>
      </c>
      <c r="L1813" s="3" t="str">
        <f>E1813&amp;D1813</f>
        <v>E.SP.IPAEE_INS_CONF_C_I_TRAFO LOCAL_0090</v>
      </c>
      <c r="M1813" s="3" t="str">
        <f>IFERROR(MID(D1813,SEARCH("S_I_",D1813,1),3),"")</f>
        <v/>
      </c>
      <c r="N1813" s="3" t="str">
        <f>IFERROR(MID(D1813,SEARCH("C_I_",D1813,1),3),"")</f>
        <v>C_I</v>
      </c>
      <c r="O1813" s="3" t="str">
        <f>IF(AND(M1813="",N1813=""),"Extra","")</f>
        <v/>
      </c>
      <c r="P1813" s="3" t="str">
        <f>IF(Q1813=0,"TERCEIRO","MRS")</f>
        <v>MRS</v>
      </c>
      <c r="Q1813" s="8" t="str">
        <f>IFERROR(VLOOKUP(L1813,#REF!,4,0),"0,00")</f>
        <v>0,00</v>
      </c>
      <c r="R1813" s="9" t="s">
        <v>42</v>
      </c>
      <c r="S1813" s="9">
        <f>COUNTIF(D1813,"*_SEG_*")</f>
        <v>0</v>
      </c>
      <c r="T1813" s="9">
        <f>COUNTIF(D1813,"*_MAN_*")</f>
        <v>0</v>
      </c>
      <c r="U1813" s="9">
        <f>(RIGHT(D1813,4))*1</f>
        <v>90</v>
      </c>
      <c r="V1813" s="9" t="str">
        <f>IFERROR(VLOOKUP(I1813,#REF!,2,0),"Sinalização")</f>
        <v>Sinalização</v>
      </c>
    </row>
    <row r="1814" spans="1:22" x14ac:dyDescent="0.25">
      <c r="A1814" s="3" t="s">
        <v>22</v>
      </c>
      <c r="B1814" s="4">
        <v>23303510</v>
      </c>
      <c r="C1814" s="5" t="s">
        <v>23</v>
      </c>
      <c r="D1814" s="6" t="s">
        <v>539</v>
      </c>
      <c r="E1814" s="6" t="s">
        <v>25</v>
      </c>
      <c r="F1814" s="11">
        <v>46146</v>
      </c>
      <c r="G1814" s="6" t="s">
        <v>1079</v>
      </c>
      <c r="H1814" s="7"/>
      <c r="I1814" s="7" t="s">
        <v>672</v>
      </c>
      <c r="J1814" s="7" t="s">
        <v>541</v>
      </c>
      <c r="K1814" s="7" t="s">
        <v>29</v>
      </c>
      <c r="L1814" s="3" t="str">
        <f>E1814&amp;D1814</f>
        <v>E.SP.IPAEE_INS_CONF_C_I_TRAFO LOCAL_0090</v>
      </c>
      <c r="M1814" s="3" t="str">
        <f>IFERROR(MID(D1814,SEARCH("S_I_",D1814,1),3),"")</f>
        <v/>
      </c>
      <c r="N1814" s="3" t="str">
        <f>IFERROR(MID(D1814,SEARCH("C_I_",D1814,1),3),"")</f>
        <v>C_I</v>
      </c>
      <c r="O1814" s="3" t="str">
        <f>IF(AND(M1814="",N1814=""),"Extra","")</f>
        <v/>
      </c>
      <c r="P1814" s="3" t="str">
        <f>IF(Q1814=0,"TERCEIRO","MRS")</f>
        <v>MRS</v>
      </c>
      <c r="Q1814" s="8" t="str">
        <f>IFERROR(VLOOKUP(L1814,#REF!,4,0),"0,00")</f>
        <v>0,00</v>
      </c>
      <c r="R1814" s="9" t="s">
        <v>42</v>
      </c>
      <c r="S1814" s="9">
        <f>COUNTIF(D1814,"*_SEG_*")</f>
        <v>0</v>
      </c>
      <c r="T1814" s="9">
        <f>COUNTIF(D1814,"*_MAN_*")</f>
        <v>0</v>
      </c>
      <c r="U1814" s="9">
        <f>(RIGHT(D1814,4))*1</f>
        <v>90</v>
      </c>
      <c r="V1814" s="9" t="str">
        <f>IFERROR(VLOOKUP(I1814,#REF!,2,0),"Sinalização")</f>
        <v>Sinalização</v>
      </c>
    </row>
    <row r="1815" spans="1:22" x14ac:dyDescent="0.25">
      <c r="A1815" s="3" t="s">
        <v>22</v>
      </c>
      <c r="B1815" s="4">
        <v>23303511</v>
      </c>
      <c r="C1815" s="5" t="s">
        <v>23</v>
      </c>
      <c r="D1815" s="6" t="s">
        <v>539</v>
      </c>
      <c r="E1815" s="6" t="s">
        <v>25</v>
      </c>
      <c r="F1815" s="11">
        <v>46146</v>
      </c>
      <c r="G1815" s="6" t="s">
        <v>1079</v>
      </c>
      <c r="H1815" s="7"/>
      <c r="I1815" s="7" t="s">
        <v>673</v>
      </c>
      <c r="J1815" s="7" t="s">
        <v>541</v>
      </c>
      <c r="K1815" s="7" t="s">
        <v>29</v>
      </c>
      <c r="L1815" s="3" t="str">
        <f>E1815&amp;D1815</f>
        <v>E.SP.IPAEE_INS_CONF_C_I_TRAFO LOCAL_0090</v>
      </c>
      <c r="M1815" s="3" t="str">
        <f>IFERROR(MID(D1815,SEARCH("S_I_",D1815,1),3),"")</f>
        <v/>
      </c>
      <c r="N1815" s="3" t="str">
        <f>IFERROR(MID(D1815,SEARCH("C_I_",D1815,1),3),"")</f>
        <v>C_I</v>
      </c>
      <c r="O1815" s="3" t="str">
        <f>IF(AND(M1815="",N1815=""),"Extra","")</f>
        <v/>
      </c>
      <c r="P1815" s="3" t="str">
        <f>IF(Q1815=0,"TERCEIRO","MRS")</f>
        <v>MRS</v>
      </c>
      <c r="Q1815" s="8" t="str">
        <f>IFERROR(VLOOKUP(L1815,#REF!,4,0),"0,00")</f>
        <v>0,00</v>
      </c>
      <c r="R1815" s="9" t="s">
        <v>42</v>
      </c>
      <c r="S1815" s="9">
        <f>COUNTIF(D1815,"*_SEG_*")</f>
        <v>0</v>
      </c>
      <c r="T1815" s="9">
        <f>COUNTIF(D1815,"*_MAN_*")</f>
        <v>0</v>
      </c>
      <c r="U1815" s="9">
        <f>(RIGHT(D1815,4))*1</f>
        <v>90</v>
      </c>
      <c r="V1815" s="9" t="str">
        <f>IFERROR(VLOOKUP(I1815,#REF!,2,0),"Sinalização")</f>
        <v>Sinalização</v>
      </c>
    </row>
    <row r="1816" spans="1:22" x14ac:dyDescent="0.25">
      <c r="A1816" s="3" t="s">
        <v>22</v>
      </c>
      <c r="B1816" s="4">
        <v>23303512</v>
      </c>
      <c r="C1816" s="5" t="s">
        <v>23</v>
      </c>
      <c r="D1816" s="6" t="s">
        <v>539</v>
      </c>
      <c r="E1816" s="6" t="s">
        <v>25</v>
      </c>
      <c r="F1816" s="11">
        <v>46146</v>
      </c>
      <c r="G1816" s="6" t="s">
        <v>1079</v>
      </c>
      <c r="H1816" s="7"/>
      <c r="I1816" s="7" t="s">
        <v>674</v>
      </c>
      <c r="J1816" s="7" t="s">
        <v>541</v>
      </c>
      <c r="K1816" s="7" t="s">
        <v>29</v>
      </c>
      <c r="L1816" s="3" t="str">
        <f>E1816&amp;D1816</f>
        <v>E.SP.IPAEE_INS_CONF_C_I_TRAFO LOCAL_0090</v>
      </c>
      <c r="M1816" s="3" t="str">
        <f>IFERROR(MID(D1816,SEARCH("S_I_",D1816,1),3),"")</f>
        <v/>
      </c>
      <c r="N1816" s="3" t="str">
        <f>IFERROR(MID(D1816,SEARCH("C_I_",D1816,1),3),"")</f>
        <v>C_I</v>
      </c>
      <c r="O1816" s="3" t="str">
        <f>IF(AND(M1816="",N1816=""),"Extra","")</f>
        <v/>
      </c>
      <c r="P1816" s="3" t="str">
        <f>IF(Q1816=0,"TERCEIRO","MRS")</f>
        <v>MRS</v>
      </c>
      <c r="Q1816" s="8" t="str">
        <f>IFERROR(VLOOKUP(L1816,#REF!,4,0),"0,00")</f>
        <v>0,00</v>
      </c>
      <c r="R1816" s="9" t="s">
        <v>42</v>
      </c>
      <c r="S1816" s="9">
        <f>COUNTIF(D1816,"*_SEG_*")</f>
        <v>0</v>
      </c>
      <c r="T1816" s="9">
        <f>COUNTIF(D1816,"*_MAN_*")</f>
        <v>0</v>
      </c>
      <c r="U1816" s="9">
        <f>(RIGHT(D1816,4))*1</f>
        <v>90</v>
      </c>
      <c r="V1816" s="9" t="str">
        <f>IFERROR(VLOOKUP(I1816,#REF!,2,0),"Sinalização")</f>
        <v>Sinalização</v>
      </c>
    </row>
    <row r="1817" spans="1:22" x14ac:dyDescent="0.25">
      <c r="A1817" s="3" t="s">
        <v>22</v>
      </c>
      <c r="B1817" s="4">
        <v>23303513</v>
      </c>
      <c r="C1817" s="5" t="s">
        <v>23</v>
      </c>
      <c r="D1817" s="6" t="s">
        <v>539</v>
      </c>
      <c r="E1817" s="6" t="s">
        <v>25</v>
      </c>
      <c r="F1817" s="11">
        <v>46146</v>
      </c>
      <c r="G1817" s="6" t="s">
        <v>1079</v>
      </c>
      <c r="H1817" s="7"/>
      <c r="I1817" s="7" t="s">
        <v>675</v>
      </c>
      <c r="J1817" s="7" t="s">
        <v>541</v>
      </c>
      <c r="K1817" s="7" t="s">
        <v>29</v>
      </c>
      <c r="L1817" s="3" t="str">
        <f>E1817&amp;D1817</f>
        <v>E.SP.IPAEE_INS_CONF_C_I_TRAFO LOCAL_0090</v>
      </c>
      <c r="M1817" s="3" t="str">
        <f>IFERROR(MID(D1817,SEARCH("S_I_",D1817,1),3),"")</f>
        <v/>
      </c>
      <c r="N1817" s="3" t="str">
        <f>IFERROR(MID(D1817,SEARCH("C_I_",D1817,1),3),"")</f>
        <v>C_I</v>
      </c>
      <c r="O1817" s="3" t="str">
        <f>IF(AND(M1817="",N1817=""),"Extra","")</f>
        <v/>
      </c>
      <c r="P1817" s="3" t="str">
        <f>IF(Q1817=0,"TERCEIRO","MRS")</f>
        <v>MRS</v>
      </c>
      <c r="Q1817" s="8" t="str">
        <f>IFERROR(VLOOKUP(L1817,#REF!,4,0),"0,00")</f>
        <v>0,00</v>
      </c>
      <c r="R1817" s="9" t="s">
        <v>42</v>
      </c>
      <c r="S1817" s="9">
        <f>COUNTIF(D1817,"*_SEG_*")</f>
        <v>0</v>
      </c>
      <c r="T1817" s="9">
        <f>COUNTIF(D1817,"*_MAN_*")</f>
        <v>0</v>
      </c>
      <c r="U1817" s="9">
        <f>(RIGHT(D1817,4))*1</f>
        <v>90</v>
      </c>
      <c r="V1817" s="9" t="str">
        <f>IFERROR(VLOOKUP(I1817,#REF!,2,0),"Sinalização")</f>
        <v>Sinalização</v>
      </c>
    </row>
    <row r="1818" spans="1:22" x14ac:dyDescent="0.25">
      <c r="A1818" s="3" t="s">
        <v>22</v>
      </c>
      <c r="B1818" s="4">
        <v>23303514</v>
      </c>
      <c r="C1818" s="5" t="s">
        <v>23</v>
      </c>
      <c r="D1818" s="6" t="s">
        <v>539</v>
      </c>
      <c r="E1818" s="6" t="s">
        <v>25</v>
      </c>
      <c r="F1818" s="11">
        <v>46146</v>
      </c>
      <c r="G1818" s="6" t="s">
        <v>1079</v>
      </c>
      <c r="H1818" s="7"/>
      <c r="I1818" s="7" t="s">
        <v>676</v>
      </c>
      <c r="J1818" s="7" t="s">
        <v>541</v>
      </c>
      <c r="K1818" s="7" t="s">
        <v>29</v>
      </c>
      <c r="L1818" s="3" t="str">
        <f>E1818&amp;D1818</f>
        <v>E.SP.IPAEE_INS_CONF_C_I_TRAFO LOCAL_0090</v>
      </c>
      <c r="M1818" s="3" t="str">
        <f>IFERROR(MID(D1818,SEARCH("S_I_",D1818,1),3),"")</f>
        <v/>
      </c>
      <c r="N1818" s="3" t="str">
        <f>IFERROR(MID(D1818,SEARCH("C_I_",D1818,1),3),"")</f>
        <v>C_I</v>
      </c>
      <c r="O1818" s="3" t="str">
        <f>IF(AND(M1818="",N1818=""),"Extra","")</f>
        <v/>
      </c>
      <c r="P1818" s="3" t="str">
        <f>IF(Q1818=0,"TERCEIRO","MRS")</f>
        <v>MRS</v>
      </c>
      <c r="Q1818" s="8" t="str">
        <f>IFERROR(VLOOKUP(L1818,#REF!,4,0),"0,00")</f>
        <v>0,00</v>
      </c>
      <c r="R1818" s="9" t="s">
        <v>42</v>
      </c>
      <c r="S1818" s="9">
        <f>COUNTIF(D1818,"*_SEG_*")</f>
        <v>0</v>
      </c>
      <c r="T1818" s="9">
        <f>COUNTIF(D1818,"*_MAN_*")</f>
        <v>0</v>
      </c>
      <c r="U1818" s="9">
        <f>(RIGHT(D1818,4))*1</f>
        <v>90</v>
      </c>
      <c r="V1818" s="9" t="str">
        <f>IFERROR(VLOOKUP(I1818,#REF!,2,0),"Sinalização")</f>
        <v>Sinalização</v>
      </c>
    </row>
    <row r="1819" spans="1:22" x14ac:dyDescent="0.25">
      <c r="A1819" s="3" t="s">
        <v>22</v>
      </c>
      <c r="B1819" s="4">
        <v>23303515</v>
      </c>
      <c r="C1819" s="5" t="s">
        <v>23</v>
      </c>
      <c r="D1819" s="6" t="s">
        <v>539</v>
      </c>
      <c r="E1819" s="6" t="s">
        <v>25</v>
      </c>
      <c r="F1819" s="11">
        <v>46146</v>
      </c>
      <c r="G1819" s="6" t="s">
        <v>1079</v>
      </c>
      <c r="H1819" s="7"/>
      <c r="I1819" s="7" t="s">
        <v>654</v>
      </c>
      <c r="J1819" s="7" t="s">
        <v>541</v>
      </c>
      <c r="K1819" s="7" t="s">
        <v>29</v>
      </c>
      <c r="L1819" s="3" t="str">
        <f>E1819&amp;D1819</f>
        <v>E.SP.IPAEE_INS_CONF_C_I_TRAFO LOCAL_0090</v>
      </c>
      <c r="M1819" s="3" t="str">
        <f>IFERROR(MID(D1819,SEARCH("S_I_",D1819,1),3),"")</f>
        <v/>
      </c>
      <c r="N1819" s="3" t="str">
        <f>IFERROR(MID(D1819,SEARCH("C_I_",D1819,1),3),"")</f>
        <v>C_I</v>
      </c>
      <c r="O1819" s="3" t="str">
        <f>IF(AND(M1819="",N1819=""),"Extra","")</f>
        <v/>
      </c>
      <c r="P1819" s="3" t="str">
        <f>IF(Q1819=0,"TERCEIRO","MRS")</f>
        <v>MRS</v>
      </c>
      <c r="Q1819" s="8" t="str">
        <f>IFERROR(VLOOKUP(L1819,#REF!,4,0),"0,00")</f>
        <v>0,00</v>
      </c>
      <c r="R1819" s="9" t="s">
        <v>42</v>
      </c>
      <c r="S1819" s="9">
        <f>COUNTIF(D1819,"*_SEG_*")</f>
        <v>0</v>
      </c>
      <c r="T1819" s="9">
        <f>COUNTIF(D1819,"*_MAN_*")</f>
        <v>0</v>
      </c>
      <c r="U1819" s="9">
        <f>(RIGHT(D1819,4))*1</f>
        <v>90</v>
      </c>
      <c r="V1819" s="9" t="str">
        <f>IFERROR(VLOOKUP(I1819,#REF!,2,0),"Sinalização")</f>
        <v>Sinalização</v>
      </c>
    </row>
    <row r="1820" spans="1:22" x14ac:dyDescent="0.25">
      <c r="A1820" s="3" t="s">
        <v>22</v>
      </c>
      <c r="B1820" s="4">
        <v>23303516</v>
      </c>
      <c r="C1820" s="5" t="s">
        <v>23</v>
      </c>
      <c r="D1820" s="6" t="s">
        <v>539</v>
      </c>
      <c r="E1820" s="6" t="s">
        <v>25</v>
      </c>
      <c r="F1820" s="11">
        <v>46146</v>
      </c>
      <c r="G1820" s="6" t="s">
        <v>1079</v>
      </c>
      <c r="H1820" s="7"/>
      <c r="I1820" s="7" t="s">
        <v>655</v>
      </c>
      <c r="J1820" s="7" t="s">
        <v>541</v>
      </c>
      <c r="K1820" s="7" t="s">
        <v>29</v>
      </c>
      <c r="L1820" s="3" t="str">
        <f>E1820&amp;D1820</f>
        <v>E.SP.IPAEE_INS_CONF_C_I_TRAFO LOCAL_0090</v>
      </c>
      <c r="M1820" s="3" t="str">
        <f>IFERROR(MID(D1820,SEARCH("S_I_",D1820,1),3),"")</f>
        <v/>
      </c>
      <c r="N1820" s="3" t="str">
        <f>IFERROR(MID(D1820,SEARCH("C_I_",D1820,1),3),"")</f>
        <v>C_I</v>
      </c>
      <c r="O1820" s="3" t="str">
        <f>IF(AND(M1820="",N1820=""),"Extra","")</f>
        <v/>
      </c>
      <c r="P1820" s="3" t="str">
        <f>IF(Q1820=0,"TERCEIRO","MRS")</f>
        <v>MRS</v>
      </c>
      <c r="Q1820" s="8" t="str">
        <f>IFERROR(VLOOKUP(L1820,#REF!,4,0),"0,00")</f>
        <v>0,00</v>
      </c>
      <c r="R1820" s="9" t="s">
        <v>42</v>
      </c>
      <c r="S1820" s="9">
        <f>COUNTIF(D1820,"*_SEG_*")</f>
        <v>0</v>
      </c>
      <c r="T1820" s="9">
        <f>COUNTIF(D1820,"*_MAN_*")</f>
        <v>0</v>
      </c>
      <c r="U1820" s="9">
        <f>(RIGHT(D1820,4))*1</f>
        <v>90</v>
      </c>
      <c r="V1820" s="9" t="str">
        <f>IFERROR(VLOOKUP(I1820,#REF!,2,0),"Sinalização")</f>
        <v>Sinalização</v>
      </c>
    </row>
    <row r="1821" spans="1:22" x14ac:dyDescent="0.25">
      <c r="A1821" s="3" t="s">
        <v>22</v>
      </c>
      <c r="B1821" s="4">
        <v>23303517</v>
      </c>
      <c r="C1821" s="5" t="s">
        <v>23</v>
      </c>
      <c r="D1821" s="6" t="s">
        <v>650</v>
      </c>
      <c r="E1821" s="6" t="s">
        <v>25</v>
      </c>
      <c r="F1821" s="11">
        <v>46146</v>
      </c>
      <c r="G1821" s="6" t="s">
        <v>1079</v>
      </c>
      <c r="H1821" s="7"/>
      <c r="I1821" s="7" t="s">
        <v>671</v>
      </c>
      <c r="J1821" s="7" t="s">
        <v>651</v>
      </c>
      <c r="K1821" s="7" t="s">
        <v>29</v>
      </c>
      <c r="L1821" s="3" t="str">
        <f>E1821&amp;D1821</f>
        <v>E.SP.IPAEE_INS_CONF_S_I_TRAFO LOCAL_0090</v>
      </c>
      <c r="M1821" s="3" t="str">
        <f>IFERROR(MID(D1821,SEARCH("S_I_",D1821,1),3),"")</f>
        <v>S_I</v>
      </c>
      <c r="N1821" s="3" t="str">
        <f>IFERROR(MID(D1821,SEARCH("C_I_",D1821,1),3),"")</f>
        <v/>
      </c>
      <c r="O1821" s="3" t="str">
        <f>IF(AND(M1821="",N1821=""),"Extra","")</f>
        <v/>
      </c>
      <c r="P1821" s="3" t="str">
        <f>IF(Q1821=0,"TERCEIRO","MRS")</f>
        <v>MRS</v>
      </c>
      <c r="Q1821" s="8" t="str">
        <f>IFERROR(VLOOKUP(L1821,#REF!,4,0),"0,00")</f>
        <v>0,00</v>
      </c>
      <c r="R1821" s="9" t="s">
        <v>42</v>
      </c>
      <c r="S1821" s="9">
        <f>COUNTIF(D1821,"*_SEG_*")</f>
        <v>0</v>
      </c>
      <c r="T1821" s="9">
        <f>COUNTIF(D1821,"*_MAN_*")</f>
        <v>0</v>
      </c>
      <c r="U1821" s="9">
        <f>(RIGHT(D1821,4))*1</f>
        <v>90</v>
      </c>
      <c r="V1821" s="9" t="str">
        <f>IFERROR(VLOOKUP(I1821,#REF!,2,0),"Sinalização")</f>
        <v>Sinalização</v>
      </c>
    </row>
    <row r="1822" spans="1:22" x14ac:dyDescent="0.25">
      <c r="A1822" s="3" t="s">
        <v>22</v>
      </c>
      <c r="B1822" s="4">
        <v>23303518</v>
      </c>
      <c r="C1822" s="5" t="s">
        <v>23</v>
      </c>
      <c r="D1822" s="6" t="s">
        <v>650</v>
      </c>
      <c r="E1822" s="6" t="s">
        <v>25</v>
      </c>
      <c r="F1822" s="11">
        <v>46146</v>
      </c>
      <c r="G1822" s="6" t="s">
        <v>1079</v>
      </c>
      <c r="H1822" s="7"/>
      <c r="I1822" s="7" t="s">
        <v>672</v>
      </c>
      <c r="J1822" s="7" t="s">
        <v>651</v>
      </c>
      <c r="K1822" s="7" t="s">
        <v>29</v>
      </c>
      <c r="L1822" s="3" t="str">
        <f>E1822&amp;D1822</f>
        <v>E.SP.IPAEE_INS_CONF_S_I_TRAFO LOCAL_0090</v>
      </c>
      <c r="M1822" s="3" t="str">
        <f>IFERROR(MID(D1822,SEARCH("S_I_",D1822,1),3),"")</f>
        <v>S_I</v>
      </c>
      <c r="N1822" s="3" t="str">
        <f>IFERROR(MID(D1822,SEARCH("C_I_",D1822,1),3),"")</f>
        <v/>
      </c>
      <c r="O1822" s="3" t="str">
        <f>IF(AND(M1822="",N1822=""),"Extra","")</f>
        <v/>
      </c>
      <c r="P1822" s="3" t="str">
        <f>IF(Q1822=0,"TERCEIRO","MRS")</f>
        <v>MRS</v>
      </c>
      <c r="Q1822" s="8" t="str">
        <f>IFERROR(VLOOKUP(L1822,#REF!,4,0),"0,00")</f>
        <v>0,00</v>
      </c>
      <c r="R1822" s="9" t="s">
        <v>42</v>
      </c>
      <c r="S1822" s="9">
        <f>COUNTIF(D1822,"*_SEG_*")</f>
        <v>0</v>
      </c>
      <c r="T1822" s="9">
        <f>COUNTIF(D1822,"*_MAN_*")</f>
        <v>0</v>
      </c>
      <c r="U1822" s="9">
        <f>(RIGHT(D1822,4))*1</f>
        <v>90</v>
      </c>
      <c r="V1822" s="9" t="str">
        <f>IFERROR(VLOOKUP(I1822,#REF!,2,0),"Sinalização")</f>
        <v>Sinalização</v>
      </c>
    </row>
    <row r="1823" spans="1:22" x14ac:dyDescent="0.25">
      <c r="A1823" s="3" t="s">
        <v>22</v>
      </c>
      <c r="B1823" s="4">
        <v>23303524</v>
      </c>
      <c r="C1823" s="5" t="s">
        <v>23</v>
      </c>
      <c r="D1823" s="6" t="s">
        <v>564</v>
      </c>
      <c r="E1823" s="6" t="s">
        <v>25</v>
      </c>
      <c r="F1823" s="11">
        <v>46146</v>
      </c>
      <c r="G1823" s="6" t="s">
        <v>1079</v>
      </c>
      <c r="H1823" s="7"/>
      <c r="I1823" s="7" t="s">
        <v>677</v>
      </c>
      <c r="J1823" s="7" t="s">
        <v>565</v>
      </c>
      <c r="K1823" s="7" t="s">
        <v>29</v>
      </c>
      <c r="L1823" s="3" t="str">
        <f>E1823&amp;D1823</f>
        <v>E.SP.IPAEE_INS_CONF_S_I_RADIO FIXO DIGITAL_0090</v>
      </c>
      <c r="M1823" s="3" t="str">
        <f>IFERROR(MID(D1823,SEARCH("S_I_",D1823,1),3),"")</f>
        <v>S_I</v>
      </c>
      <c r="N1823" s="3" t="str">
        <f>IFERROR(MID(D1823,SEARCH("C_I_",D1823,1),3),"")</f>
        <v/>
      </c>
      <c r="O1823" s="3" t="str">
        <f>IF(AND(M1823="",N1823=""),"Extra","")</f>
        <v/>
      </c>
      <c r="P1823" s="3" t="str">
        <f>IF(Q1823=0,"TERCEIRO","MRS")</f>
        <v>MRS</v>
      </c>
      <c r="Q1823" s="8" t="str">
        <f>IFERROR(VLOOKUP(L1823,#REF!,4,0),"0,00")</f>
        <v>0,00</v>
      </c>
      <c r="R1823" s="9" t="s">
        <v>42</v>
      </c>
      <c r="S1823" s="9">
        <f>COUNTIF(D1823,"*_SEG_*")</f>
        <v>0</v>
      </c>
      <c r="T1823" s="9">
        <f>COUNTIF(D1823,"*_MAN_*")</f>
        <v>0</v>
      </c>
      <c r="U1823" s="9">
        <f>(RIGHT(D1823,4))*1</f>
        <v>90</v>
      </c>
      <c r="V1823" s="9" t="str">
        <f>IFERROR(VLOOKUP(I1823,#REF!,2,0),"Sinalização")</f>
        <v>Sinalização</v>
      </c>
    </row>
    <row r="1824" spans="1:22" x14ac:dyDescent="0.25">
      <c r="A1824" s="3" t="s">
        <v>22</v>
      </c>
      <c r="B1824" s="4">
        <v>23303525</v>
      </c>
      <c r="C1824" s="5" t="s">
        <v>23</v>
      </c>
      <c r="D1824" s="6" t="s">
        <v>527</v>
      </c>
      <c r="E1824" s="6" t="s">
        <v>25</v>
      </c>
      <c r="F1824" s="11">
        <v>46146</v>
      </c>
      <c r="G1824" s="6" t="s">
        <v>1079</v>
      </c>
      <c r="H1824" s="7"/>
      <c r="I1824" s="7" t="s">
        <v>677</v>
      </c>
      <c r="J1824" s="7" t="s">
        <v>529</v>
      </c>
      <c r="K1824" s="7" t="s">
        <v>29</v>
      </c>
      <c r="L1824" s="3" t="str">
        <f>E1824&amp;D1824</f>
        <v>E.SP.IPAEE_MAN_CONF_S_I_RADIO FIXO DIGITAL_0090</v>
      </c>
      <c r="M1824" s="3" t="str">
        <f>IFERROR(MID(D1824,SEARCH("S_I_",D1824,1),3),"")</f>
        <v>S_I</v>
      </c>
      <c r="N1824" s="3" t="str">
        <f>IFERROR(MID(D1824,SEARCH("C_I_",D1824,1),3),"")</f>
        <v/>
      </c>
      <c r="O1824" s="3" t="str">
        <f>IF(AND(M1824="",N1824=""),"Extra","")</f>
        <v/>
      </c>
      <c r="P1824" s="3" t="str">
        <f>IF(Q1824=0,"TERCEIRO","MRS")</f>
        <v>MRS</v>
      </c>
      <c r="Q1824" s="8" t="str">
        <f>IFERROR(VLOOKUP(L1824,#REF!,4,0),"0,00")</f>
        <v>0,00</v>
      </c>
      <c r="R1824" s="9" t="s">
        <v>57</v>
      </c>
      <c r="S1824" s="9">
        <f>COUNTIF(D1824,"*_SEG_*")</f>
        <v>0</v>
      </c>
      <c r="T1824" s="9">
        <f>COUNTIF(D1824,"*_MAN_*")</f>
        <v>1</v>
      </c>
      <c r="U1824" s="9">
        <f>(RIGHT(D1824,4))*1</f>
        <v>90</v>
      </c>
      <c r="V1824" s="9" t="str">
        <f>IFERROR(VLOOKUP(I1824,#REF!,2,0),"Sinalização")</f>
        <v>Sinalização</v>
      </c>
    </row>
    <row r="1825" spans="1:22" x14ac:dyDescent="0.25">
      <c r="A1825" s="3" t="s">
        <v>22</v>
      </c>
      <c r="B1825" s="4">
        <v>23303544</v>
      </c>
      <c r="C1825" s="5" t="s">
        <v>23</v>
      </c>
      <c r="D1825" s="6" t="s">
        <v>678</v>
      </c>
      <c r="E1825" s="6" t="s">
        <v>25</v>
      </c>
      <c r="F1825" s="11">
        <v>46146</v>
      </c>
      <c r="G1825" s="6" t="s">
        <v>1079</v>
      </c>
      <c r="H1825" s="7"/>
      <c r="I1825" s="7" t="s">
        <v>633</v>
      </c>
      <c r="J1825" s="7" t="s">
        <v>636</v>
      </c>
      <c r="K1825" s="7" t="s">
        <v>29</v>
      </c>
      <c r="L1825" s="3" t="str">
        <f>E1825&amp;D1825</f>
        <v>E.SP.IPAEE_INS_SEG_S_I_MCH 110VCC GRS 55BR_0090</v>
      </c>
      <c r="M1825" s="3" t="str">
        <f>IFERROR(MID(D1825,SEARCH("S_I_",D1825,1),3),"")</f>
        <v>S_I</v>
      </c>
      <c r="N1825" s="3" t="str">
        <f>IFERROR(MID(D1825,SEARCH("C_I_",D1825,1),3),"")</f>
        <v/>
      </c>
      <c r="O1825" s="3" t="str">
        <f>IF(AND(M1825="",N1825=""),"Extra","")</f>
        <v/>
      </c>
      <c r="P1825" s="3" t="str">
        <f>IF(Q1825=0,"TERCEIRO","MRS")</f>
        <v>MRS</v>
      </c>
      <c r="Q1825" s="8" t="str">
        <f>IFERROR(VLOOKUP(L1825,#REF!,4,0),"0,00")</f>
        <v>0,00</v>
      </c>
      <c r="R1825" s="9" t="s">
        <v>30</v>
      </c>
      <c r="S1825" s="9">
        <f>COUNTIF(D1825,"*_SEG_*")</f>
        <v>1</v>
      </c>
      <c r="T1825" s="9">
        <f>COUNTIF(D1825,"*_MAN_*")</f>
        <v>0</v>
      </c>
      <c r="U1825" s="9">
        <f>(RIGHT(D1825,4))*1</f>
        <v>90</v>
      </c>
      <c r="V1825" s="9" t="str">
        <f>IFERROR(VLOOKUP(I1825,#REF!,2,0),"Sinalização")</f>
        <v>Sinalização</v>
      </c>
    </row>
    <row r="1826" spans="1:22" x14ac:dyDescent="0.25">
      <c r="A1826" s="3" t="s">
        <v>22</v>
      </c>
      <c r="B1826" s="4">
        <v>23303547</v>
      </c>
      <c r="C1826" s="5" t="s">
        <v>23</v>
      </c>
      <c r="D1826" s="6" t="s">
        <v>566</v>
      </c>
      <c r="E1826" s="6" t="s">
        <v>25</v>
      </c>
      <c r="F1826" s="11">
        <v>46146</v>
      </c>
      <c r="G1826" s="6" t="s">
        <v>1079</v>
      </c>
      <c r="H1826" s="7"/>
      <c r="I1826" s="7" t="s">
        <v>633</v>
      </c>
      <c r="J1826" s="7" t="s">
        <v>567</v>
      </c>
      <c r="K1826" s="7" t="s">
        <v>29</v>
      </c>
      <c r="L1826" s="3" t="str">
        <f>E1826&amp;D1826</f>
        <v>E.SP.IPAEE_INS_CONF_C_I_MCH 110VCC GRS 55BR_0090</v>
      </c>
      <c r="M1826" s="3" t="str">
        <f>IFERROR(MID(D1826,SEARCH("S_I_",D1826,1),3),"")</f>
        <v/>
      </c>
      <c r="N1826" s="3" t="str">
        <f>IFERROR(MID(D1826,SEARCH("C_I_",D1826,1),3),"")</f>
        <v>C_I</v>
      </c>
      <c r="O1826" s="3" t="str">
        <f>IF(AND(M1826="",N1826=""),"Extra","")</f>
        <v/>
      </c>
      <c r="P1826" s="3" t="str">
        <f>IF(Q1826=0,"TERCEIRO","MRS")</f>
        <v>MRS</v>
      </c>
      <c r="Q1826" s="8" t="str">
        <f>IFERROR(VLOOKUP(L1826,#REF!,4,0),"0,00")</f>
        <v>0,00</v>
      </c>
      <c r="R1826" s="9" t="s">
        <v>42</v>
      </c>
      <c r="S1826" s="9">
        <f>COUNTIF(D1826,"*_SEG_*")</f>
        <v>0</v>
      </c>
      <c r="T1826" s="9">
        <f>COUNTIF(D1826,"*_MAN_*")</f>
        <v>0</v>
      </c>
      <c r="U1826" s="9">
        <f>(RIGHT(D1826,4))*1</f>
        <v>90</v>
      </c>
      <c r="V1826" s="9" t="str">
        <f>IFERROR(VLOOKUP(I1826,#REF!,2,0),"Sinalização")</f>
        <v>Sinalização</v>
      </c>
    </row>
    <row r="1827" spans="1:22" x14ac:dyDescent="0.25">
      <c r="A1827" s="3" t="s">
        <v>22</v>
      </c>
      <c r="B1827" s="4">
        <v>23303549</v>
      </c>
      <c r="C1827" s="5" t="s">
        <v>23</v>
      </c>
      <c r="D1827" s="6" t="s">
        <v>590</v>
      </c>
      <c r="E1827" s="6" t="s">
        <v>25</v>
      </c>
      <c r="F1827" s="11">
        <v>46146</v>
      </c>
      <c r="G1827" s="6" t="s">
        <v>1079</v>
      </c>
      <c r="H1827" s="7"/>
      <c r="I1827" s="7" t="s">
        <v>633</v>
      </c>
      <c r="J1827" s="7" t="s">
        <v>591</v>
      </c>
      <c r="K1827" s="7" t="s">
        <v>29</v>
      </c>
      <c r="L1827" s="3" t="str">
        <f>E1827&amp;D1827</f>
        <v>E.SP.IPAEE_INS_CONF_S_I_MCH 110VCC GRS 55BR_0090</v>
      </c>
      <c r="M1827" s="3" t="str">
        <f>IFERROR(MID(D1827,SEARCH("S_I_",D1827,1),3),"")</f>
        <v>S_I</v>
      </c>
      <c r="N1827" s="3" t="str">
        <f>IFERROR(MID(D1827,SEARCH("C_I_",D1827,1),3),"")</f>
        <v/>
      </c>
      <c r="O1827" s="3" t="str">
        <f>IF(AND(M1827="",N1827=""),"Extra","")</f>
        <v/>
      </c>
      <c r="P1827" s="3" t="str">
        <f>IF(Q1827=0,"TERCEIRO","MRS")</f>
        <v>MRS</v>
      </c>
      <c r="Q1827" s="8" t="str">
        <f>IFERROR(VLOOKUP(L1827,#REF!,4,0),"0,00")</f>
        <v>0,00</v>
      </c>
      <c r="R1827" s="9" t="s">
        <v>42</v>
      </c>
      <c r="S1827" s="9">
        <f>COUNTIF(D1827,"*_SEG_*")</f>
        <v>0</v>
      </c>
      <c r="T1827" s="9">
        <f>COUNTIF(D1827,"*_MAN_*")</f>
        <v>0</v>
      </c>
      <c r="U1827" s="9">
        <f>(RIGHT(D1827,4))*1</f>
        <v>90</v>
      </c>
      <c r="V1827" s="9" t="str">
        <f>IFERROR(VLOOKUP(I1827,#REF!,2,0),"Sinalização")</f>
        <v>Sinalização</v>
      </c>
    </row>
    <row r="1828" spans="1:22" x14ac:dyDescent="0.25">
      <c r="A1828" s="3" t="s">
        <v>22</v>
      </c>
      <c r="B1828" s="4">
        <v>23303551</v>
      </c>
      <c r="C1828" s="5" t="s">
        <v>23</v>
      </c>
      <c r="D1828" s="6" t="s">
        <v>663</v>
      </c>
      <c r="E1828" s="6" t="s">
        <v>25</v>
      </c>
      <c r="F1828" s="11">
        <v>46146</v>
      </c>
      <c r="G1828" s="6" t="s">
        <v>1079</v>
      </c>
      <c r="H1828" s="7"/>
      <c r="I1828" s="7" t="s">
        <v>633</v>
      </c>
      <c r="J1828" s="7" t="s">
        <v>664</v>
      </c>
      <c r="K1828" s="7" t="s">
        <v>29</v>
      </c>
      <c r="L1828" s="3" t="str">
        <f>E1828&amp;D1828</f>
        <v>E.SP.IPAEE_MAN_CONF_C_I_MCH 110VCC GRS 55BR_0090</v>
      </c>
      <c r="M1828" s="3" t="str">
        <f>IFERROR(MID(D1828,SEARCH("S_I_",D1828,1),3),"")</f>
        <v/>
      </c>
      <c r="N1828" s="3" t="str">
        <f>IFERROR(MID(D1828,SEARCH("C_I_",D1828,1),3),"")</f>
        <v>C_I</v>
      </c>
      <c r="O1828" s="3" t="str">
        <f>IF(AND(M1828="",N1828=""),"Extra","")</f>
        <v/>
      </c>
      <c r="P1828" s="3" t="str">
        <f>IF(Q1828=0,"TERCEIRO","MRS")</f>
        <v>MRS</v>
      </c>
      <c r="Q1828" s="8" t="str">
        <f>IFERROR(VLOOKUP(L1828,#REF!,4,0),"0,00")</f>
        <v>0,00</v>
      </c>
      <c r="R1828" s="9" t="s">
        <v>42</v>
      </c>
      <c r="S1828" s="9">
        <f>COUNTIF(D1828,"*_SEG_*")</f>
        <v>0</v>
      </c>
      <c r="T1828" s="9">
        <f>COUNTIF(D1828,"*_MAN_*")</f>
        <v>1</v>
      </c>
      <c r="U1828" s="9">
        <f>(RIGHT(D1828,4))*1</f>
        <v>90</v>
      </c>
      <c r="V1828" s="9" t="str">
        <f>IFERROR(VLOOKUP(I1828,#REF!,2,0),"Sinalização")</f>
        <v>Sinalização</v>
      </c>
    </row>
    <row r="1829" spans="1:22" x14ac:dyDescent="0.25">
      <c r="A1829" s="3" t="s">
        <v>22</v>
      </c>
      <c r="B1829" s="4">
        <v>23303559</v>
      </c>
      <c r="C1829" s="5" t="s">
        <v>23</v>
      </c>
      <c r="D1829" s="6" t="s">
        <v>679</v>
      </c>
      <c r="E1829" s="6" t="s">
        <v>25</v>
      </c>
      <c r="F1829" s="11">
        <v>46146</v>
      </c>
      <c r="G1829" s="6" t="s">
        <v>1079</v>
      </c>
      <c r="H1829" s="7"/>
      <c r="I1829" s="7" t="s">
        <v>450</v>
      </c>
      <c r="J1829" s="7" t="s">
        <v>680</v>
      </c>
      <c r="K1829" s="7" t="s">
        <v>29</v>
      </c>
      <c r="L1829" s="3" t="str">
        <f>E1829&amp;D1829</f>
        <v>E.SP.IPAEE_INS_CONF_C_I_MCH 110VCC GRS 5C_0090</v>
      </c>
      <c r="M1829" s="3" t="str">
        <f>IFERROR(MID(D1829,SEARCH("S_I_",D1829,1),3),"")</f>
        <v/>
      </c>
      <c r="N1829" s="3" t="str">
        <f>IFERROR(MID(D1829,SEARCH("C_I_",D1829,1),3),"")</f>
        <v>C_I</v>
      </c>
      <c r="O1829" s="3" t="str">
        <f>IF(AND(M1829="",N1829=""),"Extra","")</f>
        <v/>
      </c>
      <c r="P1829" s="3" t="str">
        <f>IF(Q1829=0,"TERCEIRO","MRS")</f>
        <v>MRS</v>
      </c>
      <c r="Q1829" s="8" t="str">
        <f>IFERROR(VLOOKUP(L1829,#REF!,4,0),"0,00")</f>
        <v>0,00</v>
      </c>
      <c r="R1829" s="9" t="s">
        <v>42</v>
      </c>
      <c r="S1829" s="9">
        <f>COUNTIF(D1829,"*_SEG_*")</f>
        <v>0</v>
      </c>
      <c r="T1829" s="9">
        <f>COUNTIF(D1829,"*_MAN_*")</f>
        <v>0</v>
      </c>
      <c r="U1829" s="9">
        <f>(RIGHT(D1829,4))*1</f>
        <v>90</v>
      </c>
      <c r="V1829" s="9" t="str">
        <f>IFERROR(VLOOKUP(I1829,#REF!,2,0),"Sinalização")</f>
        <v>Sinalização</v>
      </c>
    </row>
    <row r="1830" spans="1:22" x14ac:dyDescent="0.25">
      <c r="A1830" s="3" t="s">
        <v>22</v>
      </c>
      <c r="B1830" s="4">
        <v>23303563</v>
      </c>
      <c r="C1830" s="5" t="s">
        <v>23</v>
      </c>
      <c r="D1830" s="6" t="s">
        <v>681</v>
      </c>
      <c r="E1830" s="6" t="s">
        <v>25</v>
      </c>
      <c r="F1830" s="11">
        <v>46146</v>
      </c>
      <c r="G1830" s="6" t="s">
        <v>1079</v>
      </c>
      <c r="H1830" s="7"/>
      <c r="I1830" s="7" t="s">
        <v>450</v>
      </c>
      <c r="J1830" s="7" t="s">
        <v>591</v>
      </c>
      <c r="K1830" s="7" t="s">
        <v>29</v>
      </c>
      <c r="L1830" s="3" t="str">
        <f>E1830&amp;D1830</f>
        <v>E.SP.IPAEE_INS_CONF_S_I_MCH 110VCC GRS 5C_0090</v>
      </c>
      <c r="M1830" s="3" t="str">
        <f>IFERROR(MID(D1830,SEARCH("S_I_",D1830,1),3),"")</f>
        <v>S_I</v>
      </c>
      <c r="N1830" s="3" t="str">
        <f>IFERROR(MID(D1830,SEARCH("C_I_",D1830,1),3),"")</f>
        <v/>
      </c>
      <c r="O1830" s="3" t="str">
        <f>IF(AND(M1830="",N1830=""),"Extra","")</f>
        <v/>
      </c>
      <c r="P1830" s="3" t="str">
        <f>IF(Q1830=0,"TERCEIRO","MRS")</f>
        <v>MRS</v>
      </c>
      <c r="Q1830" s="8" t="str">
        <f>IFERROR(VLOOKUP(L1830,#REF!,4,0),"0,00")</f>
        <v>0,00</v>
      </c>
      <c r="R1830" s="9" t="s">
        <v>42</v>
      </c>
      <c r="S1830" s="9">
        <f>COUNTIF(D1830,"*_SEG_*")</f>
        <v>0</v>
      </c>
      <c r="T1830" s="9">
        <f>COUNTIF(D1830,"*_MAN_*")</f>
        <v>0</v>
      </c>
      <c r="U1830" s="9">
        <f>(RIGHT(D1830,4))*1</f>
        <v>90</v>
      </c>
      <c r="V1830" s="9" t="str">
        <f>IFERROR(VLOOKUP(I1830,#REF!,2,0),"Sinalização")</f>
        <v>Sinalização</v>
      </c>
    </row>
    <row r="1831" spans="1:22" x14ac:dyDescent="0.25">
      <c r="A1831" s="3" t="s">
        <v>22</v>
      </c>
      <c r="B1831" s="4">
        <v>23303568</v>
      </c>
      <c r="C1831" s="5" t="s">
        <v>23</v>
      </c>
      <c r="D1831" s="6" t="s">
        <v>682</v>
      </c>
      <c r="E1831" s="6" t="s">
        <v>25</v>
      </c>
      <c r="F1831" s="11">
        <v>46146</v>
      </c>
      <c r="G1831" s="6" t="s">
        <v>1079</v>
      </c>
      <c r="H1831" s="7"/>
      <c r="I1831" s="7" t="s">
        <v>450</v>
      </c>
      <c r="J1831" s="7" t="s">
        <v>683</v>
      </c>
      <c r="K1831" s="7" t="s">
        <v>29</v>
      </c>
      <c r="L1831" s="3" t="str">
        <f>E1831&amp;D1831</f>
        <v>E.SP.IPAEE_MAN_CONF_C_I_MCH 110VCC GRS 5C_0090</v>
      </c>
      <c r="M1831" s="3" t="str">
        <f>IFERROR(MID(D1831,SEARCH("S_I_",D1831,1),3),"")</f>
        <v/>
      </c>
      <c r="N1831" s="3" t="str">
        <f>IFERROR(MID(D1831,SEARCH("C_I_",D1831,1),3),"")</f>
        <v>C_I</v>
      </c>
      <c r="O1831" s="3" t="str">
        <f>IF(AND(M1831="",N1831=""),"Extra","")</f>
        <v/>
      </c>
      <c r="P1831" s="3" t="str">
        <f>IF(Q1831=0,"TERCEIRO","MRS")</f>
        <v>MRS</v>
      </c>
      <c r="Q1831" s="8" t="str">
        <f>IFERROR(VLOOKUP(L1831,#REF!,4,0),"0,00")</f>
        <v>0,00</v>
      </c>
      <c r="R1831" s="9" t="s">
        <v>42</v>
      </c>
      <c r="S1831" s="9">
        <f>COUNTIF(D1831,"*_SEG_*")</f>
        <v>0</v>
      </c>
      <c r="T1831" s="9">
        <f>COUNTIF(D1831,"*_MAN_*")</f>
        <v>1</v>
      </c>
      <c r="U1831" s="9">
        <f>(RIGHT(D1831,4))*1</f>
        <v>90</v>
      </c>
      <c r="V1831" s="9" t="str">
        <f>IFERROR(VLOOKUP(I1831,#REF!,2,0),"Sinalização")</f>
        <v>Sinalização</v>
      </c>
    </row>
    <row r="1832" spans="1:22" x14ac:dyDescent="0.25">
      <c r="A1832" s="3" t="s">
        <v>22</v>
      </c>
      <c r="B1832" s="4">
        <v>23303571</v>
      </c>
      <c r="C1832" s="5" t="s">
        <v>23</v>
      </c>
      <c r="D1832" s="6" t="s">
        <v>679</v>
      </c>
      <c r="E1832" s="6" t="s">
        <v>25</v>
      </c>
      <c r="F1832" s="11">
        <v>46146</v>
      </c>
      <c r="G1832" s="6" t="s">
        <v>1079</v>
      </c>
      <c r="H1832" s="7"/>
      <c r="I1832" s="7" t="s">
        <v>449</v>
      </c>
      <c r="J1832" s="7" t="s">
        <v>680</v>
      </c>
      <c r="K1832" s="7" t="s">
        <v>29</v>
      </c>
      <c r="L1832" s="3" t="str">
        <f>E1832&amp;D1832</f>
        <v>E.SP.IPAEE_INS_CONF_C_I_MCH 110VCC GRS 5C_0090</v>
      </c>
      <c r="M1832" s="3" t="str">
        <f>IFERROR(MID(D1832,SEARCH("S_I_",D1832,1),3),"")</f>
        <v/>
      </c>
      <c r="N1832" s="3" t="str">
        <f>IFERROR(MID(D1832,SEARCH("C_I_",D1832,1),3),"")</f>
        <v>C_I</v>
      </c>
      <c r="O1832" s="3" t="str">
        <f>IF(AND(M1832="",N1832=""),"Extra","")</f>
        <v/>
      </c>
      <c r="P1832" s="3" t="str">
        <f>IF(Q1832=0,"TERCEIRO","MRS")</f>
        <v>MRS</v>
      </c>
      <c r="Q1832" s="8" t="str">
        <f>IFERROR(VLOOKUP(L1832,#REF!,4,0),"0,00")</f>
        <v>0,00</v>
      </c>
      <c r="R1832" s="9" t="s">
        <v>42</v>
      </c>
      <c r="S1832" s="9">
        <f>COUNTIF(D1832,"*_SEG_*")</f>
        <v>0</v>
      </c>
      <c r="T1832" s="9">
        <f>COUNTIF(D1832,"*_MAN_*")</f>
        <v>0</v>
      </c>
      <c r="U1832" s="9">
        <f>(RIGHT(D1832,4))*1</f>
        <v>90</v>
      </c>
      <c r="V1832" s="9" t="str">
        <f>IFERROR(VLOOKUP(I1832,#REF!,2,0),"Sinalização")</f>
        <v>Sinalização</v>
      </c>
    </row>
    <row r="1833" spans="1:22" x14ac:dyDescent="0.25">
      <c r="A1833" s="3" t="s">
        <v>22</v>
      </c>
      <c r="B1833" s="4">
        <v>23303575</v>
      </c>
      <c r="C1833" s="5" t="s">
        <v>23</v>
      </c>
      <c r="D1833" s="6" t="s">
        <v>681</v>
      </c>
      <c r="E1833" s="6" t="s">
        <v>25</v>
      </c>
      <c r="F1833" s="11">
        <v>46146</v>
      </c>
      <c r="G1833" s="6" t="s">
        <v>1079</v>
      </c>
      <c r="H1833" s="7"/>
      <c r="I1833" s="7" t="s">
        <v>449</v>
      </c>
      <c r="J1833" s="7" t="s">
        <v>591</v>
      </c>
      <c r="K1833" s="7" t="s">
        <v>29</v>
      </c>
      <c r="L1833" s="3" t="str">
        <f>E1833&amp;D1833</f>
        <v>E.SP.IPAEE_INS_CONF_S_I_MCH 110VCC GRS 5C_0090</v>
      </c>
      <c r="M1833" s="3" t="str">
        <f>IFERROR(MID(D1833,SEARCH("S_I_",D1833,1),3),"")</f>
        <v>S_I</v>
      </c>
      <c r="N1833" s="3" t="str">
        <f>IFERROR(MID(D1833,SEARCH("C_I_",D1833,1),3),"")</f>
        <v/>
      </c>
      <c r="O1833" s="3" t="str">
        <f>IF(AND(M1833="",N1833=""),"Extra","")</f>
        <v/>
      </c>
      <c r="P1833" s="3" t="str">
        <f>IF(Q1833=0,"TERCEIRO","MRS")</f>
        <v>MRS</v>
      </c>
      <c r="Q1833" s="8" t="str">
        <f>IFERROR(VLOOKUP(L1833,#REF!,4,0),"0,00")</f>
        <v>0,00</v>
      </c>
      <c r="R1833" s="9" t="s">
        <v>42</v>
      </c>
      <c r="S1833" s="9">
        <f>COUNTIF(D1833,"*_SEG_*")</f>
        <v>0</v>
      </c>
      <c r="T1833" s="9">
        <f>COUNTIF(D1833,"*_MAN_*")</f>
        <v>0</v>
      </c>
      <c r="U1833" s="9">
        <f>(RIGHT(D1833,4))*1</f>
        <v>90</v>
      </c>
      <c r="V1833" s="9" t="str">
        <f>IFERROR(VLOOKUP(I1833,#REF!,2,0),"Sinalização")</f>
        <v>Sinalização</v>
      </c>
    </row>
    <row r="1834" spans="1:22" x14ac:dyDescent="0.25">
      <c r="A1834" s="3" t="s">
        <v>22</v>
      </c>
      <c r="B1834" s="4">
        <v>23303580</v>
      </c>
      <c r="C1834" s="5" t="s">
        <v>23</v>
      </c>
      <c r="D1834" s="6" t="s">
        <v>682</v>
      </c>
      <c r="E1834" s="6" t="s">
        <v>25</v>
      </c>
      <c r="F1834" s="11">
        <v>46146</v>
      </c>
      <c r="G1834" s="6" t="s">
        <v>1079</v>
      </c>
      <c r="H1834" s="7"/>
      <c r="I1834" s="7" t="s">
        <v>449</v>
      </c>
      <c r="J1834" s="7" t="s">
        <v>683</v>
      </c>
      <c r="K1834" s="7" t="s">
        <v>29</v>
      </c>
      <c r="L1834" s="3" t="str">
        <f>E1834&amp;D1834</f>
        <v>E.SP.IPAEE_MAN_CONF_C_I_MCH 110VCC GRS 5C_0090</v>
      </c>
      <c r="M1834" s="3" t="str">
        <f>IFERROR(MID(D1834,SEARCH("S_I_",D1834,1),3),"")</f>
        <v/>
      </c>
      <c r="N1834" s="3" t="str">
        <f>IFERROR(MID(D1834,SEARCH("C_I_",D1834,1),3),"")</f>
        <v>C_I</v>
      </c>
      <c r="O1834" s="3" t="str">
        <f>IF(AND(M1834="",N1834=""),"Extra","")</f>
        <v/>
      </c>
      <c r="P1834" s="3" t="str">
        <f>IF(Q1834=0,"TERCEIRO","MRS")</f>
        <v>MRS</v>
      </c>
      <c r="Q1834" s="8" t="str">
        <f>IFERROR(VLOOKUP(L1834,#REF!,4,0),"0,00")</f>
        <v>0,00</v>
      </c>
      <c r="R1834" s="9" t="s">
        <v>42</v>
      </c>
      <c r="S1834" s="9">
        <f>COUNTIF(D1834,"*_SEG_*")</f>
        <v>0</v>
      </c>
      <c r="T1834" s="9">
        <f>COUNTIF(D1834,"*_MAN_*")</f>
        <v>1</v>
      </c>
      <c r="U1834" s="9">
        <f>(RIGHT(D1834,4))*1</f>
        <v>90</v>
      </c>
      <c r="V1834" s="9" t="str">
        <f>IFERROR(VLOOKUP(I1834,#REF!,2,0),"Sinalização")</f>
        <v>Sinalização</v>
      </c>
    </row>
    <row r="1835" spans="1:22" x14ac:dyDescent="0.25">
      <c r="A1835" s="3" t="s">
        <v>22</v>
      </c>
      <c r="B1835" s="4">
        <v>23303583</v>
      </c>
      <c r="C1835" s="5" t="s">
        <v>23</v>
      </c>
      <c r="D1835" s="6" t="s">
        <v>679</v>
      </c>
      <c r="E1835" s="6" t="s">
        <v>25</v>
      </c>
      <c r="F1835" s="11">
        <v>46146</v>
      </c>
      <c r="G1835" s="6" t="s">
        <v>1079</v>
      </c>
      <c r="H1835" s="7"/>
      <c r="I1835" s="7" t="s">
        <v>607</v>
      </c>
      <c r="J1835" s="7" t="s">
        <v>680</v>
      </c>
      <c r="K1835" s="7" t="s">
        <v>29</v>
      </c>
      <c r="L1835" s="3" t="str">
        <f>E1835&amp;D1835</f>
        <v>E.SP.IPAEE_INS_CONF_C_I_MCH 110VCC GRS 5C_0090</v>
      </c>
      <c r="M1835" s="3" t="str">
        <f>IFERROR(MID(D1835,SEARCH("S_I_",D1835,1),3),"")</f>
        <v/>
      </c>
      <c r="N1835" s="3" t="str">
        <f>IFERROR(MID(D1835,SEARCH("C_I_",D1835,1),3),"")</f>
        <v>C_I</v>
      </c>
      <c r="O1835" s="3" t="str">
        <f>IF(AND(M1835="",N1835=""),"Extra","")</f>
        <v/>
      </c>
      <c r="P1835" s="3" t="str">
        <f>IF(Q1835=0,"TERCEIRO","MRS")</f>
        <v>MRS</v>
      </c>
      <c r="Q1835" s="8" t="str">
        <f>IFERROR(VLOOKUP(L1835,#REF!,4,0),"0,00")</f>
        <v>0,00</v>
      </c>
      <c r="R1835" s="9" t="s">
        <v>42</v>
      </c>
      <c r="S1835" s="9">
        <f>COUNTIF(D1835,"*_SEG_*")</f>
        <v>0</v>
      </c>
      <c r="T1835" s="9">
        <f>COUNTIF(D1835,"*_MAN_*")</f>
        <v>0</v>
      </c>
      <c r="U1835" s="9">
        <f>(RIGHT(D1835,4))*1</f>
        <v>90</v>
      </c>
      <c r="V1835" s="9" t="str">
        <f>IFERROR(VLOOKUP(I1835,#REF!,2,0),"Sinalização")</f>
        <v>Sinalização</v>
      </c>
    </row>
    <row r="1836" spans="1:22" x14ac:dyDescent="0.25">
      <c r="A1836" s="3" t="s">
        <v>22</v>
      </c>
      <c r="B1836" s="4">
        <v>23303587</v>
      </c>
      <c r="C1836" s="5" t="s">
        <v>23</v>
      </c>
      <c r="D1836" s="6" t="s">
        <v>681</v>
      </c>
      <c r="E1836" s="6" t="s">
        <v>25</v>
      </c>
      <c r="F1836" s="11">
        <v>46146</v>
      </c>
      <c r="G1836" s="6" t="s">
        <v>1079</v>
      </c>
      <c r="H1836" s="7"/>
      <c r="I1836" s="7" t="s">
        <v>607</v>
      </c>
      <c r="J1836" s="7" t="s">
        <v>591</v>
      </c>
      <c r="K1836" s="7" t="s">
        <v>29</v>
      </c>
      <c r="L1836" s="3" t="str">
        <f>E1836&amp;D1836</f>
        <v>E.SP.IPAEE_INS_CONF_S_I_MCH 110VCC GRS 5C_0090</v>
      </c>
      <c r="M1836" s="3" t="str">
        <f>IFERROR(MID(D1836,SEARCH("S_I_",D1836,1),3),"")</f>
        <v>S_I</v>
      </c>
      <c r="N1836" s="3" t="str">
        <f>IFERROR(MID(D1836,SEARCH("C_I_",D1836,1),3),"")</f>
        <v/>
      </c>
      <c r="O1836" s="3" t="str">
        <f>IF(AND(M1836="",N1836=""),"Extra","")</f>
        <v/>
      </c>
      <c r="P1836" s="3" t="str">
        <f>IF(Q1836=0,"TERCEIRO","MRS")</f>
        <v>MRS</v>
      </c>
      <c r="Q1836" s="8" t="str">
        <f>IFERROR(VLOOKUP(L1836,#REF!,4,0),"0,00")</f>
        <v>0,00</v>
      </c>
      <c r="R1836" s="9" t="s">
        <v>42</v>
      </c>
      <c r="S1836" s="9">
        <f>COUNTIF(D1836,"*_SEG_*")</f>
        <v>0</v>
      </c>
      <c r="T1836" s="9">
        <f>COUNTIF(D1836,"*_MAN_*")</f>
        <v>0</v>
      </c>
      <c r="U1836" s="9">
        <f>(RIGHT(D1836,4))*1</f>
        <v>90</v>
      </c>
      <c r="V1836" s="9" t="str">
        <f>IFERROR(VLOOKUP(I1836,#REF!,2,0),"Sinalização")</f>
        <v>Sinalização</v>
      </c>
    </row>
    <row r="1837" spans="1:22" x14ac:dyDescent="0.25">
      <c r="A1837" s="3" t="s">
        <v>22</v>
      </c>
      <c r="B1837" s="4">
        <v>23303592</v>
      </c>
      <c r="C1837" s="5" t="s">
        <v>23</v>
      </c>
      <c r="D1837" s="6" t="s">
        <v>682</v>
      </c>
      <c r="E1837" s="6" t="s">
        <v>25</v>
      </c>
      <c r="F1837" s="11">
        <v>46146</v>
      </c>
      <c r="G1837" s="6" t="s">
        <v>1079</v>
      </c>
      <c r="H1837" s="7"/>
      <c r="I1837" s="7" t="s">
        <v>607</v>
      </c>
      <c r="J1837" s="7" t="s">
        <v>683</v>
      </c>
      <c r="K1837" s="7" t="s">
        <v>29</v>
      </c>
      <c r="L1837" s="3" t="str">
        <f>E1837&amp;D1837</f>
        <v>E.SP.IPAEE_MAN_CONF_C_I_MCH 110VCC GRS 5C_0090</v>
      </c>
      <c r="M1837" s="3" t="str">
        <f>IFERROR(MID(D1837,SEARCH("S_I_",D1837,1),3),"")</f>
        <v/>
      </c>
      <c r="N1837" s="3" t="str">
        <f>IFERROR(MID(D1837,SEARCH("C_I_",D1837,1),3),"")</f>
        <v>C_I</v>
      </c>
      <c r="O1837" s="3" t="str">
        <f>IF(AND(M1837="",N1837=""),"Extra","")</f>
        <v/>
      </c>
      <c r="P1837" s="3" t="str">
        <f>IF(Q1837=0,"TERCEIRO","MRS")</f>
        <v>MRS</v>
      </c>
      <c r="Q1837" s="8" t="str">
        <f>IFERROR(VLOOKUP(L1837,#REF!,4,0),"0,00")</f>
        <v>0,00</v>
      </c>
      <c r="R1837" s="9" t="s">
        <v>42</v>
      </c>
      <c r="S1837" s="9">
        <f>COUNTIF(D1837,"*_SEG_*")</f>
        <v>0</v>
      </c>
      <c r="T1837" s="9">
        <f>COUNTIF(D1837,"*_MAN_*")</f>
        <v>1</v>
      </c>
      <c r="U1837" s="9">
        <f>(RIGHT(D1837,4))*1</f>
        <v>90</v>
      </c>
      <c r="V1837" s="9" t="str">
        <f>IFERROR(VLOOKUP(I1837,#REF!,2,0),"Sinalização")</f>
        <v>Sinalização</v>
      </c>
    </row>
    <row r="1838" spans="1:22" x14ac:dyDescent="0.25">
      <c r="A1838" s="3" t="s">
        <v>22</v>
      </c>
      <c r="B1838" s="4">
        <v>23303595</v>
      </c>
      <c r="C1838" s="5" t="s">
        <v>23</v>
      </c>
      <c r="D1838" s="6" t="s">
        <v>679</v>
      </c>
      <c r="E1838" s="6" t="s">
        <v>25</v>
      </c>
      <c r="F1838" s="11">
        <v>46146</v>
      </c>
      <c r="G1838" s="6" t="s">
        <v>1079</v>
      </c>
      <c r="H1838" s="7"/>
      <c r="I1838" s="7" t="s">
        <v>40</v>
      </c>
      <c r="J1838" s="7" t="s">
        <v>680</v>
      </c>
      <c r="K1838" s="7" t="s">
        <v>29</v>
      </c>
      <c r="L1838" s="3" t="str">
        <f>E1838&amp;D1838</f>
        <v>E.SP.IPAEE_INS_CONF_C_I_MCH 110VCC GRS 5C_0090</v>
      </c>
      <c r="M1838" s="3" t="str">
        <f>IFERROR(MID(D1838,SEARCH("S_I_",D1838,1),3),"")</f>
        <v/>
      </c>
      <c r="N1838" s="3" t="str">
        <f>IFERROR(MID(D1838,SEARCH("C_I_",D1838,1),3),"")</f>
        <v>C_I</v>
      </c>
      <c r="O1838" s="3" t="str">
        <f>IF(AND(M1838="",N1838=""),"Extra","")</f>
        <v/>
      </c>
      <c r="P1838" s="3" t="str">
        <f>IF(Q1838=0,"TERCEIRO","MRS")</f>
        <v>MRS</v>
      </c>
      <c r="Q1838" s="8" t="str">
        <f>IFERROR(VLOOKUP(L1838,#REF!,4,0),"0,00")</f>
        <v>0,00</v>
      </c>
      <c r="R1838" s="9" t="s">
        <v>42</v>
      </c>
      <c r="S1838" s="9">
        <f>COUNTIF(D1838,"*_SEG_*")</f>
        <v>0</v>
      </c>
      <c r="T1838" s="9">
        <f>COUNTIF(D1838,"*_MAN_*")</f>
        <v>0</v>
      </c>
      <c r="U1838" s="9">
        <f>(RIGHT(D1838,4))*1</f>
        <v>90</v>
      </c>
      <c r="V1838" s="9" t="str">
        <f>IFERROR(VLOOKUP(I1838,#REF!,2,0),"Sinalização")</f>
        <v>Sinalização</v>
      </c>
    </row>
    <row r="1839" spans="1:22" x14ac:dyDescent="0.25">
      <c r="A1839" s="3" t="s">
        <v>22</v>
      </c>
      <c r="B1839" s="4">
        <v>23303604</v>
      </c>
      <c r="C1839" s="5" t="s">
        <v>23</v>
      </c>
      <c r="D1839" s="6" t="s">
        <v>682</v>
      </c>
      <c r="E1839" s="6" t="s">
        <v>25</v>
      </c>
      <c r="F1839" s="11">
        <v>46146</v>
      </c>
      <c r="G1839" s="6" t="s">
        <v>1079</v>
      </c>
      <c r="H1839" s="7"/>
      <c r="I1839" s="7" t="s">
        <v>40</v>
      </c>
      <c r="J1839" s="7" t="s">
        <v>683</v>
      </c>
      <c r="K1839" s="7" t="s">
        <v>29</v>
      </c>
      <c r="L1839" s="3" t="str">
        <f>E1839&amp;D1839</f>
        <v>E.SP.IPAEE_MAN_CONF_C_I_MCH 110VCC GRS 5C_0090</v>
      </c>
      <c r="M1839" s="3" t="str">
        <f>IFERROR(MID(D1839,SEARCH("S_I_",D1839,1),3),"")</f>
        <v/>
      </c>
      <c r="N1839" s="3" t="str">
        <f>IFERROR(MID(D1839,SEARCH("C_I_",D1839,1),3),"")</f>
        <v>C_I</v>
      </c>
      <c r="O1839" s="3" t="str">
        <f>IF(AND(M1839="",N1839=""),"Extra","")</f>
        <v/>
      </c>
      <c r="P1839" s="3" t="str">
        <f>IF(Q1839=0,"TERCEIRO","MRS")</f>
        <v>MRS</v>
      </c>
      <c r="Q1839" s="8" t="str">
        <f>IFERROR(VLOOKUP(L1839,#REF!,4,0),"0,00")</f>
        <v>0,00</v>
      </c>
      <c r="R1839" s="9" t="s">
        <v>42</v>
      </c>
      <c r="S1839" s="9">
        <f>COUNTIF(D1839,"*_SEG_*")</f>
        <v>0</v>
      </c>
      <c r="T1839" s="9">
        <f>COUNTIF(D1839,"*_MAN_*")</f>
        <v>1</v>
      </c>
      <c r="U1839" s="9">
        <f>(RIGHT(D1839,4))*1</f>
        <v>90</v>
      </c>
      <c r="V1839" s="9" t="str">
        <f>IFERROR(VLOOKUP(I1839,#REF!,2,0),"Sinalização")</f>
        <v>Sinalização</v>
      </c>
    </row>
    <row r="1840" spans="1:22" x14ac:dyDescent="0.25">
      <c r="A1840" s="3" t="s">
        <v>22</v>
      </c>
      <c r="B1840" s="4">
        <v>23303599</v>
      </c>
      <c r="C1840" s="5" t="s">
        <v>23</v>
      </c>
      <c r="D1840" s="6" t="s">
        <v>681</v>
      </c>
      <c r="E1840" s="6" t="s">
        <v>25</v>
      </c>
      <c r="F1840" s="11">
        <v>46146</v>
      </c>
      <c r="G1840" s="6" t="s">
        <v>1079</v>
      </c>
      <c r="H1840" s="7"/>
      <c r="I1840" s="7" t="s">
        <v>40</v>
      </c>
      <c r="J1840" s="7" t="s">
        <v>591</v>
      </c>
      <c r="K1840" s="7" t="s">
        <v>29</v>
      </c>
      <c r="L1840" s="3" t="str">
        <f>E1840&amp;D1840</f>
        <v>E.SP.IPAEE_INS_CONF_S_I_MCH 110VCC GRS 5C_0090</v>
      </c>
      <c r="M1840" s="3" t="str">
        <f>IFERROR(MID(D1840,SEARCH("S_I_",D1840,1),3),"")</f>
        <v>S_I</v>
      </c>
      <c r="N1840" s="3" t="str">
        <f>IFERROR(MID(D1840,SEARCH("C_I_",D1840,1),3),"")</f>
        <v/>
      </c>
      <c r="O1840" s="3" t="str">
        <f>IF(AND(M1840="",N1840=""),"Extra","")</f>
        <v/>
      </c>
      <c r="P1840" s="3" t="str">
        <f>IF(Q1840=0,"TERCEIRO","MRS")</f>
        <v>MRS</v>
      </c>
      <c r="Q1840" s="8" t="str">
        <f>IFERROR(VLOOKUP(L1840,#REF!,4,0),"0,00")</f>
        <v>0,00</v>
      </c>
      <c r="R1840" s="9" t="s">
        <v>42</v>
      </c>
      <c r="S1840" s="9">
        <f>COUNTIF(D1840,"*_SEG_*")</f>
        <v>0</v>
      </c>
      <c r="T1840" s="9">
        <f>COUNTIF(D1840,"*_MAN_*")</f>
        <v>0</v>
      </c>
      <c r="U1840" s="9">
        <f>(RIGHT(D1840,4))*1</f>
        <v>90</v>
      </c>
      <c r="V1840" s="9" t="str">
        <f>IFERROR(VLOOKUP(I1840,#REF!,2,0),"Sinalização")</f>
        <v>Sinalização</v>
      </c>
    </row>
    <row r="1841" spans="1:22" x14ac:dyDescent="0.25">
      <c r="A1841" s="3" t="s">
        <v>22</v>
      </c>
      <c r="B1841" s="4">
        <v>23514675</v>
      </c>
      <c r="C1841" s="5" t="s">
        <v>23</v>
      </c>
      <c r="D1841" s="6" t="s">
        <v>1015</v>
      </c>
      <c r="E1841" s="6" t="s">
        <v>25</v>
      </c>
      <c r="F1841" s="11">
        <v>46146</v>
      </c>
      <c r="G1841" s="6" t="s">
        <v>1079</v>
      </c>
      <c r="H1841" s="7"/>
      <c r="I1841" s="7" t="s">
        <v>1049</v>
      </c>
      <c r="J1841" s="7" t="s">
        <v>1016</v>
      </c>
      <c r="K1841" s="7" t="s">
        <v>29</v>
      </c>
      <c r="L1841" s="3" t="str">
        <f>E1841&amp;D1841</f>
        <v>E.SP.IPAEE_INS_CONF_S_I_IAS_0030</v>
      </c>
      <c r="M1841" s="3" t="str">
        <f>IFERROR(MID(D1841,SEARCH("S_I_",D1841,1),3),"")</f>
        <v>S_I</v>
      </c>
      <c r="N1841" s="3" t="str">
        <f>IFERROR(MID(D1841,SEARCH("C_I_",D1841,1),3),"")</f>
        <v/>
      </c>
      <c r="O1841" s="3" t="str">
        <f>IF(AND(M1841="",N1841=""),"Extra","")</f>
        <v/>
      </c>
      <c r="P1841" s="3" t="str">
        <f>IF(Q1841=0,"TERCEIRO","MRS")</f>
        <v>MRS</v>
      </c>
      <c r="Q1841" s="8" t="str">
        <f>IFERROR(VLOOKUP(L1841,#REF!,4,0),"0,00")</f>
        <v>0,00</v>
      </c>
      <c r="R1841" s="9" t="s">
        <v>57</v>
      </c>
      <c r="S1841" s="9">
        <f>COUNTIF(D1841,"*_SEG_*")</f>
        <v>0</v>
      </c>
      <c r="T1841" s="9">
        <f>COUNTIF(D1841,"*_MAN_*")</f>
        <v>0</v>
      </c>
      <c r="U1841" s="9">
        <f>(RIGHT(D1841,4))*1</f>
        <v>30</v>
      </c>
      <c r="V1841" s="9" t="str">
        <f>IFERROR(VLOOKUP(I1841,#REF!,2,0),"Sinalização")</f>
        <v>Sinalização</v>
      </c>
    </row>
    <row r="1842" spans="1:22" x14ac:dyDescent="0.25">
      <c r="A1842" s="3" t="s">
        <v>22</v>
      </c>
      <c r="B1842" s="4">
        <v>23514695</v>
      </c>
      <c r="C1842" s="5" t="s">
        <v>23</v>
      </c>
      <c r="D1842" s="6" t="s">
        <v>1015</v>
      </c>
      <c r="E1842" s="6" t="s">
        <v>25</v>
      </c>
      <c r="F1842" s="11">
        <v>46146</v>
      </c>
      <c r="G1842" s="6" t="s">
        <v>1079</v>
      </c>
      <c r="H1842" s="7"/>
      <c r="I1842" s="7" t="s">
        <v>1050</v>
      </c>
      <c r="J1842" s="7" t="s">
        <v>1016</v>
      </c>
      <c r="K1842" s="7" t="s">
        <v>29</v>
      </c>
      <c r="L1842" s="3" t="str">
        <f>E1842&amp;D1842</f>
        <v>E.SP.IPAEE_INS_CONF_S_I_IAS_0030</v>
      </c>
      <c r="M1842" s="3" t="str">
        <f>IFERROR(MID(D1842,SEARCH("S_I_",D1842,1),3),"")</f>
        <v>S_I</v>
      </c>
      <c r="N1842" s="3" t="str">
        <f>IFERROR(MID(D1842,SEARCH("C_I_",D1842,1),3),"")</f>
        <v/>
      </c>
      <c r="O1842" s="3" t="str">
        <f>IF(AND(M1842="",N1842=""),"Extra","")</f>
        <v/>
      </c>
      <c r="P1842" s="3" t="str">
        <f>IF(Q1842=0,"TERCEIRO","MRS")</f>
        <v>MRS</v>
      </c>
      <c r="Q1842" s="8" t="str">
        <f>IFERROR(VLOOKUP(L1842,#REF!,4,0),"0,00")</f>
        <v>0,00</v>
      </c>
      <c r="R1842" s="9" t="s">
        <v>57</v>
      </c>
      <c r="S1842" s="9">
        <f>COUNTIF(D1842,"*_SEG_*")</f>
        <v>0</v>
      </c>
      <c r="T1842" s="9">
        <f>COUNTIF(D1842,"*_MAN_*")</f>
        <v>0</v>
      </c>
      <c r="U1842" s="9">
        <f>(RIGHT(D1842,4))*1</f>
        <v>30</v>
      </c>
      <c r="V1842" s="9" t="str">
        <f>IFERROR(VLOOKUP(I1842,#REF!,2,0),"Sinalização")</f>
        <v>Sinalização</v>
      </c>
    </row>
    <row r="1843" spans="1:22" x14ac:dyDescent="0.25">
      <c r="A1843" s="3" t="s">
        <v>22</v>
      </c>
      <c r="B1843" s="4">
        <v>23514697</v>
      </c>
      <c r="C1843" s="5" t="s">
        <v>23</v>
      </c>
      <c r="D1843" s="6" t="s">
        <v>1015</v>
      </c>
      <c r="E1843" s="6" t="s">
        <v>25</v>
      </c>
      <c r="F1843" s="11">
        <v>46146</v>
      </c>
      <c r="G1843" s="6" t="s">
        <v>1079</v>
      </c>
      <c r="H1843" s="7"/>
      <c r="I1843" s="7" t="s">
        <v>1051</v>
      </c>
      <c r="J1843" s="7" t="s">
        <v>1016</v>
      </c>
      <c r="K1843" s="7" t="s">
        <v>29</v>
      </c>
      <c r="L1843" s="3" t="str">
        <f>E1843&amp;D1843</f>
        <v>E.SP.IPAEE_INS_CONF_S_I_IAS_0030</v>
      </c>
      <c r="M1843" s="3" t="str">
        <f>IFERROR(MID(D1843,SEARCH("S_I_",D1843,1),3),"")</f>
        <v>S_I</v>
      </c>
      <c r="N1843" s="3" t="str">
        <f>IFERROR(MID(D1843,SEARCH("C_I_",D1843,1),3),"")</f>
        <v/>
      </c>
      <c r="O1843" s="3" t="str">
        <f>IF(AND(M1843="",N1843=""),"Extra","")</f>
        <v/>
      </c>
      <c r="P1843" s="3" t="str">
        <f>IF(Q1843=0,"TERCEIRO","MRS")</f>
        <v>MRS</v>
      </c>
      <c r="Q1843" s="8" t="str">
        <f>IFERROR(VLOOKUP(L1843,#REF!,4,0),"0,00")</f>
        <v>0,00</v>
      </c>
      <c r="R1843" s="9" t="s">
        <v>57</v>
      </c>
      <c r="S1843" s="9">
        <f>COUNTIF(D1843,"*_SEG_*")</f>
        <v>0</v>
      </c>
      <c r="T1843" s="9">
        <f>COUNTIF(D1843,"*_MAN_*")</f>
        <v>0</v>
      </c>
      <c r="U1843" s="9">
        <f>(RIGHT(D1843,4))*1</f>
        <v>30</v>
      </c>
      <c r="V1843" s="9" t="str">
        <f>IFERROR(VLOOKUP(I1843,#REF!,2,0),"Sinalização")</f>
        <v>Sinalização</v>
      </c>
    </row>
    <row r="1844" spans="1:22" x14ac:dyDescent="0.25">
      <c r="A1844" s="3" t="s">
        <v>22</v>
      </c>
      <c r="B1844" s="4">
        <v>23457350</v>
      </c>
      <c r="C1844" s="5" t="s">
        <v>23</v>
      </c>
      <c r="D1844" s="6" t="s">
        <v>848</v>
      </c>
      <c r="E1844" s="6" t="s">
        <v>25</v>
      </c>
      <c r="F1844" s="11">
        <v>46144</v>
      </c>
      <c r="G1844" s="6" t="s">
        <v>1079</v>
      </c>
      <c r="H1844" s="7"/>
      <c r="I1844" s="7" t="s">
        <v>849</v>
      </c>
      <c r="J1844" s="7" t="s">
        <v>850</v>
      </c>
      <c r="K1844" s="7" t="s">
        <v>29</v>
      </c>
      <c r="L1844" s="3" t="str">
        <f>E1844&amp;D1844</f>
        <v>E.SP.IPAEE_INS_CONF_S_I_GRUPO MOTOR GERADOR_0030</v>
      </c>
      <c r="M1844" s="3" t="str">
        <f>IFERROR(MID(D1844,SEARCH("S_I_",D1844,1),3),"")</f>
        <v>S_I</v>
      </c>
      <c r="N1844" s="3" t="str">
        <f>IFERROR(MID(D1844,SEARCH("C_I_",D1844,1),3),"")</f>
        <v/>
      </c>
      <c r="O1844" s="3" t="str">
        <f>IF(AND(M1844="",N1844=""),"Extra","")</f>
        <v/>
      </c>
      <c r="P1844" s="3" t="str">
        <f>IF(Q1844=0,"TERCEIRO","MRS")</f>
        <v>MRS</v>
      </c>
      <c r="Q1844" s="8" t="str">
        <f>IFERROR(VLOOKUP(L1844,#REF!,4,0),"0,00")</f>
        <v>0,00</v>
      </c>
      <c r="R1844" s="9" t="s">
        <v>42</v>
      </c>
      <c r="S1844" s="9">
        <f>COUNTIF(D1844,"*_SEG_*")</f>
        <v>0</v>
      </c>
      <c r="T1844" s="9">
        <f>COUNTIF(D1844,"*_MAN_*")</f>
        <v>0</v>
      </c>
      <c r="U1844" s="9">
        <f>(RIGHT(D1844,4))*1</f>
        <v>30</v>
      </c>
      <c r="V1844" s="9" t="str">
        <f>IFERROR(VLOOKUP(I1844,#REF!,2,0),"Sinalização")</f>
        <v>Sinalização</v>
      </c>
    </row>
    <row r="1845" spans="1:22" x14ac:dyDescent="0.25">
      <c r="A1845" s="3" t="s">
        <v>22</v>
      </c>
      <c r="B1845" s="4">
        <v>20272947</v>
      </c>
      <c r="C1845" s="5" t="s">
        <v>23</v>
      </c>
      <c r="D1845" s="6" t="s">
        <v>24</v>
      </c>
      <c r="E1845" s="6" t="s">
        <v>25</v>
      </c>
      <c r="F1845" s="11">
        <v>46143</v>
      </c>
      <c r="G1845" s="6" t="s">
        <v>1079</v>
      </c>
      <c r="H1845" s="7"/>
      <c r="I1845" s="7" t="s">
        <v>27</v>
      </c>
      <c r="J1845" s="7" t="s">
        <v>28</v>
      </c>
      <c r="K1845" s="7" t="s">
        <v>29</v>
      </c>
      <c r="L1845" s="3" t="str">
        <f>E1845&amp;D1845</f>
        <v>E.SP.IPAEE_INS_SEG_C_I_MAQ CHAVE MOLA_1800</v>
      </c>
      <c r="M1845" s="3" t="str">
        <f>IFERROR(MID(D1845,SEARCH("S_I_",D1845,1),3),"")</f>
        <v/>
      </c>
      <c r="N1845" s="3" t="str">
        <f>IFERROR(MID(D1845,SEARCH("C_I_",D1845,1),3),"")</f>
        <v>C_I</v>
      </c>
      <c r="O1845" s="3" t="str">
        <f>IF(AND(M1845="",N1845=""),"Extra","")</f>
        <v/>
      </c>
      <c r="P1845" s="3" t="str">
        <f>IF(Q1845=0,"TERCEIRO","MRS")</f>
        <v>MRS</v>
      </c>
      <c r="Q1845" s="8" t="str">
        <f>IFERROR(VLOOKUP(L1845,#REF!,4,0),"0,00")</f>
        <v>0,00</v>
      </c>
      <c r="R1845" s="9" t="s">
        <v>30</v>
      </c>
      <c r="S1845" s="9">
        <f>COUNTIF(D1845,"*_SEG_*")</f>
        <v>1</v>
      </c>
      <c r="T1845" s="9">
        <f>COUNTIF(D1845,"*_MAN_*")</f>
        <v>0</v>
      </c>
      <c r="U1845" s="9">
        <f>(RIGHT(D1845,4))*1</f>
        <v>1800</v>
      </c>
      <c r="V1845" s="9" t="str">
        <f>IFERROR(VLOOKUP(I1845,#REF!,2,0),"Sinalização")</f>
        <v>Sinalização</v>
      </c>
    </row>
    <row r="1846" spans="1:22" x14ac:dyDescent="0.25">
      <c r="A1846" s="3" t="s">
        <v>22</v>
      </c>
      <c r="B1846" s="4">
        <v>20277436</v>
      </c>
      <c r="C1846" s="5" t="s">
        <v>23</v>
      </c>
      <c r="D1846" s="6" t="s">
        <v>31</v>
      </c>
      <c r="E1846" s="6" t="s">
        <v>25</v>
      </c>
      <c r="F1846" s="11">
        <v>46143</v>
      </c>
      <c r="G1846" s="6" t="s">
        <v>1079</v>
      </c>
      <c r="H1846" s="7"/>
      <c r="I1846" s="7" t="s">
        <v>33</v>
      </c>
      <c r="J1846" s="7" t="s">
        <v>34</v>
      </c>
      <c r="K1846" s="7" t="s">
        <v>29</v>
      </c>
      <c r="L1846" s="3" t="str">
        <f>E1846&amp;D1846</f>
        <v>E.SP.IPAEE_INS_SEG_C_I_CABO BL/INT SUBTER_1800</v>
      </c>
      <c r="M1846" s="3" t="str">
        <f>IFERROR(MID(D1846,SEARCH("S_I_",D1846,1),3),"")</f>
        <v/>
      </c>
      <c r="N1846" s="3" t="str">
        <f>IFERROR(MID(D1846,SEARCH("C_I_",D1846,1),3),"")</f>
        <v>C_I</v>
      </c>
      <c r="O1846" s="3" t="str">
        <f>IF(AND(M1846="",N1846=""),"Extra","")</f>
        <v/>
      </c>
      <c r="P1846" s="3" t="str">
        <f>IF(Q1846=0,"TERCEIRO","MRS")</f>
        <v>MRS</v>
      </c>
      <c r="Q1846" s="8" t="str">
        <f>IFERROR(VLOOKUP(L1846,#REF!,4,0),"0,00")</f>
        <v>0,00</v>
      </c>
      <c r="R1846" s="9" t="s">
        <v>30</v>
      </c>
      <c r="S1846" s="9">
        <f>COUNTIF(D1846,"*_SEG_*")</f>
        <v>1</v>
      </c>
      <c r="T1846" s="9">
        <f>COUNTIF(D1846,"*_MAN_*")</f>
        <v>0</v>
      </c>
      <c r="U1846" s="9">
        <f>(RIGHT(D1846,4))*1</f>
        <v>1800</v>
      </c>
      <c r="V1846" s="9" t="str">
        <f>IFERROR(VLOOKUP(I1846,#REF!,2,0),"Sinalização")</f>
        <v>Sinalização</v>
      </c>
    </row>
    <row r="1847" spans="1:22" x14ac:dyDescent="0.25">
      <c r="A1847" s="3" t="s">
        <v>22</v>
      </c>
      <c r="B1847" s="4">
        <v>20288814</v>
      </c>
      <c r="C1847" s="5" t="s">
        <v>23</v>
      </c>
      <c r="D1847" s="6" t="s">
        <v>37</v>
      </c>
      <c r="E1847" s="6" t="s">
        <v>25</v>
      </c>
      <c r="F1847" s="11">
        <v>46143</v>
      </c>
      <c r="G1847" s="6" t="s">
        <v>1079</v>
      </c>
      <c r="H1847" s="7"/>
      <c r="I1847" s="7" t="s">
        <v>38</v>
      </c>
      <c r="J1847" s="7" t="s">
        <v>34</v>
      </c>
      <c r="K1847" s="7" t="s">
        <v>29</v>
      </c>
      <c r="L1847" s="3" t="str">
        <f>E1847&amp;D1847</f>
        <v>E.SP.IPAEE_INS_SEG_C_I_SINAL L MULTI AUT_1800</v>
      </c>
      <c r="M1847" s="3" t="str">
        <f>IFERROR(MID(D1847,SEARCH("S_I_",D1847,1),3),"")</f>
        <v/>
      </c>
      <c r="N1847" s="3" t="str">
        <f>IFERROR(MID(D1847,SEARCH("C_I_",D1847,1),3),"")</f>
        <v>C_I</v>
      </c>
      <c r="O1847" s="3" t="str">
        <f>IF(AND(M1847="",N1847=""),"Extra","")</f>
        <v/>
      </c>
      <c r="P1847" s="3" t="str">
        <f>IF(Q1847=0,"TERCEIRO","MRS")</f>
        <v>MRS</v>
      </c>
      <c r="Q1847" s="8" t="str">
        <f>IFERROR(VLOOKUP(L1847,#REF!,4,0),"0,00")</f>
        <v>0,00</v>
      </c>
      <c r="R1847" s="9" t="s">
        <v>30</v>
      </c>
      <c r="S1847" s="9">
        <f>COUNTIF(D1847,"*_SEG_*")</f>
        <v>1</v>
      </c>
      <c r="T1847" s="9">
        <f>COUNTIF(D1847,"*_MAN_*")</f>
        <v>0</v>
      </c>
      <c r="U1847" s="9">
        <f>(RIGHT(D1847,4))*1</f>
        <v>1800</v>
      </c>
      <c r="V1847" s="9" t="str">
        <f>IFERROR(VLOOKUP(I1847,#REF!,2,0),"Sinalização")</f>
        <v>Sinalização</v>
      </c>
    </row>
    <row r="1848" spans="1:22" x14ac:dyDescent="0.25">
      <c r="A1848" s="3" t="s">
        <v>22</v>
      </c>
      <c r="B1848" s="4">
        <v>23451691</v>
      </c>
      <c r="C1848" s="5" t="s">
        <v>23</v>
      </c>
      <c r="D1848" s="6" t="s">
        <v>804</v>
      </c>
      <c r="E1848" s="6" t="s">
        <v>25</v>
      </c>
      <c r="F1848" s="11">
        <v>46143</v>
      </c>
      <c r="G1848" s="6" t="s">
        <v>1079</v>
      </c>
      <c r="H1848" s="7"/>
      <c r="I1848" s="7" t="s">
        <v>554</v>
      </c>
      <c r="J1848" s="7" t="s">
        <v>805</v>
      </c>
      <c r="K1848" s="7" t="s">
        <v>29</v>
      </c>
      <c r="L1848" s="3" t="str">
        <f>E1848&amp;D1848</f>
        <v>E.SP.IPAEE_INS_CONF_S_I_MAQ CHAVE MOLA_0030</v>
      </c>
      <c r="M1848" s="3" t="str">
        <f>IFERROR(MID(D1848,SEARCH("S_I_",D1848,1),3),"")</f>
        <v>S_I</v>
      </c>
      <c r="N1848" s="3" t="str">
        <f>IFERROR(MID(D1848,SEARCH("C_I_",D1848,1),3),"")</f>
        <v/>
      </c>
      <c r="O1848" s="3" t="str">
        <f>IF(AND(M1848="",N1848=""),"Extra","")</f>
        <v/>
      </c>
      <c r="P1848" s="3" t="str">
        <f>IF(Q1848=0,"TERCEIRO","MRS")</f>
        <v>MRS</v>
      </c>
      <c r="Q1848" s="8" t="str">
        <f>IFERROR(VLOOKUP(L1848,#REF!,4,0),"0,00")</f>
        <v>0,00</v>
      </c>
      <c r="R1848" s="9" t="s">
        <v>42</v>
      </c>
      <c r="S1848" s="9">
        <f>COUNTIF(D1848,"*_SEG_*")</f>
        <v>0</v>
      </c>
      <c r="T1848" s="9">
        <f>COUNTIF(D1848,"*_MAN_*")</f>
        <v>0</v>
      </c>
      <c r="U1848" s="9">
        <f>(RIGHT(D1848,4))*1</f>
        <v>30</v>
      </c>
      <c r="V1848" s="9" t="str">
        <f>IFERROR(VLOOKUP(I1848,#REF!,2,0),"Sinalização")</f>
        <v>Sinalização</v>
      </c>
    </row>
    <row r="1849" spans="1:22" x14ac:dyDescent="0.25">
      <c r="A1849" s="3" t="s">
        <v>22</v>
      </c>
      <c r="B1849" s="4">
        <v>23451763</v>
      </c>
      <c r="C1849" s="5" t="s">
        <v>23</v>
      </c>
      <c r="D1849" s="6" t="s">
        <v>806</v>
      </c>
      <c r="E1849" s="6" t="s">
        <v>25</v>
      </c>
      <c r="F1849" s="11">
        <v>46143</v>
      </c>
      <c r="G1849" s="6" t="s">
        <v>1079</v>
      </c>
      <c r="H1849" s="7"/>
      <c r="I1849" s="7" t="s">
        <v>554</v>
      </c>
      <c r="J1849" s="7" t="s">
        <v>807</v>
      </c>
      <c r="K1849" s="7" t="s">
        <v>29</v>
      </c>
      <c r="L1849" s="3" t="str">
        <f>E1849&amp;D1849</f>
        <v>E.SP.IPAEE_INS_SEG_C_I_MAQ CHAVE MOLA_0030</v>
      </c>
      <c r="M1849" s="3" t="str">
        <f>IFERROR(MID(D1849,SEARCH("S_I_",D1849,1),3),"")</f>
        <v/>
      </c>
      <c r="N1849" s="3" t="str">
        <f>IFERROR(MID(D1849,SEARCH("C_I_",D1849,1),3),"")</f>
        <v>C_I</v>
      </c>
      <c r="O1849" s="3" t="str">
        <f>IF(AND(M1849="",N1849=""),"Extra","")</f>
        <v/>
      </c>
      <c r="P1849" s="3" t="str">
        <f>IF(Q1849=0,"TERCEIRO","MRS")</f>
        <v>MRS</v>
      </c>
      <c r="Q1849" s="8" t="str">
        <f>IFERROR(VLOOKUP(L1849,#REF!,4,0),"0,00")</f>
        <v>0,00</v>
      </c>
      <c r="R1849" s="9" t="s">
        <v>30</v>
      </c>
      <c r="S1849" s="9">
        <f>COUNTIF(D1849,"*_SEG_*")</f>
        <v>1</v>
      </c>
      <c r="T1849" s="9">
        <f>COUNTIF(D1849,"*_MAN_*")</f>
        <v>0</v>
      </c>
      <c r="U1849" s="9">
        <f>(RIGHT(D1849,4))*1</f>
        <v>30</v>
      </c>
      <c r="V1849" s="9" t="str">
        <f>IFERROR(VLOOKUP(I1849,#REF!,2,0),"Sinalização")</f>
        <v>Sinalização</v>
      </c>
    </row>
    <row r="1850" spans="1:22" x14ac:dyDescent="0.25">
      <c r="A1850" s="3" t="s">
        <v>22</v>
      </c>
      <c r="B1850" s="4">
        <v>23451894</v>
      </c>
      <c r="C1850" s="5" t="s">
        <v>23</v>
      </c>
      <c r="D1850" s="6" t="s">
        <v>808</v>
      </c>
      <c r="E1850" s="6" t="s">
        <v>25</v>
      </c>
      <c r="F1850" s="11">
        <v>46143</v>
      </c>
      <c r="G1850" s="6" t="s">
        <v>1079</v>
      </c>
      <c r="H1850" s="7"/>
      <c r="I1850" s="7" t="s">
        <v>809</v>
      </c>
      <c r="J1850" s="7" t="s">
        <v>810</v>
      </c>
      <c r="K1850" s="7" t="s">
        <v>29</v>
      </c>
      <c r="L1850" s="3" t="str">
        <f>E1850&amp;D1850</f>
        <v>E.SP.IPAEE_MAN_CONF_C_I_MAQ CHAVE M2/M3_0030</v>
      </c>
      <c r="M1850" s="3" t="str">
        <f>IFERROR(MID(D1850,SEARCH("S_I_",D1850,1),3),"")</f>
        <v/>
      </c>
      <c r="N1850" s="3" t="str">
        <f>IFERROR(MID(D1850,SEARCH("C_I_",D1850,1),3),"")</f>
        <v>C_I</v>
      </c>
      <c r="O1850" s="3" t="str">
        <f>IF(AND(M1850="",N1850=""),"Extra","")</f>
        <v/>
      </c>
      <c r="P1850" s="3" t="str">
        <f>IF(Q1850=0,"TERCEIRO","MRS")</f>
        <v>MRS</v>
      </c>
      <c r="Q1850" s="8" t="str">
        <f>IFERROR(VLOOKUP(L1850,#REF!,4,0),"0,00")</f>
        <v>0,00</v>
      </c>
      <c r="R1850" s="9" t="s">
        <v>42</v>
      </c>
      <c r="S1850" s="9">
        <f>COUNTIF(D1850,"*_SEG_*")</f>
        <v>0</v>
      </c>
      <c r="T1850" s="9">
        <f>COUNTIF(D1850,"*_MAN_*")</f>
        <v>1</v>
      </c>
      <c r="U1850" s="9">
        <f>(RIGHT(D1850,4))*1</f>
        <v>30</v>
      </c>
      <c r="V1850" s="9" t="str">
        <f>IFERROR(VLOOKUP(I1850,#REF!,2,0),"Sinalização")</f>
        <v>Sinalização</v>
      </c>
    </row>
    <row r="1851" spans="1:22" x14ac:dyDescent="0.25">
      <c r="A1851" s="3" t="s">
        <v>22</v>
      </c>
      <c r="B1851" s="4">
        <v>23451895</v>
      </c>
      <c r="C1851" s="5" t="s">
        <v>23</v>
      </c>
      <c r="D1851" s="6" t="s">
        <v>808</v>
      </c>
      <c r="E1851" s="6" t="s">
        <v>25</v>
      </c>
      <c r="F1851" s="11">
        <v>46143</v>
      </c>
      <c r="G1851" s="6" t="s">
        <v>1079</v>
      </c>
      <c r="H1851" s="7"/>
      <c r="I1851" s="7" t="s">
        <v>811</v>
      </c>
      <c r="J1851" s="7" t="s">
        <v>810</v>
      </c>
      <c r="K1851" s="7" t="s">
        <v>29</v>
      </c>
      <c r="L1851" s="3" t="str">
        <f>E1851&amp;D1851</f>
        <v>E.SP.IPAEE_MAN_CONF_C_I_MAQ CHAVE M2/M3_0030</v>
      </c>
      <c r="M1851" s="3" t="str">
        <f>IFERROR(MID(D1851,SEARCH("S_I_",D1851,1),3),"")</f>
        <v/>
      </c>
      <c r="N1851" s="3" t="str">
        <f>IFERROR(MID(D1851,SEARCH("C_I_",D1851,1),3),"")</f>
        <v>C_I</v>
      </c>
      <c r="O1851" s="3" t="str">
        <f>IF(AND(M1851="",N1851=""),"Extra","")</f>
        <v/>
      </c>
      <c r="P1851" s="3" t="str">
        <f>IF(Q1851=0,"TERCEIRO","MRS")</f>
        <v>MRS</v>
      </c>
      <c r="Q1851" s="8" t="str">
        <f>IFERROR(VLOOKUP(L1851,#REF!,4,0),"0,00")</f>
        <v>0,00</v>
      </c>
      <c r="R1851" s="9" t="s">
        <v>42</v>
      </c>
      <c r="S1851" s="9">
        <f>COUNTIF(D1851,"*_SEG_*")</f>
        <v>0</v>
      </c>
      <c r="T1851" s="9">
        <f>COUNTIF(D1851,"*_MAN_*")</f>
        <v>1</v>
      </c>
      <c r="U1851" s="9">
        <f>(RIGHT(D1851,4))*1</f>
        <v>30</v>
      </c>
      <c r="V1851" s="9" t="str">
        <f>IFERROR(VLOOKUP(I1851,#REF!,2,0),"Sinalização")</f>
        <v>Sinalização</v>
      </c>
    </row>
    <row r="1852" spans="1:22" x14ac:dyDescent="0.25">
      <c r="A1852" s="3" t="s">
        <v>22</v>
      </c>
      <c r="B1852" s="4">
        <v>23451897</v>
      </c>
      <c r="C1852" s="5" t="s">
        <v>23</v>
      </c>
      <c r="D1852" s="6" t="s">
        <v>812</v>
      </c>
      <c r="E1852" s="6" t="s">
        <v>25</v>
      </c>
      <c r="F1852" s="11">
        <v>46143</v>
      </c>
      <c r="G1852" s="6" t="s">
        <v>1079</v>
      </c>
      <c r="H1852" s="7"/>
      <c r="I1852" s="7" t="s">
        <v>554</v>
      </c>
      <c r="J1852" s="7" t="s">
        <v>813</v>
      </c>
      <c r="K1852" s="7" t="s">
        <v>29</v>
      </c>
      <c r="L1852" s="3" t="str">
        <f>E1852&amp;D1852</f>
        <v>E.SP.IPAEE_INS_SEG_S_I_MAQ CHAVE MOLA_0030</v>
      </c>
      <c r="M1852" s="3" t="str">
        <f>IFERROR(MID(D1852,SEARCH("S_I_",D1852,1),3),"")</f>
        <v>S_I</v>
      </c>
      <c r="N1852" s="3" t="str">
        <f>IFERROR(MID(D1852,SEARCH("C_I_",D1852,1),3),"")</f>
        <v/>
      </c>
      <c r="O1852" s="3" t="str">
        <f>IF(AND(M1852="",N1852=""),"Extra","")</f>
        <v/>
      </c>
      <c r="P1852" s="3" t="str">
        <f>IF(Q1852=0,"TERCEIRO","MRS")</f>
        <v>MRS</v>
      </c>
      <c r="Q1852" s="8" t="str">
        <f>IFERROR(VLOOKUP(L1852,#REF!,4,0),"0,00")</f>
        <v>0,00</v>
      </c>
      <c r="R1852" s="9" t="s">
        <v>30</v>
      </c>
      <c r="S1852" s="9">
        <f>COUNTIF(D1852,"*_SEG_*")</f>
        <v>1</v>
      </c>
      <c r="T1852" s="9">
        <f>COUNTIF(D1852,"*_MAN_*")</f>
        <v>0</v>
      </c>
      <c r="U1852" s="9">
        <f>(RIGHT(D1852,4))*1</f>
        <v>30</v>
      </c>
      <c r="V1852" s="9" t="str">
        <f>IFERROR(VLOOKUP(I1852,#REF!,2,0),"Sinalização")</f>
        <v>Sinalização</v>
      </c>
    </row>
    <row r="1853" spans="1:22" x14ac:dyDescent="0.25">
      <c r="A1853" s="3" t="s">
        <v>22</v>
      </c>
      <c r="B1853" s="4">
        <v>23452183</v>
      </c>
      <c r="C1853" s="5" t="s">
        <v>23</v>
      </c>
      <c r="D1853" s="6" t="s">
        <v>814</v>
      </c>
      <c r="E1853" s="6" t="s">
        <v>25</v>
      </c>
      <c r="F1853" s="11">
        <v>46143</v>
      </c>
      <c r="G1853" s="6" t="s">
        <v>1079</v>
      </c>
      <c r="H1853" s="7"/>
      <c r="I1853" s="7" t="s">
        <v>815</v>
      </c>
      <c r="J1853" s="7" t="s">
        <v>816</v>
      </c>
      <c r="K1853" s="7" t="s">
        <v>29</v>
      </c>
      <c r="L1853" s="3" t="str">
        <f>E1853&amp;D1853</f>
        <v>E.SP.IPAEE_INS_SEG_C_I_CIRCUITO VIA CA_0030</v>
      </c>
      <c r="M1853" s="3" t="str">
        <f>IFERROR(MID(D1853,SEARCH("S_I_",D1853,1),3),"")</f>
        <v/>
      </c>
      <c r="N1853" s="3" t="str">
        <f>IFERROR(MID(D1853,SEARCH("C_I_",D1853,1),3),"")</f>
        <v>C_I</v>
      </c>
      <c r="O1853" s="3" t="str">
        <f>IF(AND(M1853="",N1853=""),"Extra","")</f>
        <v/>
      </c>
      <c r="P1853" s="3" t="str">
        <f>IF(Q1853=0,"TERCEIRO","MRS")</f>
        <v>MRS</v>
      </c>
      <c r="Q1853" s="8" t="str">
        <f>IFERROR(VLOOKUP(L1853,#REF!,4,0),"0,00")</f>
        <v>0,00</v>
      </c>
      <c r="R1853" s="9" t="s">
        <v>30</v>
      </c>
      <c r="S1853" s="9">
        <f>COUNTIF(D1853,"*_SEG_*")</f>
        <v>1</v>
      </c>
      <c r="T1853" s="9">
        <f>COUNTIF(D1853,"*_MAN_*")</f>
        <v>0</v>
      </c>
      <c r="U1853" s="9">
        <f>(RIGHT(D1853,4))*1</f>
        <v>30</v>
      </c>
      <c r="V1853" s="9" t="str">
        <f>IFERROR(VLOOKUP(I1853,#REF!,2,0),"Sinalização")</f>
        <v>Sinalização</v>
      </c>
    </row>
    <row r="1854" spans="1:22" x14ac:dyDescent="0.25">
      <c r="A1854" s="3" t="s">
        <v>22</v>
      </c>
      <c r="B1854" s="4">
        <v>23452184</v>
      </c>
      <c r="C1854" s="5" t="s">
        <v>23</v>
      </c>
      <c r="D1854" s="6" t="s">
        <v>814</v>
      </c>
      <c r="E1854" s="6" t="s">
        <v>25</v>
      </c>
      <c r="F1854" s="11">
        <v>46143</v>
      </c>
      <c r="G1854" s="6" t="s">
        <v>1079</v>
      </c>
      <c r="H1854" s="7"/>
      <c r="I1854" s="7" t="s">
        <v>817</v>
      </c>
      <c r="J1854" s="7" t="s">
        <v>816</v>
      </c>
      <c r="K1854" s="7" t="s">
        <v>29</v>
      </c>
      <c r="L1854" s="3" t="str">
        <f>E1854&amp;D1854</f>
        <v>E.SP.IPAEE_INS_SEG_C_I_CIRCUITO VIA CA_0030</v>
      </c>
      <c r="M1854" s="3" t="str">
        <f>IFERROR(MID(D1854,SEARCH("S_I_",D1854,1),3),"")</f>
        <v/>
      </c>
      <c r="N1854" s="3" t="str">
        <f>IFERROR(MID(D1854,SEARCH("C_I_",D1854,1),3),"")</f>
        <v>C_I</v>
      </c>
      <c r="O1854" s="3" t="str">
        <f>IF(AND(M1854="",N1854=""),"Extra","")</f>
        <v/>
      </c>
      <c r="P1854" s="3" t="str">
        <f>IF(Q1854=0,"TERCEIRO","MRS")</f>
        <v>MRS</v>
      </c>
      <c r="Q1854" s="8" t="str">
        <f>IFERROR(VLOOKUP(L1854,#REF!,4,0),"0,00")</f>
        <v>0,00</v>
      </c>
      <c r="R1854" s="9" t="s">
        <v>30</v>
      </c>
      <c r="S1854" s="9">
        <f>COUNTIF(D1854,"*_SEG_*")</f>
        <v>1</v>
      </c>
      <c r="T1854" s="9">
        <f>COUNTIF(D1854,"*_MAN_*")</f>
        <v>0</v>
      </c>
      <c r="U1854" s="9">
        <f>(RIGHT(D1854,4))*1</f>
        <v>30</v>
      </c>
      <c r="V1854" s="9" t="str">
        <f>IFERROR(VLOOKUP(I1854,#REF!,2,0),"Sinalização")</f>
        <v>Sinalização</v>
      </c>
    </row>
    <row r="1855" spans="1:22" x14ac:dyDescent="0.25">
      <c r="A1855" s="3" t="s">
        <v>22</v>
      </c>
      <c r="B1855" s="4">
        <v>23452193</v>
      </c>
      <c r="C1855" s="5" t="s">
        <v>23</v>
      </c>
      <c r="D1855" s="6" t="s">
        <v>814</v>
      </c>
      <c r="E1855" s="6" t="s">
        <v>25</v>
      </c>
      <c r="F1855" s="11">
        <v>46143</v>
      </c>
      <c r="G1855" s="6" t="s">
        <v>1079</v>
      </c>
      <c r="H1855" s="7"/>
      <c r="I1855" s="7" t="s">
        <v>233</v>
      </c>
      <c r="J1855" s="7" t="s">
        <v>816</v>
      </c>
      <c r="K1855" s="7" t="s">
        <v>29</v>
      </c>
      <c r="L1855" s="3" t="str">
        <f>E1855&amp;D1855</f>
        <v>E.SP.IPAEE_INS_SEG_C_I_CIRCUITO VIA CA_0030</v>
      </c>
      <c r="M1855" s="3" t="str">
        <f>IFERROR(MID(D1855,SEARCH("S_I_",D1855,1),3),"")</f>
        <v/>
      </c>
      <c r="N1855" s="3" t="str">
        <f>IFERROR(MID(D1855,SEARCH("C_I_",D1855,1),3),"")</f>
        <v>C_I</v>
      </c>
      <c r="O1855" s="3" t="str">
        <f>IF(AND(M1855="",N1855=""),"Extra","")</f>
        <v/>
      </c>
      <c r="P1855" s="3" t="str">
        <f>IF(Q1855=0,"TERCEIRO","MRS")</f>
        <v>MRS</v>
      </c>
      <c r="Q1855" s="8" t="str">
        <f>IFERROR(VLOOKUP(L1855,#REF!,4,0),"0,00")</f>
        <v>0,00</v>
      </c>
      <c r="R1855" s="9" t="s">
        <v>30</v>
      </c>
      <c r="S1855" s="9">
        <f>COUNTIF(D1855,"*_SEG_*")</f>
        <v>1</v>
      </c>
      <c r="T1855" s="9">
        <f>COUNTIF(D1855,"*_MAN_*")</f>
        <v>0</v>
      </c>
      <c r="U1855" s="9">
        <f>(RIGHT(D1855,4))*1</f>
        <v>30</v>
      </c>
      <c r="V1855" s="9" t="str">
        <f>IFERROR(VLOOKUP(I1855,#REF!,2,0),"Sinalização")</f>
        <v>Sinalização</v>
      </c>
    </row>
    <row r="1856" spans="1:22" x14ac:dyDescent="0.25">
      <c r="A1856" s="3" t="s">
        <v>22</v>
      </c>
      <c r="B1856" s="4">
        <v>23452197</v>
      </c>
      <c r="C1856" s="5" t="s">
        <v>23</v>
      </c>
      <c r="D1856" s="6" t="s">
        <v>814</v>
      </c>
      <c r="E1856" s="6" t="s">
        <v>25</v>
      </c>
      <c r="F1856" s="11">
        <v>46143</v>
      </c>
      <c r="G1856" s="6" t="s">
        <v>1079</v>
      </c>
      <c r="H1856" s="7"/>
      <c r="I1856" s="7" t="s">
        <v>451</v>
      </c>
      <c r="J1856" s="7" t="s">
        <v>816</v>
      </c>
      <c r="K1856" s="7" t="s">
        <v>29</v>
      </c>
      <c r="L1856" s="3" t="str">
        <f>E1856&amp;D1856</f>
        <v>E.SP.IPAEE_INS_SEG_C_I_CIRCUITO VIA CA_0030</v>
      </c>
      <c r="M1856" s="3" t="str">
        <f>IFERROR(MID(D1856,SEARCH("S_I_",D1856,1),3),"")</f>
        <v/>
      </c>
      <c r="N1856" s="3" t="str">
        <f>IFERROR(MID(D1856,SEARCH("C_I_",D1856,1),3),"")</f>
        <v>C_I</v>
      </c>
      <c r="O1856" s="3" t="str">
        <f>IF(AND(M1856="",N1856=""),"Extra","")</f>
        <v/>
      </c>
      <c r="P1856" s="3" t="str">
        <f>IF(Q1856=0,"TERCEIRO","MRS")</f>
        <v>MRS</v>
      </c>
      <c r="Q1856" s="8" t="str">
        <f>IFERROR(VLOOKUP(L1856,#REF!,4,0),"0,00")</f>
        <v>0,00</v>
      </c>
      <c r="R1856" s="9" t="s">
        <v>30</v>
      </c>
      <c r="S1856" s="9">
        <f>COUNTIF(D1856,"*_SEG_*")</f>
        <v>1</v>
      </c>
      <c r="T1856" s="9">
        <f>COUNTIF(D1856,"*_MAN_*")</f>
        <v>0</v>
      </c>
      <c r="U1856" s="9">
        <f>(RIGHT(D1856,4))*1</f>
        <v>30</v>
      </c>
      <c r="V1856" s="9" t="str">
        <f>IFERROR(VLOOKUP(I1856,#REF!,2,0),"Sinalização")</f>
        <v>Sinalização</v>
      </c>
    </row>
    <row r="1857" spans="1:22" x14ac:dyDescent="0.25">
      <c r="A1857" s="3" t="s">
        <v>22</v>
      </c>
      <c r="B1857" s="4">
        <v>23452200</v>
      </c>
      <c r="C1857" s="5" t="s">
        <v>23</v>
      </c>
      <c r="D1857" s="6" t="s">
        <v>814</v>
      </c>
      <c r="E1857" s="6" t="s">
        <v>25</v>
      </c>
      <c r="F1857" s="11">
        <v>46143</v>
      </c>
      <c r="G1857" s="6" t="s">
        <v>1079</v>
      </c>
      <c r="H1857" s="7"/>
      <c r="I1857" s="7" t="s">
        <v>818</v>
      </c>
      <c r="J1857" s="7" t="s">
        <v>816</v>
      </c>
      <c r="K1857" s="7" t="s">
        <v>29</v>
      </c>
      <c r="L1857" s="3" t="str">
        <f>E1857&amp;D1857</f>
        <v>E.SP.IPAEE_INS_SEG_C_I_CIRCUITO VIA CA_0030</v>
      </c>
      <c r="M1857" s="3" t="str">
        <f>IFERROR(MID(D1857,SEARCH("S_I_",D1857,1),3),"")</f>
        <v/>
      </c>
      <c r="N1857" s="3" t="str">
        <f>IFERROR(MID(D1857,SEARCH("C_I_",D1857,1),3),"")</f>
        <v>C_I</v>
      </c>
      <c r="O1857" s="3" t="str">
        <f>IF(AND(M1857="",N1857=""),"Extra","")</f>
        <v/>
      </c>
      <c r="P1857" s="3" t="str">
        <f>IF(Q1857=0,"TERCEIRO","MRS")</f>
        <v>MRS</v>
      </c>
      <c r="Q1857" s="8" t="str">
        <f>IFERROR(VLOOKUP(L1857,#REF!,4,0),"0,00")</f>
        <v>0,00</v>
      </c>
      <c r="R1857" s="9" t="s">
        <v>30</v>
      </c>
      <c r="S1857" s="9">
        <f>COUNTIF(D1857,"*_SEG_*")</f>
        <v>1</v>
      </c>
      <c r="T1857" s="9">
        <f>COUNTIF(D1857,"*_MAN_*")</f>
        <v>0</v>
      </c>
      <c r="U1857" s="9">
        <f>(RIGHT(D1857,4))*1</f>
        <v>30</v>
      </c>
      <c r="V1857" s="9" t="str">
        <f>IFERROR(VLOOKUP(I1857,#REF!,2,0),"Sinalização")</f>
        <v>Sinalização</v>
      </c>
    </row>
    <row r="1858" spans="1:22" x14ac:dyDescent="0.25">
      <c r="A1858" s="3" t="s">
        <v>22</v>
      </c>
      <c r="B1858" s="4">
        <v>23452201</v>
      </c>
      <c r="C1858" s="5" t="s">
        <v>23</v>
      </c>
      <c r="D1858" s="6" t="s">
        <v>814</v>
      </c>
      <c r="E1858" s="6" t="s">
        <v>25</v>
      </c>
      <c r="F1858" s="11">
        <v>46143</v>
      </c>
      <c r="G1858" s="6" t="s">
        <v>1079</v>
      </c>
      <c r="H1858" s="7"/>
      <c r="I1858" s="7" t="s">
        <v>819</v>
      </c>
      <c r="J1858" s="7" t="s">
        <v>816</v>
      </c>
      <c r="K1858" s="7" t="s">
        <v>29</v>
      </c>
      <c r="L1858" s="3" t="str">
        <f>E1858&amp;D1858</f>
        <v>E.SP.IPAEE_INS_SEG_C_I_CIRCUITO VIA CA_0030</v>
      </c>
      <c r="M1858" s="3" t="str">
        <f>IFERROR(MID(D1858,SEARCH("S_I_",D1858,1),3),"")</f>
        <v/>
      </c>
      <c r="N1858" s="3" t="str">
        <f>IFERROR(MID(D1858,SEARCH("C_I_",D1858,1),3),"")</f>
        <v>C_I</v>
      </c>
      <c r="O1858" s="3" t="str">
        <f>IF(AND(M1858="",N1858=""),"Extra","")</f>
        <v/>
      </c>
      <c r="P1858" s="3" t="str">
        <f>IF(Q1858=0,"TERCEIRO","MRS")</f>
        <v>MRS</v>
      </c>
      <c r="Q1858" s="8" t="str">
        <f>IFERROR(VLOOKUP(L1858,#REF!,4,0),"0,00")</f>
        <v>0,00</v>
      </c>
      <c r="R1858" s="9" t="s">
        <v>30</v>
      </c>
      <c r="S1858" s="9">
        <f>COUNTIF(D1858,"*_SEG_*")</f>
        <v>1</v>
      </c>
      <c r="T1858" s="9">
        <f>COUNTIF(D1858,"*_MAN_*")</f>
        <v>0</v>
      </c>
      <c r="U1858" s="9">
        <f>(RIGHT(D1858,4))*1</f>
        <v>30</v>
      </c>
      <c r="V1858" s="9" t="str">
        <f>IFERROR(VLOOKUP(I1858,#REF!,2,0),"Sinalização")</f>
        <v>Sinalização</v>
      </c>
    </row>
    <row r="1859" spans="1:22" x14ac:dyDescent="0.25">
      <c r="A1859" s="3" t="s">
        <v>22</v>
      </c>
      <c r="B1859" s="4">
        <v>23452256</v>
      </c>
      <c r="C1859" s="5" t="s">
        <v>23</v>
      </c>
      <c r="D1859" s="6" t="s">
        <v>820</v>
      </c>
      <c r="E1859" s="6" t="s">
        <v>25</v>
      </c>
      <c r="F1859" s="11">
        <v>46143</v>
      </c>
      <c r="G1859" s="6" t="s">
        <v>1079</v>
      </c>
      <c r="H1859" s="7"/>
      <c r="I1859" s="7" t="s">
        <v>821</v>
      </c>
      <c r="J1859" s="7" t="s">
        <v>822</v>
      </c>
      <c r="K1859" s="7" t="s">
        <v>29</v>
      </c>
      <c r="L1859" s="3" t="str">
        <f>E1859&amp;D1859</f>
        <v>E.SP.IPAEE_INS_CONF_S_I_BL INT RELÉ S/ BAT_0030</v>
      </c>
      <c r="M1859" s="3" t="str">
        <f>IFERROR(MID(D1859,SEARCH("S_I_",D1859,1),3),"")</f>
        <v>S_I</v>
      </c>
      <c r="N1859" s="3" t="str">
        <f>IFERROR(MID(D1859,SEARCH("C_I_",D1859,1),3),"")</f>
        <v/>
      </c>
      <c r="O1859" s="3" t="str">
        <f>IF(AND(M1859="",N1859=""),"Extra","")</f>
        <v/>
      </c>
      <c r="P1859" s="3" t="str">
        <f>IF(Q1859=0,"TERCEIRO","MRS")</f>
        <v>MRS</v>
      </c>
      <c r="Q1859" s="8" t="str">
        <f>IFERROR(VLOOKUP(L1859,#REF!,4,0),"0,00")</f>
        <v>0,00</v>
      </c>
      <c r="R1859" s="9" t="s">
        <v>42</v>
      </c>
      <c r="S1859" s="9">
        <f>COUNTIF(D1859,"*_SEG_*")</f>
        <v>0</v>
      </c>
      <c r="T1859" s="9">
        <f>COUNTIF(D1859,"*_MAN_*")</f>
        <v>0</v>
      </c>
      <c r="U1859" s="9">
        <f>(RIGHT(D1859,4))*1</f>
        <v>30</v>
      </c>
      <c r="V1859" s="9" t="str">
        <f>IFERROR(VLOOKUP(I1859,#REF!,2,0),"Sinalização")</f>
        <v>Sinalização</v>
      </c>
    </row>
    <row r="1860" spans="1:22" x14ac:dyDescent="0.25">
      <c r="A1860" s="3" t="s">
        <v>22</v>
      </c>
      <c r="B1860" s="4">
        <v>23452257</v>
      </c>
      <c r="C1860" s="5" t="s">
        <v>23</v>
      </c>
      <c r="D1860" s="6" t="s">
        <v>820</v>
      </c>
      <c r="E1860" s="6" t="s">
        <v>25</v>
      </c>
      <c r="F1860" s="11">
        <v>46143</v>
      </c>
      <c r="G1860" s="6" t="s">
        <v>1079</v>
      </c>
      <c r="H1860" s="7"/>
      <c r="I1860" s="7" t="s">
        <v>823</v>
      </c>
      <c r="J1860" s="7" t="s">
        <v>822</v>
      </c>
      <c r="K1860" s="7" t="s">
        <v>29</v>
      </c>
      <c r="L1860" s="3" t="str">
        <f>E1860&amp;D1860</f>
        <v>E.SP.IPAEE_INS_CONF_S_I_BL INT RELÉ S/ BAT_0030</v>
      </c>
      <c r="M1860" s="3" t="str">
        <f>IFERROR(MID(D1860,SEARCH("S_I_",D1860,1),3),"")</f>
        <v>S_I</v>
      </c>
      <c r="N1860" s="3" t="str">
        <f>IFERROR(MID(D1860,SEARCH("C_I_",D1860,1),3),"")</f>
        <v/>
      </c>
      <c r="O1860" s="3" t="str">
        <f>IF(AND(M1860="",N1860=""),"Extra","")</f>
        <v/>
      </c>
      <c r="P1860" s="3" t="str">
        <f>IF(Q1860=0,"TERCEIRO","MRS")</f>
        <v>MRS</v>
      </c>
      <c r="Q1860" s="8" t="str">
        <f>IFERROR(VLOOKUP(L1860,#REF!,4,0),"0,00")</f>
        <v>0,00</v>
      </c>
      <c r="R1860" s="9" t="s">
        <v>42</v>
      </c>
      <c r="S1860" s="9">
        <f>COUNTIF(D1860,"*_SEG_*")</f>
        <v>0</v>
      </c>
      <c r="T1860" s="9">
        <f>COUNTIF(D1860,"*_MAN_*")</f>
        <v>0</v>
      </c>
      <c r="U1860" s="9">
        <f>(RIGHT(D1860,4))*1</f>
        <v>30</v>
      </c>
      <c r="V1860" s="9" t="str">
        <f>IFERROR(VLOOKUP(I1860,#REF!,2,0),"Sinalização")</f>
        <v>Sinalização</v>
      </c>
    </row>
    <row r="1861" spans="1:22" x14ac:dyDescent="0.25">
      <c r="A1861" s="3" t="s">
        <v>22</v>
      </c>
      <c r="B1861" s="4">
        <v>23452258</v>
      </c>
      <c r="C1861" s="5" t="s">
        <v>23</v>
      </c>
      <c r="D1861" s="6" t="s">
        <v>820</v>
      </c>
      <c r="E1861" s="6" t="s">
        <v>25</v>
      </c>
      <c r="F1861" s="11">
        <v>46143</v>
      </c>
      <c r="G1861" s="6" t="s">
        <v>1079</v>
      </c>
      <c r="H1861" s="7"/>
      <c r="I1861" s="7" t="s">
        <v>824</v>
      </c>
      <c r="J1861" s="7" t="s">
        <v>822</v>
      </c>
      <c r="K1861" s="7" t="s">
        <v>29</v>
      </c>
      <c r="L1861" s="3" t="str">
        <f>E1861&amp;D1861</f>
        <v>E.SP.IPAEE_INS_CONF_S_I_BL INT RELÉ S/ BAT_0030</v>
      </c>
      <c r="M1861" s="3" t="str">
        <f>IFERROR(MID(D1861,SEARCH("S_I_",D1861,1),3),"")</f>
        <v>S_I</v>
      </c>
      <c r="N1861" s="3" t="str">
        <f>IFERROR(MID(D1861,SEARCH("C_I_",D1861,1),3),"")</f>
        <v/>
      </c>
      <c r="O1861" s="3" t="str">
        <f>IF(AND(M1861="",N1861=""),"Extra","")</f>
        <v/>
      </c>
      <c r="P1861" s="3" t="str">
        <f>IF(Q1861=0,"TERCEIRO","MRS")</f>
        <v>MRS</v>
      </c>
      <c r="Q1861" s="8" t="str">
        <f>IFERROR(VLOOKUP(L1861,#REF!,4,0),"0,00")</f>
        <v>0,00</v>
      </c>
      <c r="R1861" s="9" t="s">
        <v>42</v>
      </c>
      <c r="S1861" s="9">
        <f>COUNTIF(D1861,"*_SEG_*")</f>
        <v>0</v>
      </c>
      <c r="T1861" s="9">
        <f>COUNTIF(D1861,"*_MAN_*")</f>
        <v>0</v>
      </c>
      <c r="U1861" s="9">
        <f>(RIGHT(D1861,4))*1</f>
        <v>30</v>
      </c>
      <c r="V1861" s="9" t="str">
        <f>IFERROR(VLOOKUP(I1861,#REF!,2,0),"Sinalização")</f>
        <v>Sinalização</v>
      </c>
    </row>
    <row r="1862" spans="1:22" x14ac:dyDescent="0.25">
      <c r="A1862" s="3" t="s">
        <v>22</v>
      </c>
      <c r="B1862" s="4">
        <v>23452284</v>
      </c>
      <c r="C1862" s="5" t="s">
        <v>23</v>
      </c>
      <c r="D1862" s="6" t="s">
        <v>820</v>
      </c>
      <c r="E1862" s="6" t="s">
        <v>25</v>
      </c>
      <c r="F1862" s="11">
        <v>46143</v>
      </c>
      <c r="G1862" s="6" t="s">
        <v>1079</v>
      </c>
      <c r="H1862" s="7"/>
      <c r="I1862" s="7" t="s">
        <v>825</v>
      </c>
      <c r="J1862" s="7" t="s">
        <v>822</v>
      </c>
      <c r="K1862" s="7" t="s">
        <v>29</v>
      </c>
      <c r="L1862" s="3" t="str">
        <f>E1862&amp;D1862</f>
        <v>E.SP.IPAEE_INS_CONF_S_I_BL INT RELÉ S/ BAT_0030</v>
      </c>
      <c r="M1862" s="3" t="str">
        <f>IFERROR(MID(D1862,SEARCH("S_I_",D1862,1),3),"")</f>
        <v>S_I</v>
      </c>
      <c r="N1862" s="3" t="str">
        <f>IFERROR(MID(D1862,SEARCH("C_I_",D1862,1),3),"")</f>
        <v/>
      </c>
      <c r="O1862" s="3" t="str">
        <f>IF(AND(M1862="",N1862=""),"Extra","")</f>
        <v/>
      </c>
      <c r="P1862" s="3" t="str">
        <f>IF(Q1862=0,"TERCEIRO","MRS")</f>
        <v>MRS</v>
      </c>
      <c r="Q1862" s="8" t="str">
        <f>IFERROR(VLOOKUP(L1862,#REF!,4,0),"0,00")</f>
        <v>0,00</v>
      </c>
      <c r="R1862" s="9" t="s">
        <v>42</v>
      </c>
      <c r="S1862" s="9">
        <f>COUNTIF(D1862,"*_SEG_*")</f>
        <v>0</v>
      </c>
      <c r="T1862" s="9">
        <f>COUNTIF(D1862,"*_MAN_*")</f>
        <v>0</v>
      </c>
      <c r="U1862" s="9">
        <f>(RIGHT(D1862,4))*1</f>
        <v>30</v>
      </c>
      <c r="V1862" s="9" t="str">
        <f>IFERROR(VLOOKUP(I1862,#REF!,2,0),"Sinalização")</f>
        <v>Sinalização</v>
      </c>
    </row>
    <row r="1863" spans="1:22" x14ac:dyDescent="0.25">
      <c r="A1863" s="3" t="s">
        <v>22</v>
      </c>
      <c r="B1863" s="4">
        <v>23452369</v>
      </c>
      <c r="C1863" s="5" t="s">
        <v>23</v>
      </c>
      <c r="D1863" s="6" t="s">
        <v>826</v>
      </c>
      <c r="E1863" s="6" t="s">
        <v>25</v>
      </c>
      <c r="F1863" s="11">
        <v>46143</v>
      </c>
      <c r="G1863" s="6" t="s">
        <v>1079</v>
      </c>
      <c r="H1863" s="7"/>
      <c r="I1863" s="7" t="s">
        <v>693</v>
      </c>
      <c r="J1863" s="7" t="s">
        <v>827</v>
      </c>
      <c r="K1863" s="7" t="s">
        <v>29</v>
      </c>
      <c r="L1863" s="3" t="str">
        <f>E1863&amp;D1863</f>
        <v>E.SP.IPAEE_INS_SEG_S_I_MCH MAN C/CONTR_0030</v>
      </c>
      <c r="M1863" s="3" t="str">
        <f>IFERROR(MID(D1863,SEARCH("S_I_",D1863,1),3),"")</f>
        <v>S_I</v>
      </c>
      <c r="N1863" s="3" t="str">
        <f>IFERROR(MID(D1863,SEARCH("C_I_",D1863,1),3),"")</f>
        <v/>
      </c>
      <c r="O1863" s="3" t="str">
        <f>IF(AND(M1863="",N1863=""),"Extra","")</f>
        <v/>
      </c>
      <c r="P1863" s="3" t="str">
        <f>IF(Q1863=0,"TERCEIRO","MRS")</f>
        <v>MRS</v>
      </c>
      <c r="Q1863" s="8" t="str">
        <f>IFERROR(VLOOKUP(L1863,#REF!,4,0),"0,00")</f>
        <v>0,00</v>
      </c>
      <c r="R1863" s="9" t="s">
        <v>30</v>
      </c>
      <c r="S1863" s="9">
        <f>COUNTIF(D1863,"*_SEG_*")</f>
        <v>1</v>
      </c>
      <c r="T1863" s="9">
        <f>COUNTIF(D1863,"*_MAN_*")</f>
        <v>0</v>
      </c>
      <c r="U1863" s="9">
        <f>(RIGHT(D1863,4))*1</f>
        <v>30</v>
      </c>
      <c r="V1863" s="9" t="str">
        <f>IFERROR(VLOOKUP(I1863,#REF!,2,0),"Sinalização")</f>
        <v>Sinalização</v>
      </c>
    </row>
    <row r="1864" spans="1:22" x14ac:dyDescent="0.25">
      <c r="A1864" s="3" t="s">
        <v>22</v>
      </c>
      <c r="B1864" s="4">
        <v>23452470</v>
      </c>
      <c r="C1864" s="5" t="s">
        <v>23</v>
      </c>
      <c r="D1864" s="6" t="s">
        <v>828</v>
      </c>
      <c r="E1864" s="6" t="s">
        <v>25</v>
      </c>
      <c r="F1864" s="11">
        <v>46143</v>
      </c>
      <c r="G1864" s="6" t="s">
        <v>1079</v>
      </c>
      <c r="H1864" s="7"/>
      <c r="I1864" s="7" t="s">
        <v>233</v>
      </c>
      <c r="J1864" s="7" t="s">
        <v>822</v>
      </c>
      <c r="K1864" s="7" t="s">
        <v>29</v>
      </c>
      <c r="L1864" s="3" t="str">
        <f>E1864&amp;D1864</f>
        <v>E.SP.IPAEE_INS_SEG_S_I_CIRCUITO VIA CA_0030</v>
      </c>
      <c r="M1864" s="3" t="str">
        <f>IFERROR(MID(D1864,SEARCH("S_I_",D1864,1),3),"")</f>
        <v>S_I</v>
      </c>
      <c r="N1864" s="3" t="str">
        <f>IFERROR(MID(D1864,SEARCH("C_I_",D1864,1),3),"")</f>
        <v/>
      </c>
      <c r="O1864" s="3" t="str">
        <f>IF(AND(M1864="",N1864=""),"Extra","")</f>
        <v/>
      </c>
      <c r="P1864" s="3" t="str">
        <f>IF(Q1864=0,"TERCEIRO","MRS")</f>
        <v>MRS</v>
      </c>
      <c r="Q1864" s="8" t="str">
        <f>IFERROR(VLOOKUP(L1864,#REF!,4,0),"0,00")</f>
        <v>0,00</v>
      </c>
      <c r="R1864" s="9" t="s">
        <v>30</v>
      </c>
      <c r="S1864" s="9">
        <f>COUNTIF(D1864,"*_SEG_*")</f>
        <v>1</v>
      </c>
      <c r="T1864" s="9">
        <f>COUNTIF(D1864,"*_MAN_*")</f>
        <v>0</v>
      </c>
      <c r="U1864" s="9">
        <f>(RIGHT(D1864,4))*1</f>
        <v>30</v>
      </c>
      <c r="V1864" s="9" t="str">
        <f>IFERROR(VLOOKUP(I1864,#REF!,2,0),"Sinalização")</f>
        <v>Sinalização</v>
      </c>
    </row>
    <row r="1865" spans="1:22" x14ac:dyDescent="0.25">
      <c r="A1865" s="3" t="s">
        <v>22</v>
      </c>
      <c r="B1865" s="4">
        <v>23452471</v>
      </c>
      <c r="C1865" s="5" t="s">
        <v>23</v>
      </c>
      <c r="D1865" s="6" t="s">
        <v>828</v>
      </c>
      <c r="E1865" s="6" t="s">
        <v>25</v>
      </c>
      <c r="F1865" s="11">
        <v>46143</v>
      </c>
      <c r="G1865" s="6" t="s">
        <v>1079</v>
      </c>
      <c r="H1865" s="7"/>
      <c r="I1865" s="7" t="s">
        <v>451</v>
      </c>
      <c r="J1865" s="7" t="s">
        <v>822</v>
      </c>
      <c r="K1865" s="7" t="s">
        <v>29</v>
      </c>
      <c r="L1865" s="3" t="str">
        <f>E1865&amp;D1865</f>
        <v>E.SP.IPAEE_INS_SEG_S_I_CIRCUITO VIA CA_0030</v>
      </c>
      <c r="M1865" s="3" t="str">
        <f>IFERROR(MID(D1865,SEARCH("S_I_",D1865,1),3),"")</f>
        <v>S_I</v>
      </c>
      <c r="N1865" s="3" t="str">
        <f>IFERROR(MID(D1865,SEARCH("C_I_",D1865,1),3),"")</f>
        <v/>
      </c>
      <c r="O1865" s="3" t="str">
        <f>IF(AND(M1865="",N1865=""),"Extra","")</f>
        <v/>
      </c>
      <c r="P1865" s="3" t="str">
        <f>IF(Q1865=0,"TERCEIRO","MRS")</f>
        <v>MRS</v>
      </c>
      <c r="Q1865" s="8" t="str">
        <f>IFERROR(VLOOKUP(L1865,#REF!,4,0),"0,00")</f>
        <v>0,00</v>
      </c>
      <c r="R1865" s="9" t="s">
        <v>30</v>
      </c>
      <c r="S1865" s="9">
        <f>COUNTIF(D1865,"*_SEG_*")</f>
        <v>1</v>
      </c>
      <c r="T1865" s="9">
        <f>COUNTIF(D1865,"*_MAN_*")</f>
        <v>0</v>
      </c>
      <c r="U1865" s="9">
        <f>(RIGHT(D1865,4))*1</f>
        <v>30</v>
      </c>
      <c r="V1865" s="9" t="str">
        <f>IFERROR(VLOOKUP(I1865,#REF!,2,0),"Sinalização")</f>
        <v>Sinalização</v>
      </c>
    </row>
    <row r="1866" spans="1:22" x14ac:dyDescent="0.25">
      <c r="A1866" s="3" t="s">
        <v>22</v>
      </c>
      <c r="B1866" s="4">
        <v>23452532</v>
      </c>
      <c r="C1866" s="5" t="s">
        <v>23</v>
      </c>
      <c r="D1866" s="6" t="s">
        <v>829</v>
      </c>
      <c r="E1866" s="6" t="s">
        <v>25</v>
      </c>
      <c r="F1866" s="11">
        <v>46143</v>
      </c>
      <c r="G1866" s="6" t="s">
        <v>1079</v>
      </c>
      <c r="H1866" s="7"/>
      <c r="I1866" s="7" t="s">
        <v>819</v>
      </c>
      <c r="J1866" s="7" t="s">
        <v>830</v>
      </c>
      <c r="K1866" s="7" t="s">
        <v>29</v>
      </c>
      <c r="L1866" s="3" t="str">
        <f>E1866&amp;D1866</f>
        <v>E.SP.IPAT_EE_INS_CONF_S_I_CIRCUITO VIA CA_0030</v>
      </c>
      <c r="M1866" s="3" t="str">
        <f>IFERROR(MID(D1866,SEARCH("S_I_",D1866,1),3),"")</f>
        <v>S_I</v>
      </c>
      <c r="N1866" s="3" t="str">
        <f>IFERROR(MID(D1866,SEARCH("C_I_",D1866,1),3),"")</f>
        <v/>
      </c>
      <c r="O1866" s="3" t="str">
        <f>IF(AND(M1866="",N1866=""),"Extra","")</f>
        <v/>
      </c>
      <c r="P1866" s="3" t="str">
        <f>IF(Q1866=0,"TERCEIRO","MRS")</f>
        <v>MRS</v>
      </c>
      <c r="Q1866" s="8" t="str">
        <f>IFERROR(VLOOKUP(L1866,#REF!,4,0),"0,00")</f>
        <v>0,00</v>
      </c>
      <c r="R1866" s="9" t="s">
        <v>42</v>
      </c>
      <c r="S1866" s="9">
        <f>COUNTIF(D1866,"*_SEG_*")</f>
        <v>0</v>
      </c>
      <c r="T1866" s="9">
        <f>COUNTIF(D1866,"*_MAN_*")</f>
        <v>0</v>
      </c>
      <c r="U1866" s="9">
        <f>(RIGHT(D1866,4))*1</f>
        <v>30</v>
      </c>
      <c r="V1866" s="9" t="str">
        <f>IFERROR(VLOOKUP(I1866,#REF!,2,0),"Sinalização")</f>
        <v>Sinalização</v>
      </c>
    </row>
    <row r="1867" spans="1:22" x14ac:dyDescent="0.25">
      <c r="A1867" s="3" t="s">
        <v>22</v>
      </c>
      <c r="B1867" s="4">
        <v>23452533</v>
      </c>
      <c r="C1867" s="5" t="s">
        <v>23</v>
      </c>
      <c r="D1867" s="6" t="s">
        <v>829</v>
      </c>
      <c r="E1867" s="6" t="s">
        <v>25</v>
      </c>
      <c r="F1867" s="11">
        <v>46143</v>
      </c>
      <c r="G1867" s="6" t="s">
        <v>1079</v>
      </c>
      <c r="H1867" s="7"/>
      <c r="I1867" s="7" t="s">
        <v>818</v>
      </c>
      <c r="J1867" s="7" t="s">
        <v>830</v>
      </c>
      <c r="K1867" s="7" t="s">
        <v>29</v>
      </c>
      <c r="L1867" s="3" t="str">
        <f>E1867&amp;D1867</f>
        <v>E.SP.IPAT_EE_INS_CONF_S_I_CIRCUITO VIA CA_0030</v>
      </c>
      <c r="M1867" s="3" t="str">
        <f>IFERROR(MID(D1867,SEARCH("S_I_",D1867,1),3),"")</f>
        <v>S_I</v>
      </c>
      <c r="N1867" s="3" t="str">
        <f>IFERROR(MID(D1867,SEARCH("C_I_",D1867,1),3),"")</f>
        <v/>
      </c>
      <c r="O1867" s="3" t="str">
        <f>IF(AND(M1867="",N1867=""),"Extra","")</f>
        <v/>
      </c>
      <c r="P1867" s="3" t="str">
        <f>IF(Q1867=0,"TERCEIRO","MRS")</f>
        <v>MRS</v>
      </c>
      <c r="Q1867" s="8" t="str">
        <f>IFERROR(VLOOKUP(L1867,#REF!,4,0),"0,00")</f>
        <v>0,00</v>
      </c>
      <c r="R1867" s="9" t="s">
        <v>42</v>
      </c>
      <c r="S1867" s="9">
        <f>COUNTIF(D1867,"*_SEG_*")</f>
        <v>0</v>
      </c>
      <c r="T1867" s="9">
        <f>COUNTIF(D1867,"*_MAN_*")</f>
        <v>0</v>
      </c>
      <c r="U1867" s="9">
        <f>(RIGHT(D1867,4))*1</f>
        <v>30</v>
      </c>
      <c r="V1867" s="9" t="str">
        <f>IFERROR(VLOOKUP(I1867,#REF!,2,0),"Sinalização")</f>
        <v>Sinalização</v>
      </c>
    </row>
    <row r="1868" spans="1:22" x14ac:dyDescent="0.25">
      <c r="A1868" s="3" t="s">
        <v>22</v>
      </c>
      <c r="B1868" s="4">
        <v>23452539</v>
      </c>
      <c r="C1868" s="5" t="s">
        <v>23</v>
      </c>
      <c r="D1868" s="6" t="s">
        <v>829</v>
      </c>
      <c r="E1868" s="6" t="s">
        <v>25</v>
      </c>
      <c r="F1868" s="11">
        <v>46143</v>
      </c>
      <c r="G1868" s="6" t="s">
        <v>1079</v>
      </c>
      <c r="H1868" s="7"/>
      <c r="I1868" s="7" t="s">
        <v>233</v>
      </c>
      <c r="J1868" s="7" t="s">
        <v>830</v>
      </c>
      <c r="K1868" s="7" t="s">
        <v>29</v>
      </c>
      <c r="L1868" s="3" t="str">
        <f>E1868&amp;D1868</f>
        <v>E.SP.IPAT_EE_INS_CONF_S_I_CIRCUITO VIA CA_0030</v>
      </c>
      <c r="M1868" s="3" t="str">
        <f>IFERROR(MID(D1868,SEARCH("S_I_",D1868,1),3),"")</f>
        <v>S_I</v>
      </c>
      <c r="N1868" s="3" t="str">
        <f>IFERROR(MID(D1868,SEARCH("C_I_",D1868,1),3),"")</f>
        <v/>
      </c>
      <c r="O1868" s="3" t="str">
        <f>IF(AND(M1868="",N1868=""),"Extra","")</f>
        <v/>
      </c>
      <c r="P1868" s="3" t="str">
        <f>IF(Q1868=0,"TERCEIRO","MRS")</f>
        <v>MRS</v>
      </c>
      <c r="Q1868" s="8" t="str">
        <f>IFERROR(VLOOKUP(L1868,#REF!,4,0),"0,00")</f>
        <v>0,00</v>
      </c>
      <c r="R1868" s="9" t="s">
        <v>42</v>
      </c>
      <c r="S1868" s="9">
        <f>COUNTIF(D1868,"*_SEG_*")</f>
        <v>0</v>
      </c>
      <c r="T1868" s="9">
        <f>COUNTIF(D1868,"*_MAN_*")</f>
        <v>0</v>
      </c>
      <c r="U1868" s="9">
        <f>(RIGHT(D1868,4))*1</f>
        <v>30</v>
      </c>
      <c r="V1868" s="9" t="str">
        <f>IFERROR(VLOOKUP(I1868,#REF!,2,0),"Sinalização")</f>
        <v>Sinalização</v>
      </c>
    </row>
    <row r="1869" spans="1:22" x14ac:dyDescent="0.25">
      <c r="A1869" s="3" t="s">
        <v>22</v>
      </c>
      <c r="B1869" s="4">
        <v>23452540</v>
      </c>
      <c r="C1869" s="5" t="s">
        <v>23</v>
      </c>
      <c r="D1869" s="6" t="s">
        <v>829</v>
      </c>
      <c r="E1869" s="6" t="s">
        <v>25</v>
      </c>
      <c r="F1869" s="11">
        <v>46143</v>
      </c>
      <c r="G1869" s="6" t="s">
        <v>1079</v>
      </c>
      <c r="H1869" s="7"/>
      <c r="I1869" s="7" t="s">
        <v>451</v>
      </c>
      <c r="J1869" s="7" t="s">
        <v>830</v>
      </c>
      <c r="K1869" s="7" t="s">
        <v>29</v>
      </c>
      <c r="L1869" s="3" t="str">
        <f>E1869&amp;D1869</f>
        <v>E.SP.IPAT_EE_INS_CONF_S_I_CIRCUITO VIA CA_0030</v>
      </c>
      <c r="M1869" s="3" t="str">
        <f>IFERROR(MID(D1869,SEARCH("S_I_",D1869,1),3),"")</f>
        <v>S_I</v>
      </c>
      <c r="N1869" s="3" t="str">
        <f>IFERROR(MID(D1869,SEARCH("C_I_",D1869,1),3),"")</f>
        <v/>
      </c>
      <c r="O1869" s="3" t="str">
        <f>IF(AND(M1869="",N1869=""),"Extra","")</f>
        <v/>
      </c>
      <c r="P1869" s="3" t="str">
        <f>IF(Q1869=0,"TERCEIRO","MRS")</f>
        <v>MRS</v>
      </c>
      <c r="Q1869" s="8" t="str">
        <f>IFERROR(VLOOKUP(L1869,#REF!,4,0),"0,00")</f>
        <v>0,00</v>
      </c>
      <c r="R1869" s="9" t="s">
        <v>42</v>
      </c>
      <c r="S1869" s="9">
        <f>COUNTIF(D1869,"*_SEG_*")</f>
        <v>0</v>
      </c>
      <c r="T1869" s="9">
        <f>COUNTIF(D1869,"*_MAN_*")</f>
        <v>0</v>
      </c>
      <c r="U1869" s="9">
        <f>(RIGHT(D1869,4))*1</f>
        <v>30</v>
      </c>
      <c r="V1869" s="9" t="str">
        <f>IFERROR(VLOOKUP(I1869,#REF!,2,0),"Sinalização")</f>
        <v>Sinalização</v>
      </c>
    </row>
    <row r="1870" spans="1:22" x14ac:dyDescent="0.25">
      <c r="A1870" s="3" t="s">
        <v>22</v>
      </c>
      <c r="B1870" s="4">
        <v>23452549</v>
      </c>
      <c r="C1870" s="5" t="s">
        <v>23</v>
      </c>
      <c r="D1870" s="6" t="s">
        <v>829</v>
      </c>
      <c r="E1870" s="6" t="s">
        <v>25</v>
      </c>
      <c r="F1870" s="11">
        <v>46143</v>
      </c>
      <c r="G1870" s="6" t="s">
        <v>1079</v>
      </c>
      <c r="H1870" s="7"/>
      <c r="I1870" s="7" t="s">
        <v>817</v>
      </c>
      <c r="J1870" s="7" t="s">
        <v>830</v>
      </c>
      <c r="K1870" s="7" t="s">
        <v>29</v>
      </c>
      <c r="L1870" s="3" t="str">
        <f>E1870&amp;D1870</f>
        <v>E.SP.IPAT_EE_INS_CONF_S_I_CIRCUITO VIA CA_0030</v>
      </c>
      <c r="M1870" s="3" t="str">
        <f>IFERROR(MID(D1870,SEARCH("S_I_",D1870,1),3),"")</f>
        <v>S_I</v>
      </c>
      <c r="N1870" s="3" t="str">
        <f>IFERROR(MID(D1870,SEARCH("C_I_",D1870,1),3),"")</f>
        <v/>
      </c>
      <c r="O1870" s="3" t="str">
        <f>IF(AND(M1870="",N1870=""),"Extra","")</f>
        <v/>
      </c>
      <c r="P1870" s="3" t="str">
        <f>IF(Q1870=0,"TERCEIRO","MRS")</f>
        <v>MRS</v>
      </c>
      <c r="Q1870" s="8" t="str">
        <f>IFERROR(VLOOKUP(L1870,#REF!,4,0),"0,00")</f>
        <v>0,00</v>
      </c>
      <c r="R1870" s="9" t="s">
        <v>42</v>
      </c>
      <c r="S1870" s="9">
        <f>COUNTIF(D1870,"*_SEG_*")</f>
        <v>0</v>
      </c>
      <c r="T1870" s="9">
        <f>COUNTIF(D1870,"*_MAN_*")</f>
        <v>0</v>
      </c>
      <c r="U1870" s="9">
        <f>(RIGHT(D1870,4))*1</f>
        <v>30</v>
      </c>
      <c r="V1870" s="9" t="str">
        <f>IFERROR(VLOOKUP(I1870,#REF!,2,0),"Sinalização")</f>
        <v>Sinalização</v>
      </c>
    </row>
    <row r="1871" spans="1:22" x14ac:dyDescent="0.25">
      <c r="A1871" s="3" t="s">
        <v>22</v>
      </c>
      <c r="B1871" s="4">
        <v>23452550</v>
      </c>
      <c r="C1871" s="5" t="s">
        <v>23</v>
      </c>
      <c r="D1871" s="6" t="s">
        <v>829</v>
      </c>
      <c r="E1871" s="6" t="s">
        <v>25</v>
      </c>
      <c r="F1871" s="11">
        <v>46143</v>
      </c>
      <c r="G1871" s="6" t="s">
        <v>1079</v>
      </c>
      <c r="H1871" s="7"/>
      <c r="I1871" s="7" t="s">
        <v>815</v>
      </c>
      <c r="J1871" s="7" t="s">
        <v>830</v>
      </c>
      <c r="K1871" s="7" t="s">
        <v>29</v>
      </c>
      <c r="L1871" s="3" t="str">
        <f>E1871&amp;D1871</f>
        <v>E.SP.IPAT_EE_INS_CONF_S_I_CIRCUITO VIA CA_0030</v>
      </c>
      <c r="M1871" s="3" t="str">
        <f>IFERROR(MID(D1871,SEARCH("S_I_",D1871,1),3),"")</f>
        <v>S_I</v>
      </c>
      <c r="N1871" s="3" t="str">
        <f>IFERROR(MID(D1871,SEARCH("C_I_",D1871,1),3),"")</f>
        <v/>
      </c>
      <c r="O1871" s="3" t="str">
        <f>IF(AND(M1871="",N1871=""),"Extra","")</f>
        <v/>
      </c>
      <c r="P1871" s="3" t="str">
        <f>IF(Q1871=0,"TERCEIRO","MRS")</f>
        <v>MRS</v>
      </c>
      <c r="Q1871" s="8" t="str">
        <f>IFERROR(VLOOKUP(L1871,#REF!,4,0),"0,00")</f>
        <v>0,00</v>
      </c>
      <c r="R1871" s="9" t="s">
        <v>42</v>
      </c>
      <c r="S1871" s="9">
        <f>COUNTIF(D1871,"*_SEG_*")</f>
        <v>0</v>
      </c>
      <c r="T1871" s="9">
        <f>COUNTIF(D1871,"*_MAN_*")</f>
        <v>0</v>
      </c>
      <c r="U1871" s="9">
        <f>(RIGHT(D1871,4))*1</f>
        <v>30</v>
      </c>
      <c r="V1871" s="9" t="str">
        <f>IFERROR(VLOOKUP(I1871,#REF!,2,0),"Sinalização")</f>
        <v>Sinalização</v>
      </c>
    </row>
    <row r="1872" spans="1:22" x14ac:dyDescent="0.25">
      <c r="A1872" s="3" t="s">
        <v>22</v>
      </c>
      <c r="B1872" s="4">
        <v>23452554</v>
      </c>
      <c r="C1872" s="5" t="s">
        <v>23</v>
      </c>
      <c r="D1872" s="6" t="s">
        <v>831</v>
      </c>
      <c r="E1872" s="6" t="s">
        <v>25</v>
      </c>
      <c r="F1872" s="11">
        <v>46143</v>
      </c>
      <c r="G1872" s="6" t="s">
        <v>1079</v>
      </c>
      <c r="H1872" s="7"/>
      <c r="I1872" s="7" t="s">
        <v>815</v>
      </c>
      <c r="J1872" s="7" t="s">
        <v>832</v>
      </c>
      <c r="K1872" s="7" t="s">
        <v>29</v>
      </c>
      <c r="L1872" s="3" t="str">
        <f>E1872&amp;D1872</f>
        <v>E.SP.IPAEE_INS_SEG_C_I_CIRCUITO VIA CA_1_0030</v>
      </c>
      <c r="M1872" s="3" t="str">
        <f>IFERROR(MID(D1872,SEARCH("S_I_",D1872,1),3),"")</f>
        <v/>
      </c>
      <c r="N1872" s="3" t="str">
        <f>IFERROR(MID(D1872,SEARCH("C_I_",D1872,1),3),"")</f>
        <v>C_I</v>
      </c>
      <c r="O1872" s="3" t="str">
        <f>IF(AND(M1872="",N1872=""),"Extra","")</f>
        <v/>
      </c>
      <c r="P1872" s="3" t="str">
        <f>IF(Q1872=0,"TERCEIRO","MRS")</f>
        <v>MRS</v>
      </c>
      <c r="Q1872" s="8" t="str">
        <f>IFERROR(VLOOKUP(L1872,#REF!,4,0),"0,00")</f>
        <v>0,00</v>
      </c>
      <c r="R1872" s="9" t="s">
        <v>30</v>
      </c>
      <c r="S1872" s="9">
        <f>COUNTIF(D1872,"*_SEG_*")</f>
        <v>1</v>
      </c>
      <c r="T1872" s="9">
        <f>COUNTIF(D1872,"*_MAN_*")</f>
        <v>0</v>
      </c>
      <c r="U1872" s="9">
        <f>(RIGHT(D1872,4))*1</f>
        <v>30</v>
      </c>
      <c r="V1872" s="9" t="str">
        <f>IFERROR(VLOOKUP(I1872,#REF!,2,0),"Sinalização")</f>
        <v>Sinalização</v>
      </c>
    </row>
    <row r="1873" spans="1:22" x14ac:dyDescent="0.25">
      <c r="A1873" s="3" t="s">
        <v>22</v>
      </c>
      <c r="B1873" s="4">
        <v>23452555</v>
      </c>
      <c r="C1873" s="5" t="s">
        <v>23</v>
      </c>
      <c r="D1873" s="6" t="s">
        <v>831</v>
      </c>
      <c r="E1873" s="6" t="s">
        <v>25</v>
      </c>
      <c r="F1873" s="11">
        <v>46143</v>
      </c>
      <c r="G1873" s="6" t="s">
        <v>1079</v>
      </c>
      <c r="H1873" s="7"/>
      <c r="I1873" s="7" t="s">
        <v>817</v>
      </c>
      <c r="J1873" s="7" t="s">
        <v>832</v>
      </c>
      <c r="K1873" s="7" t="s">
        <v>29</v>
      </c>
      <c r="L1873" s="3" t="str">
        <f>E1873&amp;D1873</f>
        <v>E.SP.IPAEE_INS_SEG_C_I_CIRCUITO VIA CA_1_0030</v>
      </c>
      <c r="M1873" s="3" t="str">
        <f>IFERROR(MID(D1873,SEARCH("S_I_",D1873,1),3),"")</f>
        <v/>
      </c>
      <c r="N1873" s="3" t="str">
        <f>IFERROR(MID(D1873,SEARCH("C_I_",D1873,1),3),"")</f>
        <v>C_I</v>
      </c>
      <c r="O1873" s="3" t="str">
        <f>IF(AND(M1873="",N1873=""),"Extra","")</f>
        <v/>
      </c>
      <c r="P1873" s="3" t="str">
        <f>IF(Q1873=0,"TERCEIRO","MRS")</f>
        <v>MRS</v>
      </c>
      <c r="Q1873" s="8" t="str">
        <f>IFERROR(VLOOKUP(L1873,#REF!,4,0),"0,00")</f>
        <v>0,00</v>
      </c>
      <c r="R1873" s="9" t="s">
        <v>30</v>
      </c>
      <c r="S1873" s="9">
        <f>COUNTIF(D1873,"*_SEG_*")</f>
        <v>1</v>
      </c>
      <c r="T1873" s="9">
        <f>COUNTIF(D1873,"*_MAN_*")</f>
        <v>0</v>
      </c>
      <c r="U1873" s="9">
        <f>(RIGHT(D1873,4))*1</f>
        <v>30</v>
      </c>
      <c r="V1873" s="9" t="str">
        <f>IFERROR(VLOOKUP(I1873,#REF!,2,0),"Sinalização")</f>
        <v>Sinalização</v>
      </c>
    </row>
    <row r="1874" spans="1:22" x14ac:dyDescent="0.25">
      <c r="A1874" s="3" t="s">
        <v>22</v>
      </c>
      <c r="B1874" s="4">
        <v>23452558</v>
      </c>
      <c r="C1874" s="5" t="s">
        <v>23</v>
      </c>
      <c r="D1874" s="6" t="s">
        <v>831</v>
      </c>
      <c r="E1874" s="6" t="s">
        <v>25</v>
      </c>
      <c r="F1874" s="11">
        <v>46143</v>
      </c>
      <c r="G1874" s="6" t="s">
        <v>1079</v>
      </c>
      <c r="H1874" s="7"/>
      <c r="I1874" s="7" t="s">
        <v>233</v>
      </c>
      <c r="J1874" s="7" t="s">
        <v>832</v>
      </c>
      <c r="K1874" s="7" t="s">
        <v>29</v>
      </c>
      <c r="L1874" s="3" t="str">
        <f>E1874&amp;D1874</f>
        <v>E.SP.IPAEE_INS_SEG_C_I_CIRCUITO VIA CA_1_0030</v>
      </c>
      <c r="M1874" s="3" t="str">
        <f>IFERROR(MID(D1874,SEARCH("S_I_",D1874,1),3),"")</f>
        <v/>
      </c>
      <c r="N1874" s="3" t="str">
        <f>IFERROR(MID(D1874,SEARCH("C_I_",D1874,1),3),"")</f>
        <v>C_I</v>
      </c>
      <c r="O1874" s="3" t="str">
        <f>IF(AND(M1874="",N1874=""),"Extra","")</f>
        <v/>
      </c>
      <c r="P1874" s="3" t="str">
        <f>IF(Q1874=0,"TERCEIRO","MRS")</f>
        <v>MRS</v>
      </c>
      <c r="Q1874" s="8" t="str">
        <f>IFERROR(VLOOKUP(L1874,#REF!,4,0),"0,00")</f>
        <v>0,00</v>
      </c>
      <c r="R1874" s="9" t="s">
        <v>30</v>
      </c>
      <c r="S1874" s="9">
        <f>COUNTIF(D1874,"*_SEG_*")</f>
        <v>1</v>
      </c>
      <c r="T1874" s="9">
        <f>COUNTIF(D1874,"*_MAN_*")</f>
        <v>0</v>
      </c>
      <c r="U1874" s="9">
        <f>(RIGHT(D1874,4))*1</f>
        <v>30</v>
      </c>
      <c r="V1874" s="9" t="str">
        <f>IFERROR(VLOOKUP(I1874,#REF!,2,0),"Sinalização")</f>
        <v>Sinalização</v>
      </c>
    </row>
    <row r="1875" spans="1:22" x14ac:dyDescent="0.25">
      <c r="A1875" s="3" t="s">
        <v>22</v>
      </c>
      <c r="B1875" s="4">
        <v>23452559</v>
      </c>
      <c r="C1875" s="5" t="s">
        <v>23</v>
      </c>
      <c r="D1875" s="6" t="s">
        <v>831</v>
      </c>
      <c r="E1875" s="6" t="s">
        <v>25</v>
      </c>
      <c r="F1875" s="11">
        <v>46143</v>
      </c>
      <c r="G1875" s="6" t="s">
        <v>1079</v>
      </c>
      <c r="H1875" s="7"/>
      <c r="I1875" s="7" t="s">
        <v>818</v>
      </c>
      <c r="J1875" s="7" t="s">
        <v>832</v>
      </c>
      <c r="K1875" s="7" t="s">
        <v>29</v>
      </c>
      <c r="L1875" s="3" t="str">
        <f>E1875&amp;D1875</f>
        <v>E.SP.IPAEE_INS_SEG_C_I_CIRCUITO VIA CA_1_0030</v>
      </c>
      <c r="M1875" s="3" t="str">
        <f>IFERROR(MID(D1875,SEARCH("S_I_",D1875,1),3),"")</f>
        <v/>
      </c>
      <c r="N1875" s="3" t="str">
        <f>IFERROR(MID(D1875,SEARCH("C_I_",D1875,1),3),"")</f>
        <v>C_I</v>
      </c>
      <c r="O1875" s="3" t="str">
        <f>IF(AND(M1875="",N1875=""),"Extra","")</f>
        <v/>
      </c>
      <c r="P1875" s="3" t="str">
        <f>IF(Q1875=0,"TERCEIRO","MRS")</f>
        <v>MRS</v>
      </c>
      <c r="Q1875" s="8" t="str">
        <f>IFERROR(VLOOKUP(L1875,#REF!,4,0),"0,00")</f>
        <v>0,00</v>
      </c>
      <c r="R1875" s="9" t="s">
        <v>30</v>
      </c>
      <c r="S1875" s="9">
        <f>COUNTIF(D1875,"*_SEG_*")</f>
        <v>1</v>
      </c>
      <c r="T1875" s="9">
        <f>COUNTIF(D1875,"*_MAN_*")</f>
        <v>0</v>
      </c>
      <c r="U1875" s="9">
        <f>(RIGHT(D1875,4))*1</f>
        <v>30</v>
      </c>
      <c r="V1875" s="9" t="str">
        <f>IFERROR(VLOOKUP(I1875,#REF!,2,0),"Sinalização")</f>
        <v>Sinalização</v>
      </c>
    </row>
    <row r="1876" spans="1:22" x14ac:dyDescent="0.25">
      <c r="A1876" s="3" t="s">
        <v>22</v>
      </c>
      <c r="B1876" s="4">
        <v>23452560</v>
      </c>
      <c r="C1876" s="5" t="s">
        <v>23</v>
      </c>
      <c r="D1876" s="6" t="s">
        <v>831</v>
      </c>
      <c r="E1876" s="6" t="s">
        <v>25</v>
      </c>
      <c r="F1876" s="11">
        <v>46143</v>
      </c>
      <c r="G1876" s="6" t="s">
        <v>1079</v>
      </c>
      <c r="H1876" s="7"/>
      <c r="I1876" s="7" t="s">
        <v>819</v>
      </c>
      <c r="J1876" s="7" t="s">
        <v>832</v>
      </c>
      <c r="K1876" s="7" t="s">
        <v>29</v>
      </c>
      <c r="L1876" s="3" t="str">
        <f>E1876&amp;D1876</f>
        <v>E.SP.IPAEE_INS_SEG_C_I_CIRCUITO VIA CA_1_0030</v>
      </c>
      <c r="M1876" s="3" t="str">
        <f>IFERROR(MID(D1876,SEARCH("S_I_",D1876,1),3),"")</f>
        <v/>
      </c>
      <c r="N1876" s="3" t="str">
        <f>IFERROR(MID(D1876,SEARCH("C_I_",D1876,1),3),"")</f>
        <v>C_I</v>
      </c>
      <c r="O1876" s="3" t="str">
        <f>IF(AND(M1876="",N1876=""),"Extra","")</f>
        <v/>
      </c>
      <c r="P1876" s="3" t="str">
        <f>IF(Q1876=0,"TERCEIRO","MRS")</f>
        <v>MRS</v>
      </c>
      <c r="Q1876" s="8" t="str">
        <f>IFERROR(VLOOKUP(L1876,#REF!,4,0),"0,00")</f>
        <v>0,00</v>
      </c>
      <c r="R1876" s="9" t="s">
        <v>30</v>
      </c>
      <c r="S1876" s="9">
        <f>COUNTIF(D1876,"*_SEG_*")</f>
        <v>1</v>
      </c>
      <c r="T1876" s="9">
        <f>COUNTIF(D1876,"*_MAN_*")</f>
        <v>0</v>
      </c>
      <c r="U1876" s="9">
        <f>(RIGHT(D1876,4))*1</f>
        <v>30</v>
      </c>
      <c r="V1876" s="9" t="str">
        <f>IFERROR(VLOOKUP(I1876,#REF!,2,0),"Sinalização")</f>
        <v>Sinalização</v>
      </c>
    </row>
    <row r="1877" spans="1:22" x14ac:dyDescent="0.25">
      <c r="A1877" s="3" t="s">
        <v>22</v>
      </c>
      <c r="B1877" s="4">
        <v>23452568</v>
      </c>
      <c r="C1877" s="5" t="s">
        <v>23</v>
      </c>
      <c r="D1877" s="6" t="s">
        <v>833</v>
      </c>
      <c r="E1877" s="6" t="s">
        <v>25</v>
      </c>
      <c r="F1877" s="11">
        <v>46143</v>
      </c>
      <c r="G1877" s="6" t="s">
        <v>1079</v>
      </c>
      <c r="H1877" s="7"/>
      <c r="I1877" s="7" t="s">
        <v>247</v>
      </c>
      <c r="J1877" s="7" t="s">
        <v>834</v>
      </c>
      <c r="K1877" s="7" t="s">
        <v>29</v>
      </c>
      <c r="L1877" s="3" t="str">
        <f>E1877&amp;D1877</f>
        <v>E.SP.IPAEE_INS_CONF_S_I_MCH 110V GRS 55BR R_0030</v>
      </c>
      <c r="M1877" s="3" t="str">
        <f>IFERROR(MID(D1877,SEARCH("S_I_",D1877,1),3),"")</f>
        <v>S_I</v>
      </c>
      <c r="N1877" s="3" t="str">
        <f>IFERROR(MID(D1877,SEARCH("C_I_",D1877,1),3),"")</f>
        <v/>
      </c>
      <c r="O1877" s="3" t="str">
        <f>IF(AND(M1877="",N1877=""),"Extra","")</f>
        <v/>
      </c>
      <c r="P1877" s="3" t="str">
        <f>IF(Q1877=0,"TERCEIRO","MRS")</f>
        <v>MRS</v>
      </c>
      <c r="Q1877" s="8" t="str">
        <f>IFERROR(VLOOKUP(L1877,#REF!,4,0),"0,00")</f>
        <v>0,00</v>
      </c>
      <c r="R1877" s="9" t="s">
        <v>57</v>
      </c>
      <c r="S1877" s="9">
        <f>COUNTIF(D1877,"*_SEG_*")</f>
        <v>0</v>
      </c>
      <c r="T1877" s="9">
        <f>COUNTIF(D1877,"*_MAN_*")</f>
        <v>0</v>
      </c>
      <c r="U1877" s="9">
        <f>(RIGHT(D1877,4))*1</f>
        <v>30</v>
      </c>
      <c r="V1877" s="9" t="str">
        <f>IFERROR(VLOOKUP(I1877,#REF!,2,0),"Sinalização")</f>
        <v>Sinalização</v>
      </c>
    </row>
    <row r="1878" spans="1:22" x14ac:dyDescent="0.25">
      <c r="A1878" s="3" t="s">
        <v>22</v>
      </c>
      <c r="B1878" s="4">
        <v>23452569</v>
      </c>
      <c r="C1878" s="5" t="s">
        <v>23</v>
      </c>
      <c r="D1878" s="6" t="s">
        <v>833</v>
      </c>
      <c r="E1878" s="6" t="s">
        <v>25</v>
      </c>
      <c r="F1878" s="11">
        <v>46143</v>
      </c>
      <c r="G1878" s="6" t="s">
        <v>1079</v>
      </c>
      <c r="H1878" s="7"/>
      <c r="I1878" s="7" t="s">
        <v>698</v>
      </c>
      <c r="J1878" s="7" t="s">
        <v>834</v>
      </c>
      <c r="K1878" s="7" t="s">
        <v>29</v>
      </c>
      <c r="L1878" s="3" t="str">
        <f>E1878&amp;D1878</f>
        <v>E.SP.IPAEE_INS_CONF_S_I_MCH 110V GRS 55BR R_0030</v>
      </c>
      <c r="M1878" s="3" t="str">
        <f>IFERROR(MID(D1878,SEARCH("S_I_",D1878,1),3),"")</f>
        <v>S_I</v>
      </c>
      <c r="N1878" s="3" t="str">
        <f>IFERROR(MID(D1878,SEARCH("C_I_",D1878,1),3),"")</f>
        <v/>
      </c>
      <c r="O1878" s="3" t="str">
        <f>IF(AND(M1878="",N1878=""),"Extra","")</f>
        <v/>
      </c>
      <c r="P1878" s="3" t="str">
        <f>IF(Q1878=0,"TERCEIRO","MRS")</f>
        <v>MRS</v>
      </c>
      <c r="Q1878" s="8" t="str">
        <f>IFERROR(VLOOKUP(L1878,#REF!,4,0),"0,00")</f>
        <v>0,00</v>
      </c>
      <c r="R1878" s="9" t="s">
        <v>57</v>
      </c>
      <c r="S1878" s="9">
        <f>COUNTIF(D1878,"*_SEG_*")</f>
        <v>0</v>
      </c>
      <c r="T1878" s="9">
        <f>COUNTIF(D1878,"*_MAN_*")</f>
        <v>0</v>
      </c>
      <c r="U1878" s="9">
        <f>(RIGHT(D1878,4))*1</f>
        <v>30</v>
      </c>
      <c r="V1878" s="9" t="str">
        <f>IFERROR(VLOOKUP(I1878,#REF!,2,0),"Sinalização")</f>
        <v>Sinalização</v>
      </c>
    </row>
    <row r="1879" spans="1:22" x14ac:dyDescent="0.25">
      <c r="A1879" s="3" t="s">
        <v>22</v>
      </c>
      <c r="B1879" s="4">
        <v>23452752</v>
      </c>
      <c r="C1879" s="5" t="s">
        <v>23</v>
      </c>
      <c r="D1879" s="6" t="s">
        <v>835</v>
      </c>
      <c r="E1879" s="6" t="s">
        <v>25</v>
      </c>
      <c r="F1879" s="11">
        <v>46143</v>
      </c>
      <c r="G1879" s="6" t="s">
        <v>1079</v>
      </c>
      <c r="H1879" s="7"/>
      <c r="I1879" s="7" t="s">
        <v>819</v>
      </c>
      <c r="J1879" s="7" t="s">
        <v>836</v>
      </c>
      <c r="K1879" s="7" t="s">
        <v>29</v>
      </c>
      <c r="L1879" s="3" t="str">
        <f>E1879&amp;D1879</f>
        <v>E.SP.IPAEE_INS_CONF_S_I_CIRCUITO VIA CA_0030</v>
      </c>
      <c r="M1879" s="3" t="str">
        <f>IFERROR(MID(D1879,SEARCH("S_I_",D1879,1),3),"")</f>
        <v>S_I</v>
      </c>
      <c r="N1879" s="3" t="str">
        <f>IFERROR(MID(D1879,SEARCH("C_I_",D1879,1),3),"")</f>
        <v/>
      </c>
      <c r="O1879" s="3" t="str">
        <f>IF(AND(M1879="",N1879=""),"Extra","")</f>
        <v/>
      </c>
      <c r="P1879" s="3" t="str">
        <f>IF(Q1879=0,"TERCEIRO","MRS")</f>
        <v>MRS</v>
      </c>
      <c r="Q1879" s="8" t="str">
        <f>IFERROR(VLOOKUP(L1879,#REF!,4,0),"0,00")</f>
        <v>0,00</v>
      </c>
      <c r="R1879" s="9" t="s">
        <v>42</v>
      </c>
      <c r="S1879" s="9">
        <f>COUNTIF(D1879,"*_SEG_*")</f>
        <v>0</v>
      </c>
      <c r="T1879" s="9">
        <f>COUNTIF(D1879,"*_MAN_*")</f>
        <v>0</v>
      </c>
      <c r="U1879" s="9">
        <f>(RIGHT(D1879,4))*1</f>
        <v>30</v>
      </c>
      <c r="V1879" s="9" t="str">
        <f>IFERROR(VLOOKUP(I1879,#REF!,2,0),"Sinalização")</f>
        <v>Sinalização</v>
      </c>
    </row>
    <row r="1880" spans="1:22" x14ac:dyDescent="0.25">
      <c r="A1880" s="3" t="s">
        <v>22</v>
      </c>
      <c r="B1880" s="4">
        <v>23452755</v>
      </c>
      <c r="C1880" s="5" t="s">
        <v>23</v>
      </c>
      <c r="D1880" s="6" t="s">
        <v>835</v>
      </c>
      <c r="E1880" s="6" t="s">
        <v>25</v>
      </c>
      <c r="F1880" s="11">
        <v>46143</v>
      </c>
      <c r="G1880" s="6" t="s">
        <v>1079</v>
      </c>
      <c r="H1880" s="7"/>
      <c r="I1880" s="7" t="s">
        <v>818</v>
      </c>
      <c r="J1880" s="7" t="s">
        <v>836</v>
      </c>
      <c r="K1880" s="7" t="s">
        <v>29</v>
      </c>
      <c r="L1880" s="3" t="str">
        <f>E1880&amp;D1880</f>
        <v>E.SP.IPAEE_INS_CONF_S_I_CIRCUITO VIA CA_0030</v>
      </c>
      <c r="M1880" s="3" t="str">
        <f>IFERROR(MID(D1880,SEARCH("S_I_",D1880,1),3),"")</f>
        <v>S_I</v>
      </c>
      <c r="N1880" s="3" t="str">
        <f>IFERROR(MID(D1880,SEARCH("C_I_",D1880,1),3),"")</f>
        <v/>
      </c>
      <c r="O1880" s="3" t="str">
        <f>IF(AND(M1880="",N1880=""),"Extra","")</f>
        <v/>
      </c>
      <c r="P1880" s="3" t="str">
        <f>IF(Q1880=0,"TERCEIRO","MRS")</f>
        <v>MRS</v>
      </c>
      <c r="Q1880" s="8" t="str">
        <f>IFERROR(VLOOKUP(L1880,#REF!,4,0),"0,00")</f>
        <v>0,00</v>
      </c>
      <c r="R1880" s="9" t="s">
        <v>42</v>
      </c>
      <c r="S1880" s="9">
        <f>COUNTIF(D1880,"*_SEG_*")</f>
        <v>0</v>
      </c>
      <c r="T1880" s="9">
        <f>COUNTIF(D1880,"*_MAN_*")</f>
        <v>0</v>
      </c>
      <c r="U1880" s="9">
        <f>(RIGHT(D1880,4))*1</f>
        <v>30</v>
      </c>
      <c r="V1880" s="9" t="str">
        <f>IFERROR(VLOOKUP(I1880,#REF!,2,0),"Sinalização")</f>
        <v>Sinalização</v>
      </c>
    </row>
    <row r="1881" spans="1:22" x14ac:dyDescent="0.25">
      <c r="A1881" s="3" t="s">
        <v>22</v>
      </c>
      <c r="B1881" s="4">
        <v>23452766</v>
      </c>
      <c r="C1881" s="5" t="s">
        <v>23</v>
      </c>
      <c r="D1881" s="6" t="s">
        <v>835</v>
      </c>
      <c r="E1881" s="6" t="s">
        <v>25</v>
      </c>
      <c r="F1881" s="11">
        <v>46143</v>
      </c>
      <c r="G1881" s="6" t="s">
        <v>1079</v>
      </c>
      <c r="H1881" s="7"/>
      <c r="I1881" s="7" t="s">
        <v>233</v>
      </c>
      <c r="J1881" s="7" t="s">
        <v>836</v>
      </c>
      <c r="K1881" s="7" t="s">
        <v>29</v>
      </c>
      <c r="L1881" s="3" t="str">
        <f>E1881&amp;D1881</f>
        <v>E.SP.IPAEE_INS_CONF_S_I_CIRCUITO VIA CA_0030</v>
      </c>
      <c r="M1881" s="3" t="str">
        <f>IFERROR(MID(D1881,SEARCH("S_I_",D1881,1),3),"")</f>
        <v>S_I</v>
      </c>
      <c r="N1881" s="3" t="str">
        <f>IFERROR(MID(D1881,SEARCH("C_I_",D1881,1),3),"")</f>
        <v/>
      </c>
      <c r="O1881" s="3" t="str">
        <f>IF(AND(M1881="",N1881=""),"Extra","")</f>
        <v/>
      </c>
      <c r="P1881" s="3" t="str">
        <f>IF(Q1881=0,"TERCEIRO","MRS")</f>
        <v>MRS</v>
      </c>
      <c r="Q1881" s="8" t="str">
        <f>IFERROR(VLOOKUP(L1881,#REF!,4,0),"0,00")</f>
        <v>0,00</v>
      </c>
      <c r="R1881" s="9" t="s">
        <v>42</v>
      </c>
      <c r="S1881" s="9">
        <f>COUNTIF(D1881,"*_SEG_*")</f>
        <v>0</v>
      </c>
      <c r="T1881" s="9">
        <f>COUNTIF(D1881,"*_MAN_*")</f>
        <v>0</v>
      </c>
      <c r="U1881" s="9">
        <f>(RIGHT(D1881,4))*1</f>
        <v>30</v>
      </c>
      <c r="V1881" s="9" t="str">
        <f>IFERROR(VLOOKUP(I1881,#REF!,2,0),"Sinalização")</f>
        <v>Sinalização</v>
      </c>
    </row>
    <row r="1882" spans="1:22" x14ac:dyDescent="0.25">
      <c r="A1882" s="3" t="s">
        <v>22</v>
      </c>
      <c r="B1882" s="4">
        <v>23452769</v>
      </c>
      <c r="C1882" s="5" t="s">
        <v>23</v>
      </c>
      <c r="D1882" s="6" t="s">
        <v>835</v>
      </c>
      <c r="E1882" s="6" t="s">
        <v>25</v>
      </c>
      <c r="F1882" s="11">
        <v>46143</v>
      </c>
      <c r="G1882" s="6" t="s">
        <v>1079</v>
      </c>
      <c r="H1882" s="7"/>
      <c r="I1882" s="7" t="s">
        <v>451</v>
      </c>
      <c r="J1882" s="7" t="s">
        <v>836</v>
      </c>
      <c r="K1882" s="7" t="s">
        <v>29</v>
      </c>
      <c r="L1882" s="3" t="str">
        <f>E1882&amp;D1882</f>
        <v>E.SP.IPAEE_INS_CONF_S_I_CIRCUITO VIA CA_0030</v>
      </c>
      <c r="M1882" s="3" t="str">
        <f>IFERROR(MID(D1882,SEARCH("S_I_",D1882,1),3),"")</f>
        <v>S_I</v>
      </c>
      <c r="N1882" s="3" t="str">
        <f>IFERROR(MID(D1882,SEARCH("C_I_",D1882,1),3),"")</f>
        <v/>
      </c>
      <c r="O1882" s="3" t="str">
        <f>IF(AND(M1882="",N1882=""),"Extra","")</f>
        <v/>
      </c>
      <c r="P1882" s="3" t="str">
        <f>IF(Q1882=0,"TERCEIRO","MRS")</f>
        <v>MRS</v>
      </c>
      <c r="Q1882" s="8" t="str">
        <f>IFERROR(VLOOKUP(L1882,#REF!,4,0),"0,00")</f>
        <v>0,00</v>
      </c>
      <c r="R1882" s="9" t="s">
        <v>42</v>
      </c>
      <c r="S1882" s="9">
        <f>COUNTIF(D1882,"*_SEG_*")</f>
        <v>0</v>
      </c>
      <c r="T1882" s="9">
        <f>COUNTIF(D1882,"*_MAN_*")</f>
        <v>0</v>
      </c>
      <c r="U1882" s="9">
        <f>(RIGHT(D1882,4))*1</f>
        <v>30</v>
      </c>
      <c r="V1882" s="9" t="str">
        <f>IFERROR(VLOOKUP(I1882,#REF!,2,0),"Sinalização")</f>
        <v>Sinalização</v>
      </c>
    </row>
    <row r="1883" spans="1:22" x14ac:dyDescent="0.25">
      <c r="A1883" s="3" t="s">
        <v>22</v>
      </c>
      <c r="B1883" s="4">
        <v>23452806</v>
      </c>
      <c r="C1883" s="5" t="s">
        <v>23</v>
      </c>
      <c r="D1883" s="6" t="s">
        <v>835</v>
      </c>
      <c r="E1883" s="6" t="s">
        <v>25</v>
      </c>
      <c r="F1883" s="11">
        <v>46143</v>
      </c>
      <c r="G1883" s="6" t="s">
        <v>1079</v>
      </c>
      <c r="H1883" s="7"/>
      <c r="I1883" s="7" t="s">
        <v>817</v>
      </c>
      <c r="J1883" s="7" t="s">
        <v>836</v>
      </c>
      <c r="K1883" s="7" t="s">
        <v>29</v>
      </c>
      <c r="L1883" s="3" t="str">
        <f>E1883&amp;D1883</f>
        <v>E.SP.IPAEE_INS_CONF_S_I_CIRCUITO VIA CA_0030</v>
      </c>
      <c r="M1883" s="3" t="str">
        <f>IFERROR(MID(D1883,SEARCH("S_I_",D1883,1),3),"")</f>
        <v>S_I</v>
      </c>
      <c r="N1883" s="3" t="str">
        <f>IFERROR(MID(D1883,SEARCH("C_I_",D1883,1),3),"")</f>
        <v/>
      </c>
      <c r="O1883" s="3" t="str">
        <f>IF(AND(M1883="",N1883=""),"Extra","")</f>
        <v/>
      </c>
      <c r="P1883" s="3" t="str">
        <f>IF(Q1883=0,"TERCEIRO","MRS")</f>
        <v>MRS</v>
      </c>
      <c r="Q1883" s="8" t="str">
        <f>IFERROR(VLOOKUP(L1883,#REF!,4,0),"0,00")</f>
        <v>0,00</v>
      </c>
      <c r="R1883" s="9" t="s">
        <v>42</v>
      </c>
      <c r="S1883" s="9">
        <f>COUNTIF(D1883,"*_SEG_*")</f>
        <v>0</v>
      </c>
      <c r="T1883" s="9">
        <f>COUNTIF(D1883,"*_MAN_*")</f>
        <v>0</v>
      </c>
      <c r="U1883" s="9">
        <f>(RIGHT(D1883,4))*1</f>
        <v>30</v>
      </c>
      <c r="V1883" s="9" t="str">
        <f>IFERROR(VLOOKUP(I1883,#REF!,2,0),"Sinalização")</f>
        <v>Sinalização</v>
      </c>
    </row>
    <row r="1884" spans="1:22" x14ac:dyDescent="0.25">
      <c r="A1884" s="3" t="s">
        <v>22</v>
      </c>
      <c r="B1884" s="4">
        <v>23452807</v>
      </c>
      <c r="C1884" s="5" t="s">
        <v>23</v>
      </c>
      <c r="D1884" s="6" t="s">
        <v>835</v>
      </c>
      <c r="E1884" s="6" t="s">
        <v>25</v>
      </c>
      <c r="F1884" s="11">
        <v>46143</v>
      </c>
      <c r="G1884" s="6" t="s">
        <v>1079</v>
      </c>
      <c r="H1884" s="7"/>
      <c r="I1884" s="7" t="s">
        <v>815</v>
      </c>
      <c r="J1884" s="7" t="s">
        <v>836</v>
      </c>
      <c r="K1884" s="7" t="s">
        <v>29</v>
      </c>
      <c r="L1884" s="3" t="str">
        <f>E1884&amp;D1884</f>
        <v>E.SP.IPAEE_INS_CONF_S_I_CIRCUITO VIA CA_0030</v>
      </c>
      <c r="M1884" s="3" t="str">
        <f>IFERROR(MID(D1884,SEARCH("S_I_",D1884,1),3),"")</f>
        <v>S_I</v>
      </c>
      <c r="N1884" s="3" t="str">
        <f>IFERROR(MID(D1884,SEARCH("C_I_",D1884,1),3),"")</f>
        <v/>
      </c>
      <c r="O1884" s="3" t="str">
        <f>IF(AND(M1884="",N1884=""),"Extra","")</f>
        <v/>
      </c>
      <c r="P1884" s="3" t="str">
        <f>IF(Q1884=0,"TERCEIRO","MRS")</f>
        <v>MRS</v>
      </c>
      <c r="Q1884" s="8" t="str">
        <f>IFERROR(VLOOKUP(L1884,#REF!,4,0),"0,00")</f>
        <v>0,00</v>
      </c>
      <c r="R1884" s="9" t="s">
        <v>42</v>
      </c>
      <c r="S1884" s="9">
        <f>COUNTIF(D1884,"*_SEG_*")</f>
        <v>0</v>
      </c>
      <c r="T1884" s="9">
        <f>COUNTIF(D1884,"*_MAN_*")</f>
        <v>0</v>
      </c>
      <c r="U1884" s="9">
        <f>(RIGHT(D1884,4))*1</f>
        <v>30</v>
      </c>
      <c r="V1884" s="9" t="str">
        <f>IFERROR(VLOOKUP(I1884,#REF!,2,0),"Sinalização")</f>
        <v>Sinalização</v>
      </c>
    </row>
    <row r="1885" spans="1:22" x14ac:dyDescent="0.25">
      <c r="A1885" s="3" t="s">
        <v>22</v>
      </c>
      <c r="B1885" s="4">
        <v>23452815</v>
      </c>
      <c r="C1885" s="5" t="s">
        <v>23</v>
      </c>
      <c r="D1885" s="6" t="s">
        <v>837</v>
      </c>
      <c r="E1885" s="6" t="s">
        <v>25</v>
      </c>
      <c r="F1885" s="11">
        <v>46143</v>
      </c>
      <c r="G1885" s="6" t="s">
        <v>1079</v>
      </c>
      <c r="H1885" s="7"/>
      <c r="I1885" s="7" t="s">
        <v>693</v>
      </c>
      <c r="J1885" s="7" t="s">
        <v>810</v>
      </c>
      <c r="K1885" s="7" t="s">
        <v>29</v>
      </c>
      <c r="L1885" s="3" t="str">
        <f>E1885&amp;D1885</f>
        <v>E.SP.IPAEE_MAN_CONF_C_I_MCH MAN C/CONTR_0030</v>
      </c>
      <c r="M1885" s="3" t="str">
        <f>IFERROR(MID(D1885,SEARCH("S_I_",D1885,1),3),"")</f>
        <v/>
      </c>
      <c r="N1885" s="3" t="str">
        <f>IFERROR(MID(D1885,SEARCH("C_I_",D1885,1),3),"")</f>
        <v>C_I</v>
      </c>
      <c r="O1885" s="3" t="str">
        <f>IF(AND(M1885="",N1885=""),"Extra","")</f>
        <v/>
      </c>
      <c r="P1885" s="3" t="str">
        <f>IF(Q1885=0,"TERCEIRO","MRS")</f>
        <v>MRS</v>
      </c>
      <c r="Q1885" s="8" t="str">
        <f>IFERROR(VLOOKUP(L1885,#REF!,4,0),"0,00")</f>
        <v>0,00</v>
      </c>
      <c r="R1885" s="9" t="s">
        <v>42</v>
      </c>
      <c r="S1885" s="9">
        <f>COUNTIF(D1885,"*_SEG_*")</f>
        <v>0</v>
      </c>
      <c r="T1885" s="9">
        <f>COUNTIF(D1885,"*_MAN_*")</f>
        <v>1</v>
      </c>
      <c r="U1885" s="9">
        <f>(RIGHT(D1885,4))*1</f>
        <v>30</v>
      </c>
      <c r="V1885" s="9" t="str">
        <f>IFERROR(VLOOKUP(I1885,#REF!,2,0),"Sinalização")</f>
        <v>Sinalização</v>
      </c>
    </row>
    <row r="1886" spans="1:22" x14ac:dyDescent="0.25">
      <c r="A1886" s="3" t="s">
        <v>22</v>
      </c>
      <c r="B1886" s="4">
        <v>23452816</v>
      </c>
      <c r="C1886" s="5" t="s">
        <v>23</v>
      </c>
      <c r="D1886" s="6" t="s">
        <v>837</v>
      </c>
      <c r="E1886" s="6" t="s">
        <v>25</v>
      </c>
      <c r="F1886" s="11">
        <v>46143</v>
      </c>
      <c r="G1886" s="6" t="s">
        <v>1079</v>
      </c>
      <c r="H1886" s="7"/>
      <c r="I1886" s="7" t="s">
        <v>562</v>
      </c>
      <c r="J1886" s="7" t="s">
        <v>810</v>
      </c>
      <c r="K1886" s="7" t="s">
        <v>29</v>
      </c>
      <c r="L1886" s="3" t="str">
        <f>E1886&amp;D1886</f>
        <v>E.SP.IPAEE_MAN_CONF_C_I_MCH MAN C/CONTR_0030</v>
      </c>
      <c r="M1886" s="3" t="str">
        <f>IFERROR(MID(D1886,SEARCH("S_I_",D1886,1),3),"")</f>
        <v/>
      </c>
      <c r="N1886" s="3" t="str">
        <f>IFERROR(MID(D1886,SEARCH("C_I_",D1886,1),3),"")</f>
        <v>C_I</v>
      </c>
      <c r="O1886" s="3" t="str">
        <f>IF(AND(M1886="",N1886=""),"Extra","")</f>
        <v/>
      </c>
      <c r="P1886" s="3" t="str">
        <f>IF(Q1886=0,"TERCEIRO","MRS")</f>
        <v>MRS</v>
      </c>
      <c r="Q1886" s="8" t="str">
        <f>IFERROR(VLOOKUP(L1886,#REF!,4,0),"0,00")</f>
        <v>0,00</v>
      </c>
      <c r="R1886" s="9" t="s">
        <v>42</v>
      </c>
      <c r="S1886" s="9">
        <f>COUNTIF(D1886,"*_SEG_*")</f>
        <v>0</v>
      </c>
      <c r="T1886" s="9">
        <f>COUNTIF(D1886,"*_MAN_*")</f>
        <v>1</v>
      </c>
      <c r="U1886" s="9">
        <f>(RIGHT(D1886,4))*1</f>
        <v>30</v>
      </c>
      <c r="V1886" s="9" t="str">
        <f>IFERROR(VLOOKUP(I1886,#REF!,2,0),"Sinalização")</f>
        <v>Sinalização</v>
      </c>
    </row>
    <row r="1887" spans="1:22" x14ac:dyDescent="0.25">
      <c r="A1887" s="3" t="s">
        <v>22</v>
      </c>
      <c r="B1887" s="4">
        <v>23452824</v>
      </c>
      <c r="C1887" s="5" t="s">
        <v>23</v>
      </c>
      <c r="D1887" s="6" t="s">
        <v>838</v>
      </c>
      <c r="E1887" s="6" t="s">
        <v>25</v>
      </c>
      <c r="F1887" s="11">
        <v>46143</v>
      </c>
      <c r="G1887" s="6" t="s">
        <v>1079</v>
      </c>
      <c r="H1887" s="7"/>
      <c r="I1887" s="7" t="s">
        <v>554</v>
      </c>
      <c r="J1887" s="7" t="s">
        <v>839</v>
      </c>
      <c r="K1887" s="7" t="s">
        <v>29</v>
      </c>
      <c r="L1887" s="3" t="str">
        <f>E1887&amp;D1887</f>
        <v>E.SP.IPAEE_INS_CONF_C_I_MAQ CHAVE MOLA_0030</v>
      </c>
      <c r="M1887" s="3" t="str">
        <f>IFERROR(MID(D1887,SEARCH("S_I_",D1887,1),3),"")</f>
        <v/>
      </c>
      <c r="N1887" s="3" t="str">
        <f>IFERROR(MID(D1887,SEARCH("C_I_",D1887,1),3),"")</f>
        <v>C_I</v>
      </c>
      <c r="O1887" s="3" t="str">
        <f>IF(AND(M1887="",N1887=""),"Extra","")</f>
        <v/>
      </c>
      <c r="P1887" s="3" t="str">
        <f>IF(Q1887=0,"TERCEIRO","MRS")</f>
        <v>MRS</v>
      </c>
      <c r="Q1887" s="8" t="str">
        <f>IFERROR(VLOOKUP(L1887,#REF!,4,0),"0,00")</f>
        <v>0,00</v>
      </c>
      <c r="R1887" s="9" t="s">
        <v>42</v>
      </c>
      <c r="S1887" s="9">
        <f>COUNTIF(D1887,"*_SEG_*")</f>
        <v>0</v>
      </c>
      <c r="T1887" s="9">
        <f>COUNTIF(D1887,"*_MAN_*")</f>
        <v>0</v>
      </c>
      <c r="U1887" s="9">
        <f>(RIGHT(D1887,4))*1</f>
        <v>30</v>
      </c>
      <c r="V1887" s="9" t="str">
        <f>IFERROR(VLOOKUP(I1887,#REF!,2,0),"Sinalização")</f>
        <v>Sinalização</v>
      </c>
    </row>
    <row r="1888" spans="1:22" x14ac:dyDescent="0.25">
      <c r="A1888" s="3" t="s">
        <v>22</v>
      </c>
      <c r="B1888" s="4">
        <v>23452825</v>
      </c>
      <c r="C1888" s="5" t="s">
        <v>23</v>
      </c>
      <c r="D1888" s="6" t="s">
        <v>838</v>
      </c>
      <c r="E1888" s="6" t="s">
        <v>25</v>
      </c>
      <c r="F1888" s="11">
        <v>46143</v>
      </c>
      <c r="G1888" s="6" t="s">
        <v>1079</v>
      </c>
      <c r="H1888" s="7"/>
      <c r="I1888" s="7" t="s">
        <v>271</v>
      </c>
      <c r="J1888" s="7" t="s">
        <v>839</v>
      </c>
      <c r="K1888" s="7" t="s">
        <v>29</v>
      </c>
      <c r="L1888" s="3" t="str">
        <f>E1888&amp;D1888</f>
        <v>E.SP.IPAEE_INS_CONF_C_I_MAQ CHAVE MOLA_0030</v>
      </c>
      <c r="M1888" s="3" t="str">
        <f>IFERROR(MID(D1888,SEARCH("S_I_",D1888,1),3),"")</f>
        <v/>
      </c>
      <c r="N1888" s="3" t="str">
        <f>IFERROR(MID(D1888,SEARCH("C_I_",D1888,1),3),"")</f>
        <v>C_I</v>
      </c>
      <c r="O1888" s="3" t="str">
        <f>IF(AND(M1888="",N1888=""),"Extra","")</f>
        <v/>
      </c>
      <c r="P1888" s="3" t="str">
        <f>IF(Q1888=0,"TERCEIRO","MRS")</f>
        <v>MRS</v>
      </c>
      <c r="Q1888" s="8" t="str">
        <f>IFERROR(VLOOKUP(L1888,#REF!,4,0),"0,00")</f>
        <v>0,00</v>
      </c>
      <c r="R1888" s="9" t="s">
        <v>42</v>
      </c>
      <c r="S1888" s="9">
        <f>COUNTIF(D1888,"*_SEG_*")</f>
        <v>0</v>
      </c>
      <c r="T1888" s="9">
        <f>COUNTIF(D1888,"*_MAN_*")</f>
        <v>0</v>
      </c>
      <c r="U1888" s="9">
        <f>(RIGHT(D1888,4))*1</f>
        <v>30</v>
      </c>
      <c r="V1888" s="9" t="str">
        <f>IFERROR(VLOOKUP(I1888,#REF!,2,0),"Sinalização")</f>
        <v>Sinalização</v>
      </c>
    </row>
    <row r="1889" spans="1:22" x14ac:dyDescent="0.25">
      <c r="A1889" s="3" t="s">
        <v>22</v>
      </c>
      <c r="B1889" s="4">
        <v>23452840</v>
      </c>
      <c r="C1889" s="5" t="s">
        <v>23</v>
      </c>
      <c r="D1889" s="6" t="s">
        <v>840</v>
      </c>
      <c r="E1889" s="6" t="s">
        <v>25</v>
      </c>
      <c r="F1889" s="11">
        <v>46143</v>
      </c>
      <c r="G1889" s="6" t="s">
        <v>1079</v>
      </c>
      <c r="H1889" s="7"/>
      <c r="I1889" s="7" t="s">
        <v>693</v>
      </c>
      <c r="J1889" s="7" t="s">
        <v>805</v>
      </c>
      <c r="K1889" s="7" t="s">
        <v>29</v>
      </c>
      <c r="L1889" s="3" t="str">
        <f>E1889&amp;D1889</f>
        <v>E.SP.IPAEE_INS_CONF_S_I_MCH MAN C/CONTR_0030</v>
      </c>
      <c r="M1889" s="3" t="str">
        <f>IFERROR(MID(D1889,SEARCH("S_I_",D1889,1),3),"")</f>
        <v>S_I</v>
      </c>
      <c r="N1889" s="3" t="str">
        <f>IFERROR(MID(D1889,SEARCH("C_I_",D1889,1),3),"")</f>
        <v/>
      </c>
      <c r="O1889" s="3" t="str">
        <f>IF(AND(M1889="",N1889=""),"Extra","")</f>
        <v/>
      </c>
      <c r="P1889" s="3" t="str">
        <f>IF(Q1889=0,"TERCEIRO","MRS")</f>
        <v>MRS</v>
      </c>
      <c r="Q1889" s="8" t="str">
        <f>IFERROR(VLOOKUP(L1889,#REF!,4,0),"0,00")</f>
        <v>0,00</v>
      </c>
      <c r="R1889" s="9" t="s">
        <v>42</v>
      </c>
      <c r="S1889" s="9">
        <f>COUNTIF(D1889,"*_SEG_*")</f>
        <v>0</v>
      </c>
      <c r="T1889" s="9">
        <f>COUNTIF(D1889,"*_MAN_*")</f>
        <v>0</v>
      </c>
      <c r="U1889" s="9">
        <f>(RIGHT(D1889,4))*1</f>
        <v>30</v>
      </c>
      <c r="V1889" s="9" t="str">
        <f>IFERROR(VLOOKUP(I1889,#REF!,2,0),"Sinalização")</f>
        <v>Sinalização</v>
      </c>
    </row>
    <row r="1890" spans="1:22" x14ac:dyDescent="0.25">
      <c r="A1890" s="3" t="s">
        <v>22</v>
      </c>
      <c r="B1890" s="4">
        <v>23452842</v>
      </c>
      <c r="C1890" s="5" t="s">
        <v>23</v>
      </c>
      <c r="D1890" s="6" t="s">
        <v>840</v>
      </c>
      <c r="E1890" s="6" t="s">
        <v>25</v>
      </c>
      <c r="F1890" s="11">
        <v>46143</v>
      </c>
      <c r="G1890" s="6" t="s">
        <v>1079</v>
      </c>
      <c r="H1890" s="7"/>
      <c r="I1890" s="7" t="s">
        <v>562</v>
      </c>
      <c r="J1890" s="7" t="s">
        <v>805</v>
      </c>
      <c r="K1890" s="7" t="s">
        <v>29</v>
      </c>
      <c r="L1890" s="3" t="str">
        <f>E1890&amp;D1890</f>
        <v>E.SP.IPAEE_INS_CONF_S_I_MCH MAN C/CONTR_0030</v>
      </c>
      <c r="M1890" s="3" t="str">
        <f>IFERROR(MID(D1890,SEARCH("S_I_",D1890,1),3),"")</f>
        <v>S_I</v>
      </c>
      <c r="N1890" s="3" t="str">
        <f>IFERROR(MID(D1890,SEARCH("C_I_",D1890,1),3),"")</f>
        <v/>
      </c>
      <c r="O1890" s="3" t="str">
        <f>IF(AND(M1890="",N1890=""),"Extra","")</f>
        <v/>
      </c>
      <c r="P1890" s="3" t="str">
        <f>IF(Q1890=0,"TERCEIRO","MRS")</f>
        <v>MRS</v>
      </c>
      <c r="Q1890" s="8" t="str">
        <f>IFERROR(VLOOKUP(L1890,#REF!,4,0),"0,00")</f>
        <v>0,00</v>
      </c>
      <c r="R1890" s="9" t="s">
        <v>42</v>
      </c>
      <c r="S1890" s="9">
        <f>COUNTIF(D1890,"*_SEG_*")</f>
        <v>0</v>
      </c>
      <c r="T1890" s="9">
        <f>COUNTIF(D1890,"*_MAN_*")</f>
        <v>0</v>
      </c>
      <c r="U1890" s="9">
        <f>(RIGHT(D1890,4))*1</f>
        <v>30</v>
      </c>
      <c r="V1890" s="9" t="str">
        <f>IFERROR(VLOOKUP(I1890,#REF!,2,0),"Sinalização")</f>
        <v>Sinalização</v>
      </c>
    </row>
    <row r="1891" spans="1:22" x14ac:dyDescent="0.25">
      <c r="A1891" s="3" t="s">
        <v>22</v>
      </c>
      <c r="B1891" s="4">
        <v>23452864</v>
      </c>
      <c r="C1891" s="5" t="s">
        <v>23</v>
      </c>
      <c r="D1891" s="6" t="s">
        <v>841</v>
      </c>
      <c r="E1891" s="6" t="s">
        <v>25</v>
      </c>
      <c r="F1891" s="11">
        <v>46143</v>
      </c>
      <c r="G1891" s="6" t="s">
        <v>1079</v>
      </c>
      <c r="H1891" s="7"/>
      <c r="I1891" s="7" t="s">
        <v>693</v>
      </c>
      <c r="J1891" s="7" t="s">
        <v>842</v>
      </c>
      <c r="K1891" s="7" t="s">
        <v>29</v>
      </c>
      <c r="L1891" s="3" t="str">
        <f>E1891&amp;D1891</f>
        <v>E.SP.IPAEE_INS_CONF_C_I_MCH MAN C/CONTR_0030</v>
      </c>
      <c r="M1891" s="3" t="str">
        <f>IFERROR(MID(D1891,SEARCH("S_I_",D1891,1),3),"")</f>
        <v/>
      </c>
      <c r="N1891" s="3" t="str">
        <f>IFERROR(MID(D1891,SEARCH("C_I_",D1891,1),3),"")</f>
        <v>C_I</v>
      </c>
      <c r="O1891" s="3" t="str">
        <f>IF(AND(M1891="",N1891=""),"Extra","")</f>
        <v/>
      </c>
      <c r="P1891" s="3" t="str">
        <f>IF(Q1891=0,"TERCEIRO","MRS")</f>
        <v>MRS</v>
      </c>
      <c r="Q1891" s="8" t="str">
        <f>IFERROR(VLOOKUP(L1891,#REF!,4,0),"0,00")</f>
        <v>0,00</v>
      </c>
      <c r="R1891" s="9" t="s">
        <v>42</v>
      </c>
      <c r="S1891" s="9">
        <f>COUNTIF(D1891,"*_SEG_*")</f>
        <v>0</v>
      </c>
      <c r="T1891" s="9">
        <f>COUNTIF(D1891,"*_MAN_*")</f>
        <v>0</v>
      </c>
      <c r="U1891" s="9">
        <f>(RIGHT(D1891,4))*1</f>
        <v>30</v>
      </c>
      <c r="V1891" s="9" t="str">
        <f>IFERROR(VLOOKUP(I1891,#REF!,2,0),"Sinalização")</f>
        <v>Sinalização</v>
      </c>
    </row>
    <row r="1892" spans="1:22" x14ac:dyDescent="0.25">
      <c r="A1892" s="3" t="s">
        <v>22</v>
      </c>
      <c r="B1892" s="4">
        <v>23452865</v>
      </c>
      <c r="C1892" s="5" t="s">
        <v>23</v>
      </c>
      <c r="D1892" s="6" t="s">
        <v>841</v>
      </c>
      <c r="E1892" s="6" t="s">
        <v>25</v>
      </c>
      <c r="F1892" s="11">
        <v>46143</v>
      </c>
      <c r="G1892" s="6" t="s">
        <v>1079</v>
      </c>
      <c r="H1892" s="7"/>
      <c r="I1892" s="7" t="s">
        <v>562</v>
      </c>
      <c r="J1892" s="7" t="s">
        <v>842</v>
      </c>
      <c r="K1892" s="7" t="s">
        <v>29</v>
      </c>
      <c r="L1892" s="3" t="str">
        <f>E1892&amp;D1892</f>
        <v>E.SP.IPAEE_INS_CONF_C_I_MCH MAN C/CONTR_0030</v>
      </c>
      <c r="M1892" s="3" t="str">
        <f>IFERROR(MID(D1892,SEARCH("S_I_",D1892,1),3),"")</f>
        <v/>
      </c>
      <c r="N1892" s="3" t="str">
        <f>IFERROR(MID(D1892,SEARCH("C_I_",D1892,1),3),"")</f>
        <v>C_I</v>
      </c>
      <c r="O1892" s="3" t="str">
        <f>IF(AND(M1892="",N1892=""),"Extra","")</f>
        <v/>
      </c>
      <c r="P1892" s="3" t="str">
        <f>IF(Q1892=0,"TERCEIRO","MRS")</f>
        <v>MRS</v>
      </c>
      <c r="Q1892" s="8" t="str">
        <f>IFERROR(VLOOKUP(L1892,#REF!,4,0),"0,00")</f>
        <v>0,00</v>
      </c>
      <c r="R1892" s="9" t="s">
        <v>42</v>
      </c>
      <c r="S1892" s="9">
        <f>COUNTIF(D1892,"*_SEG_*")</f>
        <v>0</v>
      </c>
      <c r="T1892" s="9">
        <f>COUNTIF(D1892,"*_MAN_*")</f>
        <v>0</v>
      </c>
      <c r="U1892" s="9">
        <f>(RIGHT(D1892,4))*1</f>
        <v>30</v>
      </c>
      <c r="V1892" s="9" t="str">
        <f>IFERROR(VLOOKUP(I1892,#REF!,2,0),"Sinalização")</f>
        <v>Sinalização</v>
      </c>
    </row>
    <row r="1893" spans="1:22" x14ac:dyDescent="0.25">
      <c r="A1893" s="3" t="s">
        <v>22</v>
      </c>
      <c r="B1893" s="4">
        <v>23452886</v>
      </c>
      <c r="C1893" s="5" t="s">
        <v>23</v>
      </c>
      <c r="D1893" s="6" t="s">
        <v>843</v>
      </c>
      <c r="E1893" s="6" t="s">
        <v>25</v>
      </c>
      <c r="F1893" s="11">
        <v>46143</v>
      </c>
      <c r="G1893" s="6" t="s">
        <v>1079</v>
      </c>
      <c r="H1893" s="7"/>
      <c r="I1893" s="7" t="s">
        <v>554</v>
      </c>
      <c r="J1893" s="7" t="s">
        <v>844</v>
      </c>
      <c r="K1893" s="7" t="s">
        <v>29</v>
      </c>
      <c r="L1893" s="3" t="str">
        <f>E1893&amp;D1893</f>
        <v>E.SP.IPAEE_MAN_CONF_C_I_MAQ CHAVE MOLA_0030</v>
      </c>
      <c r="M1893" s="3" t="str">
        <f>IFERROR(MID(D1893,SEARCH("S_I_",D1893,1),3),"")</f>
        <v/>
      </c>
      <c r="N1893" s="3" t="str">
        <f>IFERROR(MID(D1893,SEARCH("C_I_",D1893,1),3),"")</f>
        <v>C_I</v>
      </c>
      <c r="O1893" s="3" t="str">
        <f>IF(AND(M1893="",N1893=""),"Extra","")</f>
        <v/>
      </c>
      <c r="P1893" s="3" t="str">
        <f>IF(Q1893=0,"TERCEIRO","MRS")</f>
        <v>MRS</v>
      </c>
      <c r="Q1893" s="8" t="str">
        <f>IFERROR(VLOOKUP(L1893,#REF!,4,0),"0,00")</f>
        <v>0,00</v>
      </c>
      <c r="R1893" s="9" t="s">
        <v>42</v>
      </c>
      <c r="S1893" s="9">
        <f>COUNTIF(D1893,"*_SEG_*")</f>
        <v>0</v>
      </c>
      <c r="T1893" s="9">
        <f>COUNTIF(D1893,"*_MAN_*")</f>
        <v>1</v>
      </c>
      <c r="U1893" s="9">
        <f>(RIGHT(D1893,4))*1</f>
        <v>30</v>
      </c>
      <c r="V1893" s="9" t="str">
        <f>IFERROR(VLOOKUP(I1893,#REF!,2,0),"Sinalização")</f>
        <v>Sinalização</v>
      </c>
    </row>
    <row r="1894" spans="1:22" x14ac:dyDescent="0.25">
      <c r="A1894" s="3" t="s">
        <v>22</v>
      </c>
      <c r="B1894" s="4">
        <v>23452887</v>
      </c>
      <c r="C1894" s="5" t="s">
        <v>23</v>
      </c>
      <c r="D1894" s="6" t="s">
        <v>843</v>
      </c>
      <c r="E1894" s="6" t="s">
        <v>25</v>
      </c>
      <c r="F1894" s="11">
        <v>46143</v>
      </c>
      <c r="G1894" s="6" t="s">
        <v>1079</v>
      </c>
      <c r="H1894" s="7"/>
      <c r="I1894" s="7" t="s">
        <v>273</v>
      </c>
      <c r="J1894" s="7" t="s">
        <v>844</v>
      </c>
      <c r="K1894" s="7" t="s">
        <v>29</v>
      </c>
      <c r="L1894" s="3" t="str">
        <f>E1894&amp;D1894</f>
        <v>E.SP.IPAEE_MAN_CONF_C_I_MAQ CHAVE MOLA_0030</v>
      </c>
      <c r="M1894" s="3" t="str">
        <f>IFERROR(MID(D1894,SEARCH("S_I_",D1894,1),3),"")</f>
        <v/>
      </c>
      <c r="N1894" s="3" t="str">
        <f>IFERROR(MID(D1894,SEARCH("C_I_",D1894,1),3),"")</f>
        <v>C_I</v>
      </c>
      <c r="O1894" s="3" t="str">
        <f>IF(AND(M1894="",N1894=""),"Extra","")</f>
        <v/>
      </c>
      <c r="P1894" s="3" t="str">
        <f>IF(Q1894=0,"TERCEIRO","MRS")</f>
        <v>MRS</v>
      </c>
      <c r="Q1894" s="8" t="str">
        <f>IFERROR(VLOOKUP(L1894,#REF!,4,0),"0,00")</f>
        <v>0,00</v>
      </c>
      <c r="R1894" s="9" t="s">
        <v>42</v>
      </c>
      <c r="S1894" s="9">
        <f>COUNTIF(D1894,"*_SEG_*")</f>
        <v>0</v>
      </c>
      <c r="T1894" s="9">
        <f>COUNTIF(D1894,"*_MAN_*")</f>
        <v>1</v>
      </c>
      <c r="U1894" s="9">
        <f>(RIGHT(D1894,4))*1</f>
        <v>30</v>
      </c>
      <c r="V1894" s="9" t="str">
        <f>IFERROR(VLOOKUP(I1894,#REF!,2,0),"Sinalização")</f>
        <v>Sinalização</v>
      </c>
    </row>
    <row r="1895" spans="1:22" x14ac:dyDescent="0.25">
      <c r="A1895" s="3" t="s">
        <v>22</v>
      </c>
      <c r="B1895" s="4">
        <v>23452888</v>
      </c>
      <c r="C1895" s="5" t="s">
        <v>23</v>
      </c>
      <c r="D1895" s="6" t="s">
        <v>843</v>
      </c>
      <c r="E1895" s="6" t="s">
        <v>25</v>
      </c>
      <c r="F1895" s="11">
        <v>46143</v>
      </c>
      <c r="G1895" s="6" t="s">
        <v>1079</v>
      </c>
      <c r="H1895" s="7"/>
      <c r="I1895" s="7" t="s">
        <v>271</v>
      </c>
      <c r="J1895" s="7" t="s">
        <v>844</v>
      </c>
      <c r="K1895" s="7" t="s">
        <v>29</v>
      </c>
      <c r="L1895" s="3" t="str">
        <f>E1895&amp;D1895</f>
        <v>E.SP.IPAEE_MAN_CONF_C_I_MAQ CHAVE MOLA_0030</v>
      </c>
      <c r="M1895" s="3" t="str">
        <f>IFERROR(MID(D1895,SEARCH("S_I_",D1895,1),3),"")</f>
        <v/>
      </c>
      <c r="N1895" s="3" t="str">
        <f>IFERROR(MID(D1895,SEARCH("C_I_",D1895,1),3),"")</f>
        <v>C_I</v>
      </c>
      <c r="O1895" s="3" t="str">
        <f>IF(AND(M1895="",N1895=""),"Extra","")</f>
        <v/>
      </c>
      <c r="P1895" s="3" t="str">
        <f>IF(Q1895=0,"TERCEIRO","MRS")</f>
        <v>MRS</v>
      </c>
      <c r="Q1895" s="8" t="str">
        <f>IFERROR(VLOOKUP(L1895,#REF!,4,0),"0,00")</f>
        <v>0,00</v>
      </c>
      <c r="R1895" s="9" t="s">
        <v>42</v>
      </c>
      <c r="S1895" s="9">
        <f>COUNTIF(D1895,"*_SEG_*")</f>
        <v>0</v>
      </c>
      <c r="T1895" s="9">
        <f>COUNTIF(D1895,"*_MAN_*")</f>
        <v>1</v>
      </c>
      <c r="U1895" s="9">
        <f>(RIGHT(D1895,4))*1</f>
        <v>30</v>
      </c>
      <c r="V1895" s="9" t="str">
        <f>IFERROR(VLOOKUP(I1895,#REF!,2,0),"Sinalização")</f>
        <v>Sinalização</v>
      </c>
    </row>
    <row r="1896" spans="1:22" x14ac:dyDescent="0.25">
      <c r="A1896" s="3" t="s">
        <v>22</v>
      </c>
      <c r="B1896" s="4">
        <v>23452970</v>
      </c>
      <c r="C1896" s="5" t="s">
        <v>23</v>
      </c>
      <c r="D1896" s="6" t="s">
        <v>845</v>
      </c>
      <c r="E1896" s="6" t="s">
        <v>25</v>
      </c>
      <c r="F1896" s="11">
        <v>46143</v>
      </c>
      <c r="G1896" s="6" t="s">
        <v>1079</v>
      </c>
      <c r="H1896" s="7"/>
      <c r="I1896" s="7" t="s">
        <v>253</v>
      </c>
      <c r="J1896" s="7" t="s">
        <v>834</v>
      </c>
      <c r="K1896" s="7" t="s">
        <v>29</v>
      </c>
      <c r="L1896" s="3" t="str">
        <f>E1896&amp;D1896</f>
        <v>E.SP.IPAEE_INS_CONF_S_I_MCH 110VCC GRS 5C R_0030</v>
      </c>
      <c r="M1896" s="3" t="str">
        <f>IFERROR(MID(D1896,SEARCH("S_I_",D1896,1),3),"")</f>
        <v>S_I</v>
      </c>
      <c r="N1896" s="3" t="str">
        <f>IFERROR(MID(D1896,SEARCH("C_I_",D1896,1),3),"")</f>
        <v/>
      </c>
      <c r="O1896" s="3" t="str">
        <f>IF(AND(M1896="",N1896=""),"Extra","")</f>
        <v/>
      </c>
      <c r="P1896" s="3" t="str">
        <f>IF(Q1896=0,"TERCEIRO","MRS")</f>
        <v>MRS</v>
      </c>
      <c r="Q1896" s="8" t="str">
        <f>IFERROR(VLOOKUP(L1896,#REF!,4,0),"0,00")</f>
        <v>0,00</v>
      </c>
      <c r="R1896" s="9" t="s">
        <v>57</v>
      </c>
      <c r="S1896" s="9">
        <f>COUNTIF(D1896,"*_SEG_*")</f>
        <v>0</v>
      </c>
      <c r="T1896" s="9">
        <f>COUNTIF(D1896,"*_MAN_*")</f>
        <v>0</v>
      </c>
      <c r="U1896" s="9">
        <f>(RIGHT(D1896,4))*1</f>
        <v>30</v>
      </c>
      <c r="V1896" s="9" t="str">
        <f>IFERROR(VLOOKUP(I1896,#REF!,2,0),"Sinalização")</f>
        <v>Sinalização</v>
      </c>
    </row>
    <row r="1897" spans="1:22" x14ac:dyDescent="0.25">
      <c r="A1897" s="3" t="s">
        <v>22</v>
      </c>
      <c r="B1897" s="4">
        <v>23453096</v>
      </c>
      <c r="C1897" s="5" t="s">
        <v>23</v>
      </c>
      <c r="D1897" s="6" t="s">
        <v>846</v>
      </c>
      <c r="E1897" s="6" t="s">
        <v>25</v>
      </c>
      <c r="F1897" s="11">
        <v>46143</v>
      </c>
      <c r="G1897" s="6" t="s">
        <v>1079</v>
      </c>
      <c r="H1897" s="7"/>
      <c r="I1897" s="7" t="s">
        <v>258</v>
      </c>
      <c r="J1897" s="7" t="s">
        <v>834</v>
      </c>
      <c r="K1897" s="7" t="s">
        <v>29</v>
      </c>
      <c r="L1897" s="3" t="str">
        <f>E1897&amp;D1897</f>
        <v>E.SP.IPAEE_INS_CONF_S_I_MCH 110VCC GRS 5C_0030</v>
      </c>
      <c r="M1897" s="3" t="str">
        <f>IFERROR(MID(D1897,SEARCH("S_I_",D1897,1),3),"")</f>
        <v>S_I</v>
      </c>
      <c r="N1897" s="3" t="str">
        <f>IFERROR(MID(D1897,SEARCH("C_I_",D1897,1),3),"")</f>
        <v/>
      </c>
      <c r="O1897" s="3" t="str">
        <f>IF(AND(M1897="",N1897=""),"Extra","")</f>
        <v/>
      </c>
      <c r="P1897" s="3" t="str">
        <f>IF(Q1897=0,"TERCEIRO","MRS")</f>
        <v>MRS</v>
      </c>
      <c r="Q1897" s="8" t="str">
        <f>IFERROR(VLOOKUP(L1897,#REF!,4,0),"0,00")</f>
        <v>0,00</v>
      </c>
      <c r="R1897" s="9" t="s">
        <v>57</v>
      </c>
      <c r="S1897" s="9">
        <f>COUNTIF(D1897,"*_SEG_*")</f>
        <v>0</v>
      </c>
      <c r="T1897" s="9">
        <f>COUNTIF(D1897,"*_MAN_*")</f>
        <v>0</v>
      </c>
      <c r="U1897" s="9">
        <f>(RIGHT(D1897,4))*1</f>
        <v>30</v>
      </c>
      <c r="V1897" s="9" t="str">
        <f>IFERROR(VLOOKUP(I1897,#REF!,2,0),"Sinalização")</f>
        <v>Sinalização</v>
      </c>
    </row>
    <row r="1898" spans="1:22" x14ac:dyDescent="0.25">
      <c r="A1898" s="3" t="s">
        <v>22</v>
      </c>
      <c r="B1898" s="4">
        <v>23453097</v>
      </c>
      <c r="C1898" s="5" t="s">
        <v>23</v>
      </c>
      <c r="D1898" s="6" t="s">
        <v>847</v>
      </c>
      <c r="E1898" s="6" t="s">
        <v>25</v>
      </c>
      <c r="F1898" s="11">
        <v>46143</v>
      </c>
      <c r="G1898" s="6" t="s">
        <v>1079</v>
      </c>
      <c r="H1898" s="7"/>
      <c r="I1898" s="7" t="s">
        <v>258</v>
      </c>
      <c r="J1898" s="7" t="s">
        <v>810</v>
      </c>
      <c r="K1898" s="7" t="s">
        <v>29</v>
      </c>
      <c r="L1898" s="3" t="str">
        <f>E1898&amp;D1898</f>
        <v>E.SP.IPAEE_MAN_CONF_C_I_MCH 110VCC GRS 5C_0030</v>
      </c>
      <c r="M1898" s="3" t="str">
        <f>IFERROR(MID(D1898,SEARCH("S_I_",D1898,1),3),"")</f>
        <v/>
      </c>
      <c r="N1898" s="3" t="str">
        <f>IFERROR(MID(D1898,SEARCH("C_I_",D1898,1),3),"")</f>
        <v>C_I</v>
      </c>
      <c r="O1898" s="3" t="str">
        <f>IF(AND(M1898="",N1898=""),"Extra","")</f>
        <v/>
      </c>
      <c r="P1898" s="3" t="str">
        <f>IF(Q1898=0,"TERCEIRO","MRS")</f>
        <v>MRS</v>
      </c>
      <c r="Q1898" s="8" t="str">
        <f>IFERROR(VLOOKUP(L1898,#REF!,4,0),"0,00")</f>
        <v>0,00</v>
      </c>
      <c r="R1898" s="9" t="s">
        <v>42</v>
      </c>
      <c r="S1898" s="9">
        <f>COUNTIF(D1898,"*_SEG_*")</f>
        <v>0</v>
      </c>
      <c r="T1898" s="9">
        <f>COUNTIF(D1898,"*_MAN_*")</f>
        <v>1</v>
      </c>
      <c r="U1898" s="9">
        <f>(RIGHT(D1898,4))*1</f>
        <v>30</v>
      </c>
      <c r="V1898" s="9" t="str">
        <f>IFERROR(VLOOKUP(I1898,#REF!,2,0),"Sinalização")</f>
        <v>Sinalização</v>
      </c>
    </row>
    <row r="1899" spans="1:22" x14ac:dyDescent="0.25">
      <c r="A1899" s="3" t="s">
        <v>22</v>
      </c>
      <c r="B1899" s="4">
        <v>23453098</v>
      </c>
      <c r="C1899" s="5" t="s">
        <v>23</v>
      </c>
      <c r="D1899" s="6" t="s">
        <v>846</v>
      </c>
      <c r="E1899" s="6" t="s">
        <v>25</v>
      </c>
      <c r="F1899" s="11">
        <v>46143</v>
      </c>
      <c r="G1899" s="6" t="s">
        <v>1079</v>
      </c>
      <c r="H1899" s="7"/>
      <c r="I1899" s="7" t="s">
        <v>741</v>
      </c>
      <c r="J1899" s="7" t="s">
        <v>834</v>
      </c>
      <c r="K1899" s="7" t="s">
        <v>29</v>
      </c>
      <c r="L1899" s="3" t="str">
        <f>E1899&amp;D1899</f>
        <v>E.SP.IPAEE_INS_CONF_S_I_MCH 110VCC GRS 5C_0030</v>
      </c>
      <c r="M1899" s="3" t="str">
        <f>IFERROR(MID(D1899,SEARCH("S_I_",D1899,1),3),"")</f>
        <v>S_I</v>
      </c>
      <c r="N1899" s="3" t="str">
        <f>IFERROR(MID(D1899,SEARCH("C_I_",D1899,1),3),"")</f>
        <v/>
      </c>
      <c r="O1899" s="3" t="str">
        <f>IF(AND(M1899="",N1899=""),"Extra","")</f>
        <v/>
      </c>
      <c r="P1899" s="3" t="str">
        <f>IF(Q1899=0,"TERCEIRO","MRS")</f>
        <v>MRS</v>
      </c>
      <c r="Q1899" s="8" t="str">
        <f>IFERROR(VLOOKUP(L1899,#REF!,4,0),"0,00")</f>
        <v>0,00</v>
      </c>
      <c r="R1899" s="9" t="s">
        <v>57</v>
      </c>
      <c r="S1899" s="9">
        <f>COUNTIF(D1899,"*_SEG_*")</f>
        <v>0</v>
      </c>
      <c r="T1899" s="9">
        <f>COUNTIF(D1899,"*_MAN_*")</f>
        <v>0</v>
      </c>
      <c r="U1899" s="9">
        <f>(RIGHT(D1899,4))*1</f>
        <v>30</v>
      </c>
      <c r="V1899" s="9" t="str">
        <f>IFERROR(VLOOKUP(I1899,#REF!,2,0),"Sinalização")</f>
        <v>Sinalização</v>
      </c>
    </row>
    <row r="1900" spans="1:22" x14ac:dyDescent="0.25">
      <c r="A1900" s="3" t="s">
        <v>22</v>
      </c>
      <c r="B1900" s="4">
        <v>23453099</v>
      </c>
      <c r="C1900" s="5" t="s">
        <v>23</v>
      </c>
      <c r="D1900" s="6" t="s">
        <v>846</v>
      </c>
      <c r="E1900" s="6" t="s">
        <v>25</v>
      </c>
      <c r="F1900" s="11">
        <v>46143</v>
      </c>
      <c r="G1900" s="6" t="s">
        <v>1079</v>
      </c>
      <c r="H1900" s="7"/>
      <c r="I1900" s="7" t="s">
        <v>256</v>
      </c>
      <c r="J1900" s="7" t="s">
        <v>834</v>
      </c>
      <c r="K1900" s="7" t="s">
        <v>29</v>
      </c>
      <c r="L1900" s="3" t="str">
        <f>E1900&amp;D1900</f>
        <v>E.SP.IPAEE_INS_CONF_S_I_MCH 110VCC GRS 5C_0030</v>
      </c>
      <c r="M1900" s="3" t="str">
        <f>IFERROR(MID(D1900,SEARCH("S_I_",D1900,1),3),"")</f>
        <v>S_I</v>
      </c>
      <c r="N1900" s="3" t="str">
        <f>IFERROR(MID(D1900,SEARCH("C_I_",D1900,1),3),"")</f>
        <v/>
      </c>
      <c r="O1900" s="3" t="str">
        <f>IF(AND(M1900="",N1900=""),"Extra","")</f>
        <v/>
      </c>
      <c r="P1900" s="3" t="str">
        <f>IF(Q1900=0,"TERCEIRO","MRS")</f>
        <v>MRS</v>
      </c>
      <c r="Q1900" s="8" t="str">
        <f>IFERROR(VLOOKUP(L1900,#REF!,4,0),"0,00")</f>
        <v>0,00</v>
      </c>
      <c r="R1900" s="9" t="s">
        <v>57</v>
      </c>
      <c r="S1900" s="9">
        <f>COUNTIF(D1900,"*_SEG_*")</f>
        <v>0</v>
      </c>
      <c r="T1900" s="9">
        <f>COUNTIF(D1900,"*_MAN_*")</f>
        <v>0</v>
      </c>
      <c r="U1900" s="9">
        <f>(RIGHT(D1900,4))*1</f>
        <v>30</v>
      </c>
      <c r="V1900" s="9" t="str">
        <f>IFERROR(VLOOKUP(I1900,#REF!,2,0),"Sinalização")</f>
        <v>Sinalização</v>
      </c>
    </row>
    <row r="1901" spans="1:22" x14ac:dyDescent="0.25">
      <c r="A1901" s="3" t="s">
        <v>22</v>
      </c>
      <c r="B1901" s="4">
        <v>23453100</v>
      </c>
      <c r="C1901" s="5" t="s">
        <v>23</v>
      </c>
      <c r="D1901" s="6" t="s">
        <v>847</v>
      </c>
      <c r="E1901" s="6" t="s">
        <v>25</v>
      </c>
      <c r="F1901" s="11">
        <v>46143</v>
      </c>
      <c r="G1901" s="6" t="s">
        <v>1079</v>
      </c>
      <c r="H1901" s="7"/>
      <c r="I1901" s="7" t="s">
        <v>256</v>
      </c>
      <c r="J1901" s="7" t="s">
        <v>810</v>
      </c>
      <c r="K1901" s="7" t="s">
        <v>29</v>
      </c>
      <c r="L1901" s="3" t="str">
        <f>E1901&amp;D1901</f>
        <v>E.SP.IPAEE_MAN_CONF_C_I_MCH 110VCC GRS 5C_0030</v>
      </c>
      <c r="M1901" s="3" t="str">
        <f>IFERROR(MID(D1901,SEARCH("S_I_",D1901,1),3),"")</f>
        <v/>
      </c>
      <c r="N1901" s="3" t="str">
        <f>IFERROR(MID(D1901,SEARCH("C_I_",D1901,1),3),"")</f>
        <v>C_I</v>
      </c>
      <c r="O1901" s="3" t="str">
        <f>IF(AND(M1901="",N1901=""),"Extra","")</f>
        <v/>
      </c>
      <c r="P1901" s="3" t="str">
        <f>IF(Q1901=0,"TERCEIRO","MRS")</f>
        <v>MRS</v>
      </c>
      <c r="Q1901" s="8" t="str">
        <f>IFERROR(VLOOKUP(L1901,#REF!,4,0),"0,00")</f>
        <v>0,00</v>
      </c>
      <c r="R1901" s="9" t="s">
        <v>42</v>
      </c>
      <c r="S1901" s="9">
        <f>COUNTIF(D1901,"*_SEG_*")</f>
        <v>0</v>
      </c>
      <c r="T1901" s="9">
        <f>COUNTIF(D1901,"*_MAN_*")</f>
        <v>1</v>
      </c>
      <c r="U1901" s="9">
        <f>(RIGHT(D1901,4))*1</f>
        <v>30</v>
      </c>
      <c r="V1901" s="9" t="str">
        <f>IFERROR(VLOOKUP(I1901,#REF!,2,0),"Sinalização")</f>
        <v>Sinalização</v>
      </c>
    </row>
    <row r="1902" spans="1:22" x14ac:dyDescent="0.25">
      <c r="A1902" s="3" t="s">
        <v>22</v>
      </c>
      <c r="B1902" s="4">
        <v>23453101</v>
      </c>
      <c r="C1902" s="5" t="s">
        <v>23</v>
      </c>
      <c r="D1902" s="6" t="s">
        <v>847</v>
      </c>
      <c r="E1902" s="6" t="s">
        <v>25</v>
      </c>
      <c r="F1902" s="11">
        <v>46143</v>
      </c>
      <c r="G1902" s="6" t="s">
        <v>1079</v>
      </c>
      <c r="H1902" s="7"/>
      <c r="I1902" s="7" t="s">
        <v>450</v>
      </c>
      <c r="J1902" s="7" t="s">
        <v>810</v>
      </c>
      <c r="K1902" s="7" t="s">
        <v>29</v>
      </c>
      <c r="L1902" s="3" t="str">
        <f>E1902&amp;D1902</f>
        <v>E.SP.IPAEE_MAN_CONF_C_I_MCH 110VCC GRS 5C_0030</v>
      </c>
      <c r="M1902" s="3" t="str">
        <f>IFERROR(MID(D1902,SEARCH("S_I_",D1902,1),3),"")</f>
        <v/>
      </c>
      <c r="N1902" s="3" t="str">
        <f>IFERROR(MID(D1902,SEARCH("C_I_",D1902,1),3),"")</f>
        <v>C_I</v>
      </c>
      <c r="O1902" s="3" t="str">
        <f>IF(AND(M1902="",N1902=""),"Extra","")</f>
        <v/>
      </c>
      <c r="P1902" s="3" t="str">
        <f>IF(Q1902=0,"TERCEIRO","MRS")</f>
        <v>MRS</v>
      </c>
      <c r="Q1902" s="8" t="str">
        <f>IFERROR(VLOOKUP(L1902,#REF!,4,0),"0,00")</f>
        <v>0,00</v>
      </c>
      <c r="R1902" s="9" t="s">
        <v>42</v>
      </c>
      <c r="S1902" s="9">
        <f>COUNTIF(D1902,"*_SEG_*")</f>
        <v>0</v>
      </c>
      <c r="T1902" s="9">
        <f>COUNTIF(D1902,"*_MAN_*")</f>
        <v>1</v>
      </c>
      <c r="U1902" s="9">
        <f>(RIGHT(D1902,4))*1</f>
        <v>30</v>
      </c>
      <c r="V1902" s="9" t="str">
        <f>IFERROR(VLOOKUP(I1902,#REF!,2,0),"Sinalização")</f>
        <v>Sinalização</v>
      </c>
    </row>
    <row r="1903" spans="1:22" x14ac:dyDescent="0.25">
      <c r="A1903" s="3" t="s">
        <v>22</v>
      </c>
      <c r="B1903" s="4">
        <v>23460708</v>
      </c>
      <c r="C1903" s="5" t="s">
        <v>23</v>
      </c>
      <c r="D1903" s="6" t="s">
        <v>857</v>
      </c>
      <c r="E1903" s="6" t="s">
        <v>25</v>
      </c>
      <c r="F1903" s="11">
        <v>46143</v>
      </c>
      <c r="G1903" s="6" t="s">
        <v>1079</v>
      </c>
      <c r="H1903" s="7"/>
      <c r="I1903" s="7" t="s">
        <v>858</v>
      </c>
      <c r="J1903" s="7" t="s">
        <v>859</v>
      </c>
      <c r="K1903" s="7" t="s">
        <v>29</v>
      </c>
      <c r="L1903" s="3" t="str">
        <f>E1903&amp;D1903</f>
        <v>E.SP.IPAT_EE_INS_CONF_C_I_R AER TRA FIO CON_0180</v>
      </c>
      <c r="M1903" s="3" t="str">
        <f>IFERROR(MID(D1903,SEARCH("S_I_",D1903,1),3),"")</f>
        <v/>
      </c>
      <c r="N1903" s="3" t="str">
        <f>IFERROR(MID(D1903,SEARCH("C_I_",D1903,1),3),"")</f>
        <v>C_I</v>
      </c>
      <c r="O1903" s="3" t="str">
        <f>IF(AND(M1903="",N1903=""),"Extra","")</f>
        <v/>
      </c>
      <c r="P1903" s="3" t="str">
        <f>IF(Q1903=0,"TERCEIRO","MRS")</f>
        <v>MRS</v>
      </c>
      <c r="Q1903" s="8" t="str">
        <f>IFERROR(VLOOKUP(L1903,#REF!,4,0),"0,00")</f>
        <v>0,00</v>
      </c>
      <c r="R1903" s="9" t="s">
        <v>42</v>
      </c>
      <c r="S1903" s="9">
        <f>COUNTIF(D1903,"*_SEG_*")</f>
        <v>0</v>
      </c>
      <c r="T1903" s="9">
        <f>COUNTIF(D1903,"*_MAN_*")</f>
        <v>0</v>
      </c>
      <c r="U1903" s="9">
        <f>(RIGHT(D1903,4))*1</f>
        <v>180</v>
      </c>
      <c r="V1903" s="9" t="str">
        <f>IFERROR(VLOOKUP(I1903,#REF!,2,0),"Sinalização")</f>
        <v>Sinalização</v>
      </c>
    </row>
    <row r="1904" spans="1:22" x14ac:dyDescent="0.25">
      <c r="A1904" s="3" t="s">
        <v>22</v>
      </c>
      <c r="B1904" s="4">
        <v>23460709</v>
      </c>
      <c r="C1904" s="5" t="s">
        <v>23</v>
      </c>
      <c r="D1904" s="6" t="s">
        <v>857</v>
      </c>
      <c r="E1904" s="6" t="s">
        <v>25</v>
      </c>
      <c r="F1904" s="11">
        <v>46143</v>
      </c>
      <c r="G1904" s="6" t="s">
        <v>1079</v>
      </c>
      <c r="H1904" s="7"/>
      <c r="I1904" s="7" t="s">
        <v>860</v>
      </c>
      <c r="J1904" s="7" t="s">
        <v>859</v>
      </c>
      <c r="K1904" s="7" t="s">
        <v>29</v>
      </c>
      <c r="L1904" s="3" t="str">
        <f>E1904&amp;D1904</f>
        <v>E.SP.IPAT_EE_INS_CONF_C_I_R AER TRA FIO CON_0180</v>
      </c>
      <c r="M1904" s="3" t="str">
        <f>IFERROR(MID(D1904,SEARCH("S_I_",D1904,1),3),"")</f>
        <v/>
      </c>
      <c r="N1904" s="3" t="str">
        <f>IFERROR(MID(D1904,SEARCH("C_I_",D1904,1),3),"")</f>
        <v>C_I</v>
      </c>
      <c r="O1904" s="3" t="str">
        <f>IF(AND(M1904="",N1904=""),"Extra","")</f>
        <v/>
      </c>
      <c r="P1904" s="3" t="str">
        <f>IF(Q1904=0,"TERCEIRO","MRS")</f>
        <v>MRS</v>
      </c>
      <c r="Q1904" s="8" t="str">
        <f>IFERROR(VLOOKUP(L1904,#REF!,4,0),"0,00")</f>
        <v>0,00</v>
      </c>
      <c r="R1904" s="9" t="s">
        <v>42</v>
      </c>
      <c r="S1904" s="9">
        <f>COUNTIF(D1904,"*_SEG_*")</f>
        <v>0</v>
      </c>
      <c r="T1904" s="9">
        <f>COUNTIF(D1904,"*_MAN_*")</f>
        <v>0</v>
      </c>
      <c r="U1904" s="9">
        <f>(RIGHT(D1904,4))*1</f>
        <v>180</v>
      </c>
      <c r="V1904" s="9" t="str">
        <f>IFERROR(VLOOKUP(I1904,#REF!,2,0),"Sinalização")</f>
        <v>Sinalização</v>
      </c>
    </row>
    <row r="1905" spans="1:22" x14ac:dyDescent="0.25">
      <c r="A1905" s="3" t="s">
        <v>22</v>
      </c>
      <c r="B1905" s="4">
        <v>23460710</v>
      </c>
      <c r="C1905" s="5" t="s">
        <v>23</v>
      </c>
      <c r="D1905" s="6" t="s">
        <v>857</v>
      </c>
      <c r="E1905" s="6" t="s">
        <v>25</v>
      </c>
      <c r="F1905" s="11">
        <v>46143</v>
      </c>
      <c r="G1905" s="6" t="s">
        <v>1079</v>
      </c>
      <c r="H1905" s="7"/>
      <c r="I1905" s="7" t="s">
        <v>861</v>
      </c>
      <c r="J1905" s="7" t="s">
        <v>859</v>
      </c>
      <c r="K1905" s="7" t="s">
        <v>29</v>
      </c>
      <c r="L1905" s="3" t="str">
        <f>E1905&amp;D1905</f>
        <v>E.SP.IPAT_EE_INS_CONF_C_I_R AER TRA FIO CON_0180</v>
      </c>
      <c r="M1905" s="3" t="str">
        <f>IFERROR(MID(D1905,SEARCH("S_I_",D1905,1),3),"")</f>
        <v/>
      </c>
      <c r="N1905" s="3" t="str">
        <f>IFERROR(MID(D1905,SEARCH("C_I_",D1905,1),3),"")</f>
        <v>C_I</v>
      </c>
      <c r="O1905" s="3" t="str">
        <f>IF(AND(M1905="",N1905=""),"Extra","")</f>
        <v/>
      </c>
      <c r="P1905" s="3" t="str">
        <f>IF(Q1905=0,"TERCEIRO","MRS")</f>
        <v>MRS</v>
      </c>
      <c r="Q1905" s="8" t="str">
        <f>IFERROR(VLOOKUP(L1905,#REF!,4,0),"0,00")</f>
        <v>0,00</v>
      </c>
      <c r="R1905" s="9" t="s">
        <v>42</v>
      </c>
      <c r="S1905" s="9">
        <f>COUNTIF(D1905,"*_SEG_*")</f>
        <v>0</v>
      </c>
      <c r="T1905" s="9">
        <f>COUNTIF(D1905,"*_MAN_*")</f>
        <v>0</v>
      </c>
      <c r="U1905" s="9">
        <f>(RIGHT(D1905,4))*1</f>
        <v>180</v>
      </c>
      <c r="V1905" s="9" t="str">
        <f>IFERROR(VLOOKUP(I1905,#REF!,2,0),"Sinalização")</f>
        <v>Sinalização</v>
      </c>
    </row>
    <row r="1906" spans="1:22" x14ac:dyDescent="0.25">
      <c r="A1906" s="3" t="s">
        <v>22</v>
      </c>
      <c r="B1906" s="4">
        <v>23460711</v>
      </c>
      <c r="C1906" s="5" t="s">
        <v>23</v>
      </c>
      <c r="D1906" s="6" t="s">
        <v>857</v>
      </c>
      <c r="E1906" s="6" t="s">
        <v>25</v>
      </c>
      <c r="F1906" s="11">
        <v>46143</v>
      </c>
      <c r="G1906" s="6" t="s">
        <v>1079</v>
      </c>
      <c r="H1906" s="7"/>
      <c r="I1906" s="7" t="s">
        <v>862</v>
      </c>
      <c r="J1906" s="7" t="s">
        <v>859</v>
      </c>
      <c r="K1906" s="7" t="s">
        <v>29</v>
      </c>
      <c r="L1906" s="3" t="str">
        <f>E1906&amp;D1906</f>
        <v>E.SP.IPAT_EE_INS_CONF_C_I_R AER TRA FIO CON_0180</v>
      </c>
      <c r="M1906" s="3" t="str">
        <f>IFERROR(MID(D1906,SEARCH("S_I_",D1906,1),3),"")</f>
        <v/>
      </c>
      <c r="N1906" s="3" t="str">
        <f>IFERROR(MID(D1906,SEARCH("C_I_",D1906,1),3),"")</f>
        <v>C_I</v>
      </c>
      <c r="O1906" s="3" t="str">
        <f>IF(AND(M1906="",N1906=""),"Extra","")</f>
        <v/>
      </c>
      <c r="P1906" s="3" t="str">
        <f>IF(Q1906=0,"TERCEIRO","MRS")</f>
        <v>MRS</v>
      </c>
      <c r="Q1906" s="8" t="str">
        <f>IFERROR(VLOOKUP(L1906,#REF!,4,0),"0,00")</f>
        <v>0,00</v>
      </c>
      <c r="R1906" s="9" t="s">
        <v>42</v>
      </c>
      <c r="S1906" s="9">
        <f>COUNTIF(D1906,"*_SEG_*")</f>
        <v>0</v>
      </c>
      <c r="T1906" s="9">
        <f>COUNTIF(D1906,"*_MAN_*")</f>
        <v>0</v>
      </c>
      <c r="U1906" s="9">
        <f>(RIGHT(D1906,4))*1</f>
        <v>180</v>
      </c>
      <c r="V1906" s="9" t="str">
        <f>IFERROR(VLOOKUP(I1906,#REF!,2,0),"Sinalização")</f>
        <v>Sinalização</v>
      </c>
    </row>
    <row r="1907" spans="1:22" x14ac:dyDescent="0.25">
      <c r="A1907" s="3" t="s">
        <v>22</v>
      </c>
      <c r="B1907" s="4">
        <v>23460712</v>
      </c>
      <c r="C1907" s="5" t="s">
        <v>23</v>
      </c>
      <c r="D1907" s="6" t="s">
        <v>857</v>
      </c>
      <c r="E1907" s="6" t="s">
        <v>25</v>
      </c>
      <c r="F1907" s="11">
        <v>46143</v>
      </c>
      <c r="G1907" s="6" t="s">
        <v>1079</v>
      </c>
      <c r="H1907" s="7"/>
      <c r="I1907" s="7" t="s">
        <v>863</v>
      </c>
      <c r="J1907" s="7" t="s">
        <v>859</v>
      </c>
      <c r="K1907" s="7" t="s">
        <v>29</v>
      </c>
      <c r="L1907" s="3" t="str">
        <f>E1907&amp;D1907</f>
        <v>E.SP.IPAT_EE_INS_CONF_C_I_R AER TRA FIO CON_0180</v>
      </c>
      <c r="M1907" s="3" t="str">
        <f>IFERROR(MID(D1907,SEARCH("S_I_",D1907,1),3),"")</f>
        <v/>
      </c>
      <c r="N1907" s="3" t="str">
        <f>IFERROR(MID(D1907,SEARCH("C_I_",D1907,1),3),"")</f>
        <v>C_I</v>
      </c>
      <c r="O1907" s="3" t="str">
        <f>IF(AND(M1907="",N1907=""),"Extra","")</f>
        <v/>
      </c>
      <c r="P1907" s="3" t="str">
        <f>IF(Q1907=0,"TERCEIRO","MRS")</f>
        <v>MRS</v>
      </c>
      <c r="Q1907" s="8" t="str">
        <f>IFERROR(VLOOKUP(L1907,#REF!,4,0),"0,00")</f>
        <v>0,00</v>
      </c>
      <c r="R1907" s="9" t="s">
        <v>42</v>
      </c>
      <c r="S1907" s="9">
        <f>COUNTIF(D1907,"*_SEG_*")</f>
        <v>0</v>
      </c>
      <c r="T1907" s="9">
        <f>COUNTIF(D1907,"*_MAN_*")</f>
        <v>0</v>
      </c>
      <c r="U1907" s="9">
        <f>(RIGHT(D1907,4))*1</f>
        <v>180</v>
      </c>
      <c r="V1907" s="9" t="str">
        <f>IFERROR(VLOOKUP(I1907,#REF!,2,0),"Sinalização")</f>
        <v>Sinalização</v>
      </c>
    </row>
    <row r="1908" spans="1:22" x14ac:dyDescent="0.25">
      <c r="A1908" s="3" t="s">
        <v>22</v>
      </c>
      <c r="B1908" s="4">
        <v>23460713</v>
      </c>
      <c r="C1908" s="5" t="s">
        <v>23</v>
      </c>
      <c r="D1908" s="6" t="s">
        <v>857</v>
      </c>
      <c r="E1908" s="6" t="s">
        <v>25</v>
      </c>
      <c r="F1908" s="11">
        <v>46143</v>
      </c>
      <c r="G1908" s="6" t="s">
        <v>1079</v>
      </c>
      <c r="H1908" s="7"/>
      <c r="I1908" s="7" t="s">
        <v>864</v>
      </c>
      <c r="J1908" s="7" t="s">
        <v>859</v>
      </c>
      <c r="K1908" s="7" t="s">
        <v>29</v>
      </c>
      <c r="L1908" s="3" t="str">
        <f>E1908&amp;D1908</f>
        <v>E.SP.IPAT_EE_INS_CONF_C_I_R AER TRA FIO CON_0180</v>
      </c>
      <c r="M1908" s="3" t="str">
        <f>IFERROR(MID(D1908,SEARCH("S_I_",D1908,1),3),"")</f>
        <v/>
      </c>
      <c r="N1908" s="3" t="str">
        <f>IFERROR(MID(D1908,SEARCH("C_I_",D1908,1),3),"")</f>
        <v>C_I</v>
      </c>
      <c r="O1908" s="3" t="str">
        <f>IF(AND(M1908="",N1908=""),"Extra","")</f>
        <v/>
      </c>
      <c r="P1908" s="3" t="str">
        <f>IF(Q1908=0,"TERCEIRO","MRS")</f>
        <v>MRS</v>
      </c>
      <c r="Q1908" s="8" t="str">
        <f>IFERROR(VLOOKUP(L1908,#REF!,4,0),"0,00")</f>
        <v>0,00</v>
      </c>
      <c r="R1908" s="9" t="s">
        <v>42</v>
      </c>
      <c r="S1908" s="9">
        <f>COUNTIF(D1908,"*_SEG_*")</f>
        <v>0</v>
      </c>
      <c r="T1908" s="9">
        <f>COUNTIF(D1908,"*_MAN_*")</f>
        <v>0</v>
      </c>
      <c r="U1908" s="9">
        <f>(RIGHT(D1908,4))*1</f>
        <v>180</v>
      </c>
      <c r="V1908" s="9" t="str">
        <f>IFERROR(VLOOKUP(I1908,#REF!,2,0),"Sinalização")</f>
        <v>Sinalização</v>
      </c>
    </row>
    <row r="1909" spans="1:22" x14ac:dyDescent="0.25">
      <c r="A1909" s="3" t="s">
        <v>22</v>
      </c>
      <c r="B1909" s="4">
        <v>23460714</v>
      </c>
      <c r="C1909" s="5" t="s">
        <v>23</v>
      </c>
      <c r="D1909" s="6" t="s">
        <v>857</v>
      </c>
      <c r="E1909" s="6" t="s">
        <v>25</v>
      </c>
      <c r="F1909" s="11">
        <v>46143</v>
      </c>
      <c r="G1909" s="6" t="s">
        <v>1079</v>
      </c>
      <c r="H1909" s="7"/>
      <c r="I1909" s="7" t="s">
        <v>865</v>
      </c>
      <c r="J1909" s="7" t="s">
        <v>859</v>
      </c>
      <c r="K1909" s="7" t="s">
        <v>29</v>
      </c>
      <c r="L1909" s="3" t="str">
        <f>E1909&amp;D1909</f>
        <v>E.SP.IPAT_EE_INS_CONF_C_I_R AER TRA FIO CON_0180</v>
      </c>
      <c r="M1909" s="3" t="str">
        <f>IFERROR(MID(D1909,SEARCH("S_I_",D1909,1),3),"")</f>
        <v/>
      </c>
      <c r="N1909" s="3" t="str">
        <f>IFERROR(MID(D1909,SEARCH("C_I_",D1909,1),3),"")</f>
        <v>C_I</v>
      </c>
      <c r="O1909" s="3" t="str">
        <f>IF(AND(M1909="",N1909=""),"Extra","")</f>
        <v/>
      </c>
      <c r="P1909" s="3" t="str">
        <f>IF(Q1909=0,"TERCEIRO","MRS")</f>
        <v>MRS</v>
      </c>
      <c r="Q1909" s="8" t="str">
        <f>IFERROR(VLOOKUP(L1909,#REF!,4,0),"0,00")</f>
        <v>0,00</v>
      </c>
      <c r="R1909" s="9" t="s">
        <v>42</v>
      </c>
      <c r="S1909" s="9">
        <f>COUNTIF(D1909,"*_SEG_*")</f>
        <v>0</v>
      </c>
      <c r="T1909" s="9">
        <f>COUNTIF(D1909,"*_MAN_*")</f>
        <v>0</v>
      </c>
      <c r="U1909" s="9">
        <f>(RIGHT(D1909,4))*1</f>
        <v>180</v>
      </c>
      <c r="V1909" s="9" t="str">
        <f>IFERROR(VLOOKUP(I1909,#REF!,2,0),"Sinalização")</f>
        <v>Sinalização</v>
      </c>
    </row>
    <row r="1910" spans="1:22" x14ac:dyDescent="0.25">
      <c r="A1910" s="3" t="s">
        <v>22</v>
      </c>
      <c r="B1910" s="4">
        <v>23460715</v>
      </c>
      <c r="C1910" s="5" t="s">
        <v>23</v>
      </c>
      <c r="D1910" s="6" t="s">
        <v>857</v>
      </c>
      <c r="E1910" s="6" t="s">
        <v>25</v>
      </c>
      <c r="F1910" s="11">
        <v>46143</v>
      </c>
      <c r="G1910" s="6" t="s">
        <v>1079</v>
      </c>
      <c r="H1910" s="7"/>
      <c r="I1910" s="7" t="s">
        <v>866</v>
      </c>
      <c r="J1910" s="7" t="s">
        <v>859</v>
      </c>
      <c r="K1910" s="7" t="s">
        <v>29</v>
      </c>
      <c r="L1910" s="3" t="str">
        <f>E1910&amp;D1910</f>
        <v>E.SP.IPAT_EE_INS_CONF_C_I_R AER TRA FIO CON_0180</v>
      </c>
      <c r="M1910" s="3" t="str">
        <f>IFERROR(MID(D1910,SEARCH("S_I_",D1910,1),3),"")</f>
        <v/>
      </c>
      <c r="N1910" s="3" t="str">
        <f>IFERROR(MID(D1910,SEARCH("C_I_",D1910,1),3),"")</f>
        <v>C_I</v>
      </c>
      <c r="O1910" s="3" t="str">
        <f>IF(AND(M1910="",N1910=""),"Extra","")</f>
        <v/>
      </c>
      <c r="P1910" s="3" t="str">
        <f>IF(Q1910=0,"TERCEIRO","MRS")</f>
        <v>MRS</v>
      </c>
      <c r="Q1910" s="8" t="str">
        <f>IFERROR(VLOOKUP(L1910,#REF!,4,0),"0,00")</f>
        <v>0,00</v>
      </c>
      <c r="R1910" s="9" t="s">
        <v>42</v>
      </c>
      <c r="S1910" s="9">
        <f>COUNTIF(D1910,"*_SEG_*")</f>
        <v>0</v>
      </c>
      <c r="T1910" s="9">
        <f>COUNTIF(D1910,"*_MAN_*")</f>
        <v>0</v>
      </c>
      <c r="U1910" s="9">
        <f>(RIGHT(D1910,4))*1</f>
        <v>180</v>
      </c>
      <c r="V1910" s="9" t="str">
        <f>IFERROR(VLOOKUP(I1910,#REF!,2,0),"Sinalização")</f>
        <v>Sinalização</v>
      </c>
    </row>
    <row r="1911" spans="1:22" x14ac:dyDescent="0.25">
      <c r="A1911" s="3" t="s">
        <v>22</v>
      </c>
      <c r="B1911" s="4">
        <v>23460716</v>
      </c>
      <c r="C1911" s="5" t="s">
        <v>23</v>
      </c>
      <c r="D1911" s="6" t="s">
        <v>857</v>
      </c>
      <c r="E1911" s="6" t="s">
        <v>25</v>
      </c>
      <c r="F1911" s="11">
        <v>46143</v>
      </c>
      <c r="G1911" s="6" t="s">
        <v>1079</v>
      </c>
      <c r="H1911" s="7"/>
      <c r="I1911" s="7" t="s">
        <v>867</v>
      </c>
      <c r="J1911" s="7" t="s">
        <v>859</v>
      </c>
      <c r="K1911" s="7" t="s">
        <v>29</v>
      </c>
      <c r="L1911" s="3" t="str">
        <f>E1911&amp;D1911</f>
        <v>E.SP.IPAT_EE_INS_CONF_C_I_R AER TRA FIO CON_0180</v>
      </c>
      <c r="M1911" s="3" t="str">
        <f>IFERROR(MID(D1911,SEARCH("S_I_",D1911,1),3),"")</f>
        <v/>
      </c>
      <c r="N1911" s="3" t="str">
        <f>IFERROR(MID(D1911,SEARCH("C_I_",D1911,1),3),"")</f>
        <v>C_I</v>
      </c>
      <c r="O1911" s="3" t="str">
        <f>IF(AND(M1911="",N1911=""),"Extra","")</f>
        <v/>
      </c>
      <c r="P1911" s="3" t="str">
        <f>IF(Q1911=0,"TERCEIRO","MRS")</f>
        <v>MRS</v>
      </c>
      <c r="Q1911" s="8" t="str">
        <f>IFERROR(VLOOKUP(L1911,#REF!,4,0),"0,00")</f>
        <v>0,00</v>
      </c>
      <c r="R1911" s="9" t="s">
        <v>42</v>
      </c>
      <c r="S1911" s="9">
        <f>COUNTIF(D1911,"*_SEG_*")</f>
        <v>0</v>
      </c>
      <c r="T1911" s="9">
        <f>COUNTIF(D1911,"*_MAN_*")</f>
        <v>0</v>
      </c>
      <c r="U1911" s="9">
        <f>(RIGHT(D1911,4))*1</f>
        <v>180</v>
      </c>
      <c r="V1911" s="9" t="str">
        <f>IFERROR(VLOOKUP(I1911,#REF!,2,0),"Sinalização")</f>
        <v>Sinalização</v>
      </c>
    </row>
    <row r="1912" spans="1:22" x14ac:dyDescent="0.25">
      <c r="A1912" s="3" t="s">
        <v>22</v>
      </c>
      <c r="B1912" s="4">
        <v>23460717</v>
      </c>
      <c r="C1912" s="5" t="s">
        <v>23</v>
      </c>
      <c r="D1912" s="6" t="s">
        <v>857</v>
      </c>
      <c r="E1912" s="6" t="s">
        <v>25</v>
      </c>
      <c r="F1912" s="11">
        <v>46143</v>
      </c>
      <c r="G1912" s="6" t="s">
        <v>1079</v>
      </c>
      <c r="H1912" s="7"/>
      <c r="I1912" s="7" t="s">
        <v>868</v>
      </c>
      <c r="J1912" s="7" t="s">
        <v>859</v>
      </c>
      <c r="K1912" s="7" t="s">
        <v>29</v>
      </c>
      <c r="L1912" s="3" t="str">
        <f>E1912&amp;D1912</f>
        <v>E.SP.IPAT_EE_INS_CONF_C_I_R AER TRA FIO CON_0180</v>
      </c>
      <c r="M1912" s="3" t="str">
        <f>IFERROR(MID(D1912,SEARCH("S_I_",D1912,1),3),"")</f>
        <v/>
      </c>
      <c r="N1912" s="3" t="str">
        <f>IFERROR(MID(D1912,SEARCH("C_I_",D1912,1),3),"")</f>
        <v>C_I</v>
      </c>
      <c r="O1912" s="3" t="str">
        <f>IF(AND(M1912="",N1912=""),"Extra","")</f>
        <v/>
      </c>
      <c r="P1912" s="3" t="str">
        <f>IF(Q1912=0,"TERCEIRO","MRS")</f>
        <v>MRS</v>
      </c>
      <c r="Q1912" s="8" t="str">
        <f>IFERROR(VLOOKUP(L1912,#REF!,4,0),"0,00")</f>
        <v>0,00</v>
      </c>
      <c r="R1912" s="9" t="s">
        <v>42</v>
      </c>
      <c r="S1912" s="9">
        <f>COUNTIF(D1912,"*_SEG_*")</f>
        <v>0</v>
      </c>
      <c r="T1912" s="9">
        <f>COUNTIF(D1912,"*_MAN_*")</f>
        <v>0</v>
      </c>
      <c r="U1912" s="9">
        <f>(RIGHT(D1912,4))*1</f>
        <v>180</v>
      </c>
      <c r="V1912" s="9" t="str">
        <f>IFERROR(VLOOKUP(I1912,#REF!,2,0),"Sinalização")</f>
        <v>Sinalização</v>
      </c>
    </row>
    <row r="1913" spans="1:22" x14ac:dyDescent="0.25">
      <c r="A1913" s="3" t="s">
        <v>22</v>
      </c>
      <c r="B1913" s="4">
        <v>23460718</v>
      </c>
      <c r="C1913" s="5" t="s">
        <v>23</v>
      </c>
      <c r="D1913" s="6" t="s">
        <v>857</v>
      </c>
      <c r="E1913" s="6" t="s">
        <v>25</v>
      </c>
      <c r="F1913" s="11">
        <v>46143</v>
      </c>
      <c r="G1913" s="6" t="s">
        <v>1079</v>
      </c>
      <c r="H1913" s="7"/>
      <c r="I1913" s="7" t="s">
        <v>869</v>
      </c>
      <c r="J1913" s="7" t="s">
        <v>859</v>
      </c>
      <c r="K1913" s="7" t="s">
        <v>29</v>
      </c>
      <c r="L1913" s="3" t="str">
        <f>E1913&amp;D1913</f>
        <v>E.SP.IPAT_EE_INS_CONF_C_I_R AER TRA FIO CON_0180</v>
      </c>
      <c r="M1913" s="3" t="str">
        <f>IFERROR(MID(D1913,SEARCH("S_I_",D1913,1),3),"")</f>
        <v/>
      </c>
      <c r="N1913" s="3" t="str">
        <f>IFERROR(MID(D1913,SEARCH("C_I_",D1913,1),3),"")</f>
        <v>C_I</v>
      </c>
      <c r="O1913" s="3" t="str">
        <f>IF(AND(M1913="",N1913=""),"Extra","")</f>
        <v/>
      </c>
      <c r="P1913" s="3" t="str">
        <f>IF(Q1913=0,"TERCEIRO","MRS")</f>
        <v>MRS</v>
      </c>
      <c r="Q1913" s="8" t="str">
        <f>IFERROR(VLOOKUP(L1913,#REF!,4,0),"0,00")</f>
        <v>0,00</v>
      </c>
      <c r="R1913" s="9" t="s">
        <v>42</v>
      </c>
      <c r="S1913" s="9">
        <f>COUNTIF(D1913,"*_SEG_*")</f>
        <v>0</v>
      </c>
      <c r="T1913" s="9">
        <f>COUNTIF(D1913,"*_MAN_*")</f>
        <v>0</v>
      </c>
      <c r="U1913" s="9">
        <f>(RIGHT(D1913,4))*1</f>
        <v>180</v>
      </c>
      <c r="V1913" s="9" t="str">
        <f>IFERROR(VLOOKUP(I1913,#REF!,2,0),"Sinalização")</f>
        <v>Sinalização</v>
      </c>
    </row>
    <row r="1914" spans="1:22" x14ac:dyDescent="0.25">
      <c r="A1914" s="3" t="s">
        <v>22</v>
      </c>
      <c r="B1914" s="4">
        <v>23460719</v>
      </c>
      <c r="C1914" s="5" t="s">
        <v>23</v>
      </c>
      <c r="D1914" s="6" t="s">
        <v>857</v>
      </c>
      <c r="E1914" s="6" t="s">
        <v>25</v>
      </c>
      <c r="F1914" s="11">
        <v>46143</v>
      </c>
      <c r="G1914" s="6" t="s">
        <v>1079</v>
      </c>
      <c r="H1914" s="7"/>
      <c r="I1914" s="7" t="s">
        <v>870</v>
      </c>
      <c r="J1914" s="7" t="s">
        <v>859</v>
      </c>
      <c r="K1914" s="7" t="s">
        <v>29</v>
      </c>
      <c r="L1914" s="3" t="str">
        <f>E1914&amp;D1914</f>
        <v>E.SP.IPAT_EE_INS_CONF_C_I_R AER TRA FIO CON_0180</v>
      </c>
      <c r="M1914" s="3" t="str">
        <f>IFERROR(MID(D1914,SEARCH("S_I_",D1914,1),3),"")</f>
        <v/>
      </c>
      <c r="N1914" s="3" t="str">
        <f>IFERROR(MID(D1914,SEARCH("C_I_",D1914,1),3),"")</f>
        <v>C_I</v>
      </c>
      <c r="O1914" s="3" t="str">
        <f>IF(AND(M1914="",N1914=""),"Extra","")</f>
        <v/>
      </c>
      <c r="P1914" s="3" t="str">
        <f>IF(Q1914=0,"TERCEIRO","MRS")</f>
        <v>MRS</v>
      </c>
      <c r="Q1914" s="8" t="str">
        <f>IFERROR(VLOOKUP(L1914,#REF!,4,0),"0,00")</f>
        <v>0,00</v>
      </c>
      <c r="R1914" s="9" t="s">
        <v>42</v>
      </c>
      <c r="S1914" s="9">
        <f>COUNTIF(D1914,"*_SEG_*")</f>
        <v>0</v>
      </c>
      <c r="T1914" s="9">
        <f>COUNTIF(D1914,"*_MAN_*")</f>
        <v>0</v>
      </c>
      <c r="U1914" s="9">
        <f>(RIGHT(D1914,4))*1</f>
        <v>180</v>
      </c>
      <c r="V1914" s="9" t="str">
        <f>IFERROR(VLOOKUP(I1914,#REF!,2,0),"Sinalização")</f>
        <v>Sinalização</v>
      </c>
    </row>
    <row r="1915" spans="1:22" x14ac:dyDescent="0.25">
      <c r="A1915" s="3" t="s">
        <v>22</v>
      </c>
      <c r="B1915" s="4">
        <v>23460720</v>
      </c>
      <c r="C1915" s="5" t="s">
        <v>23</v>
      </c>
      <c r="D1915" s="6" t="s">
        <v>857</v>
      </c>
      <c r="E1915" s="6" t="s">
        <v>25</v>
      </c>
      <c r="F1915" s="11">
        <v>46143</v>
      </c>
      <c r="G1915" s="6" t="s">
        <v>1079</v>
      </c>
      <c r="H1915" s="7"/>
      <c r="I1915" s="7" t="s">
        <v>871</v>
      </c>
      <c r="J1915" s="7" t="s">
        <v>859</v>
      </c>
      <c r="K1915" s="7" t="s">
        <v>29</v>
      </c>
      <c r="L1915" s="3" t="str">
        <f>E1915&amp;D1915</f>
        <v>E.SP.IPAT_EE_INS_CONF_C_I_R AER TRA FIO CON_0180</v>
      </c>
      <c r="M1915" s="3" t="str">
        <f>IFERROR(MID(D1915,SEARCH("S_I_",D1915,1),3),"")</f>
        <v/>
      </c>
      <c r="N1915" s="3" t="str">
        <f>IFERROR(MID(D1915,SEARCH("C_I_",D1915,1),3),"")</f>
        <v>C_I</v>
      </c>
      <c r="O1915" s="3" t="str">
        <f>IF(AND(M1915="",N1915=""),"Extra","")</f>
        <v/>
      </c>
      <c r="P1915" s="3" t="str">
        <f>IF(Q1915=0,"TERCEIRO","MRS")</f>
        <v>MRS</v>
      </c>
      <c r="Q1915" s="8" t="str">
        <f>IFERROR(VLOOKUP(L1915,#REF!,4,0),"0,00")</f>
        <v>0,00</v>
      </c>
      <c r="R1915" s="9" t="s">
        <v>42</v>
      </c>
      <c r="S1915" s="9">
        <f>COUNTIF(D1915,"*_SEG_*")</f>
        <v>0</v>
      </c>
      <c r="T1915" s="9">
        <f>COUNTIF(D1915,"*_MAN_*")</f>
        <v>0</v>
      </c>
      <c r="U1915" s="9">
        <f>(RIGHT(D1915,4))*1</f>
        <v>180</v>
      </c>
      <c r="V1915" s="9" t="str">
        <f>IFERROR(VLOOKUP(I1915,#REF!,2,0),"Sinalização")</f>
        <v>Sinalização</v>
      </c>
    </row>
    <row r="1916" spans="1:22" x14ac:dyDescent="0.25">
      <c r="A1916" s="3" t="s">
        <v>22</v>
      </c>
      <c r="B1916" s="4">
        <v>23460721</v>
      </c>
      <c r="C1916" s="5" t="s">
        <v>23</v>
      </c>
      <c r="D1916" s="6" t="s">
        <v>857</v>
      </c>
      <c r="E1916" s="6" t="s">
        <v>25</v>
      </c>
      <c r="F1916" s="11">
        <v>46143</v>
      </c>
      <c r="G1916" s="6" t="s">
        <v>1079</v>
      </c>
      <c r="H1916" s="7"/>
      <c r="I1916" s="7" t="s">
        <v>872</v>
      </c>
      <c r="J1916" s="7" t="s">
        <v>859</v>
      </c>
      <c r="K1916" s="7" t="s">
        <v>29</v>
      </c>
      <c r="L1916" s="3" t="str">
        <f>E1916&amp;D1916</f>
        <v>E.SP.IPAT_EE_INS_CONF_C_I_R AER TRA FIO CON_0180</v>
      </c>
      <c r="M1916" s="3" t="str">
        <f>IFERROR(MID(D1916,SEARCH("S_I_",D1916,1),3),"")</f>
        <v/>
      </c>
      <c r="N1916" s="3" t="str">
        <f>IFERROR(MID(D1916,SEARCH("C_I_",D1916,1),3),"")</f>
        <v>C_I</v>
      </c>
      <c r="O1916" s="3" t="str">
        <f>IF(AND(M1916="",N1916=""),"Extra","")</f>
        <v/>
      </c>
      <c r="P1916" s="3" t="str">
        <f>IF(Q1916=0,"TERCEIRO","MRS")</f>
        <v>MRS</v>
      </c>
      <c r="Q1916" s="8" t="str">
        <f>IFERROR(VLOOKUP(L1916,#REF!,4,0),"0,00")</f>
        <v>0,00</v>
      </c>
      <c r="R1916" s="9" t="s">
        <v>42</v>
      </c>
      <c r="S1916" s="9">
        <f>COUNTIF(D1916,"*_SEG_*")</f>
        <v>0</v>
      </c>
      <c r="T1916" s="9">
        <f>COUNTIF(D1916,"*_MAN_*")</f>
        <v>0</v>
      </c>
      <c r="U1916" s="9">
        <f>(RIGHT(D1916,4))*1</f>
        <v>180</v>
      </c>
      <c r="V1916" s="9" t="str">
        <f>IFERROR(VLOOKUP(I1916,#REF!,2,0),"Sinalização")</f>
        <v>Sinalização</v>
      </c>
    </row>
    <row r="1917" spans="1:22" x14ac:dyDescent="0.25">
      <c r="A1917" s="3" t="s">
        <v>22</v>
      </c>
      <c r="B1917" s="4">
        <v>23460722</v>
      </c>
      <c r="C1917" s="5" t="s">
        <v>23</v>
      </c>
      <c r="D1917" s="6" t="s">
        <v>857</v>
      </c>
      <c r="E1917" s="6" t="s">
        <v>25</v>
      </c>
      <c r="F1917" s="11">
        <v>46143</v>
      </c>
      <c r="G1917" s="6" t="s">
        <v>1079</v>
      </c>
      <c r="H1917" s="7"/>
      <c r="I1917" s="7" t="s">
        <v>873</v>
      </c>
      <c r="J1917" s="7" t="s">
        <v>859</v>
      </c>
      <c r="K1917" s="7" t="s">
        <v>29</v>
      </c>
      <c r="L1917" s="3" t="str">
        <f>E1917&amp;D1917</f>
        <v>E.SP.IPAT_EE_INS_CONF_C_I_R AER TRA FIO CON_0180</v>
      </c>
      <c r="M1917" s="3" t="str">
        <f>IFERROR(MID(D1917,SEARCH("S_I_",D1917,1),3),"")</f>
        <v/>
      </c>
      <c r="N1917" s="3" t="str">
        <f>IFERROR(MID(D1917,SEARCH("C_I_",D1917,1),3),"")</f>
        <v>C_I</v>
      </c>
      <c r="O1917" s="3" t="str">
        <f>IF(AND(M1917="",N1917=""),"Extra","")</f>
        <v/>
      </c>
      <c r="P1917" s="3" t="str">
        <f>IF(Q1917=0,"TERCEIRO","MRS")</f>
        <v>MRS</v>
      </c>
      <c r="Q1917" s="8" t="str">
        <f>IFERROR(VLOOKUP(L1917,#REF!,4,0),"0,00")</f>
        <v>0,00</v>
      </c>
      <c r="R1917" s="9" t="s">
        <v>42</v>
      </c>
      <c r="S1917" s="9">
        <f>COUNTIF(D1917,"*_SEG_*")</f>
        <v>0</v>
      </c>
      <c r="T1917" s="9">
        <f>COUNTIF(D1917,"*_MAN_*")</f>
        <v>0</v>
      </c>
      <c r="U1917" s="9">
        <f>(RIGHT(D1917,4))*1</f>
        <v>180</v>
      </c>
      <c r="V1917" s="9" t="str">
        <f>IFERROR(VLOOKUP(I1917,#REF!,2,0),"Sinalização")</f>
        <v>Sinalização</v>
      </c>
    </row>
    <row r="1918" spans="1:22" x14ac:dyDescent="0.25">
      <c r="A1918" s="3" t="s">
        <v>22</v>
      </c>
      <c r="B1918" s="4">
        <v>23460723</v>
      </c>
      <c r="C1918" s="5" t="s">
        <v>23</v>
      </c>
      <c r="D1918" s="6" t="s">
        <v>857</v>
      </c>
      <c r="E1918" s="6" t="s">
        <v>25</v>
      </c>
      <c r="F1918" s="11">
        <v>46143</v>
      </c>
      <c r="G1918" s="6" t="s">
        <v>1079</v>
      </c>
      <c r="H1918" s="7"/>
      <c r="I1918" s="7" t="s">
        <v>874</v>
      </c>
      <c r="J1918" s="7" t="s">
        <v>859</v>
      </c>
      <c r="K1918" s="7" t="s">
        <v>29</v>
      </c>
      <c r="L1918" s="3" t="str">
        <f>E1918&amp;D1918</f>
        <v>E.SP.IPAT_EE_INS_CONF_C_I_R AER TRA FIO CON_0180</v>
      </c>
      <c r="M1918" s="3" t="str">
        <f>IFERROR(MID(D1918,SEARCH("S_I_",D1918,1),3),"")</f>
        <v/>
      </c>
      <c r="N1918" s="3" t="str">
        <f>IFERROR(MID(D1918,SEARCH("C_I_",D1918,1),3),"")</f>
        <v>C_I</v>
      </c>
      <c r="O1918" s="3" t="str">
        <f>IF(AND(M1918="",N1918=""),"Extra","")</f>
        <v/>
      </c>
      <c r="P1918" s="3" t="str">
        <f>IF(Q1918=0,"TERCEIRO","MRS")</f>
        <v>MRS</v>
      </c>
      <c r="Q1918" s="8" t="str">
        <f>IFERROR(VLOOKUP(L1918,#REF!,4,0),"0,00")</f>
        <v>0,00</v>
      </c>
      <c r="R1918" s="9" t="s">
        <v>42</v>
      </c>
      <c r="S1918" s="9">
        <f>COUNTIF(D1918,"*_SEG_*")</f>
        <v>0</v>
      </c>
      <c r="T1918" s="9">
        <f>COUNTIF(D1918,"*_MAN_*")</f>
        <v>0</v>
      </c>
      <c r="U1918" s="9">
        <f>(RIGHT(D1918,4))*1</f>
        <v>180</v>
      </c>
      <c r="V1918" s="9" t="str">
        <f>IFERROR(VLOOKUP(I1918,#REF!,2,0),"Sinalização")</f>
        <v>Sinalização</v>
      </c>
    </row>
    <row r="1919" spans="1:22" x14ac:dyDescent="0.25">
      <c r="A1919" s="3" t="s">
        <v>22</v>
      </c>
      <c r="B1919" s="4">
        <v>23460724</v>
      </c>
      <c r="C1919" s="5" t="s">
        <v>23</v>
      </c>
      <c r="D1919" s="6" t="s">
        <v>857</v>
      </c>
      <c r="E1919" s="6" t="s">
        <v>25</v>
      </c>
      <c r="F1919" s="11">
        <v>46143</v>
      </c>
      <c r="G1919" s="6" t="s">
        <v>1079</v>
      </c>
      <c r="H1919" s="7"/>
      <c r="I1919" s="7" t="s">
        <v>875</v>
      </c>
      <c r="J1919" s="7" t="s">
        <v>859</v>
      </c>
      <c r="K1919" s="7" t="s">
        <v>29</v>
      </c>
      <c r="L1919" s="3" t="str">
        <f>E1919&amp;D1919</f>
        <v>E.SP.IPAT_EE_INS_CONF_C_I_R AER TRA FIO CON_0180</v>
      </c>
      <c r="M1919" s="3" t="str">
        <f>IFERROR(MID(D1919,SEARCH("S_I_",D1919,1),3),"")</f>
        <v/>
      </c>
      <c r="N1919" s="3" t="str">
        <f>IFERROR(MID(D1919,SEARCH("C_I_",D1919,1),3),"")</f>
        <v>C_I</v>
      </c>
      <c r="O1919" s="3" t="str">
        <f>IF(AND(M1919="",N1919=""),"Extra","")</f>
        <v/>
      </c>
      <c r="P1919" s="3" t="str">
        <f>IF(Q1919=0,"TERCEIRO","MRS")</f>
        <v>MRS</v>
      </c>
      <c r="Q1919" s="8" t="str">
        <f>IFERROR(VLOOKUP(L1919,#REF!,4,0),"0,00")</f>
        <v>0,00</v>
      </c>
      <c r="R1919" s="9" t="s">
        <v>42</v>
      </c>
      <c r="S1919" s="9">
        <f>COUNTIF(D1919,"*_SEG_*")</f>
        <v>0</v>
      </c>
      <c r="T1919" s="9">
        <f>COUNTIF(D1919,"*_MAN_*")</f>
        <v>0</v>
      </c>
      <c r="U1919" s="9">
        <f>(RIGHT(D1919,4))*1</f>
        <v>180</v>
      </c>
      <c r="V1919" s="9" t="str">
        <f>IFERROR(VLOOKUP(I1919,#REF!,2,0),"Sinalização")</f>
        <v>Sinalização</v>
      </c>
    </row>
    <row r="1920" spans="1:22" x14ac:dyDescent="0.25">
      <c r="A1920" s="3" t="s">
        <v>22</v>
      </c>
      <c r="B1920" s="4">
        <v>23460725</v>
      </c>
      <c r="C1920" s="5" t="s">
        <v>23</v>
      </c>
      <c r="D1920" s="6" t="s">
        <v>857</v>
      </c>
      <c r="E1920" s="6" t="s">
        <v>25</v>
      </c>
      <c r="F1920" s="11">
        <v>46143</v>
      </c>
      <c r="G1920" s="6" t="s">
        <v>1079</v>
      </c>
      <c r="H1920" s="7"/>
      <c r="I1920" s="7" t="s">
        <v>876</v>
      </c>
      <c r="J1920" s="7" t="s">
        <v>859</v>
      </c>
      <c r="K1920" s="7" t="s">
        <v>29</v>
      </c>
      <c r="L1920" s="3" t="str">
        <f>E1920&amp;D1920</f>
        <v>E.SP.IPAT_EE_INS_CONF_C_I_R AER TRA FIO CON_0180</v>
      </c>
      <c r="M1920" s="3" t="str">
        <f>IFERROR(MID(D1920,SEARCH("S_I_",D1920,1),3),"")</f>
        <v/>
      </c>
      <c r="N1920" s="3" t="str">
        <f>IFERROR(MID(D1920,SEARCH("C_I_",D1920,1),3),"")</f>
        <v>C_I</v>
      </c>
      <c r="O1920" s="3" t="str">
        <f>IF(AND(M1920="",N1920=""),"Extra","")</f>
        <v/>
      </c>
      <c r="P1920" s="3" t="str">
        <f>IF(Q1920=0,"TERCEIRO","MRS")</f>
        <v>MRS</v>
      </c>
      <c r="Q1920" s="8" t="str">
        <f>IFERROR(VLOOKUP(L1920,#REF!,4,0),"0,00")</f>
        <v>0,00</v>
      </c>
      <c r="R1920" s="9" t="s">
        <v>42</v>
      </c>
      <c r="S1920" s="9">
        <f>COUNTIF(D1920,"*_SEG_*")</f>
        <v>0</v>
      </c>
      <c r="T1920" s="9">
        <f>COUNTIF(D1920,"*_MAN_*")</f>
        <v>0</v>
      </c>
      <c r="U1920" s="9">
        <f>(RIGHT(D1920,4))*1</f>
        <v>180</v>
      </c>
      <c r="V1920" s="9" t="str">
        <f>IFERROR(VLOOKUP(I1920,#REF!,2,0),"Sinalização")</f>
        <v>Sinalização</v>
      </c>
    </row>
    <row r="1921" spans="1:22" x14ac:dyDescent="0.25">
      <c r="A1921" s="3" t="s">
        <v>22</v>
      </c>
      <c r="B1921" s="4">
        <v>23460726</v>
      </c>
      <c r="C1921" s="5" t="s">
        <v>23</v>
      </c>
      <c r="D1921" s="6" t="s">
        <v>857</v>
      </c>
      <c r="E1921" s="6" t="s">
        <v>25</v>
      </c>
      <c r="F1921" s="11">
        <v>46143</v>
      </c>
      <c r="G1921" s="6" t="s">
        <v>1079</v>
      </c>
      <c r="H1921" s="7"/>
      <c r="I1921" s="7" t="s">
        <v>877</v>
      </c>
      <c r="J1921" s="7" t="s">
        <v>859</v>
      </c>
      <c r="K1921" s="7" t="s">
        <v>29</v>
      </c>
      <c r="L1921" s="3" t="str">
        <f>E1921&amp;D1921</f>
        <v>E.SP.IPAT_EE_INS_CONF_C_I_R AER TRA FIO CON_0180</v>
      </c>
      <c r="M1921" s="3" t="str">
        <f>IFERROR(MID(D1921,SEARCH("S_I_",D1921,1),3),"")</f>
        <v/>
      </c>
      <c r="N1921" s="3" t="str">
        <f>IFERROR(MID(D1921,SEARCH("C_I_",D1921,1),3),"")</f>
        <v>C_I</v>
      </c>
      <c r="O1921" s="3" t="str">
        <f>IF(AND(M1921="",N1921=""),"Extra","")</f>
        <v/>
      </c>
      <c r="P1921" s="3" t="str">
        <f>IF(Q1921=0,"TERCEIRO","MRS")</f>
        <v>MRS</v>
      </c>
      <c r="Q1921" s="8" t="str">
        <f>IFERROR(VLOOKUP(L1921,#REF!,4,0),"0,00")</f>
        <v>0,00</v>
      </c>
      <c r="R1921" s="9" t="s">
        <v>42</v>
      </c>
      <c r="S1921" s="9">
        <f>COUNTIF(D1921,"*_SEG_*")</f>
        <v>0</v>
      </c>
      <c r="T1921" s="9">
        <f>COUNTIF(D1921,"*_MAN_*")</f>
        <v>0</v>
      </c>
      <c r="U1921" s="9">
        <f>(RIGHT(D1921,4))*1</f>
        <v>180</v>
      </c>
      <c r="V1921" s="9" t="str">
        <f>IFERROR(VLOOKUP(I1921,#REF!,2,0),"Sinalização")</f>
        <v>Sinalização</v>
      </c>
    </row>
    <row r="1922" spans="1:22" x14ac:dyDescent="0.25">
      <c r="A1922" s="3" t="s">
        <v>22</v>
      </c>
      <c r="B1922" s="4">
        <v>23460727</v>
      </c>
      <c r="C1922" s="5" t="s">
        <v>23</v>
      </c>
      <c r="D1922" s="6" t="s">
        <v>857</v>
      </c>
      <c r="E1922" s="6" t="s">
        <v>25</v>
      </c>
      <c r="F1922" s="11">
        <v>46143</v>
      </c>
      <c r="G1922" s="6" t="s">
        <v>1079</v>
      </c>
      <c r="H1922" s="7"/>
      <c r="I1922" s="7" t="s">
        <v>878</v>
      </c>
      <c r="J1922" s="7" t="s">
        <v>859</v>
      </c>
      <c r="K1922" s="7" t="s">
        <v>29</v>
      </c>
      <c r="L1922" s="3" t="str">
        <f>E1922&amp;D1922</f>
        <v>E.SP.IPAT_EE_INS_CONF_C_I_R AER TRA FIO CON_0180</v>
      </c>
      <c r="M1922" s="3" t="str">
        <f>IFERROR(MID(D1922,SEARCH("S_I_",D1922,1),3),"")</f>
        <v/>
      </c>
      <c r="N1922" s="3" t="str">
        <f>IFERROR(MID(D1922,SEARCH("C_I_",D1922,1),3),"")</f>
        <v>C_I</v>
      </c>
      <c r="O1922" s="3" t="str">
        <f>IF(AND(M1922="",N1922=""),"Extra","")</f>
        <v/>
      </c>
      <c r="P1922" s="3" t="str">
        <f>IF(Q1922=0,"TERCEIRO","MRS")</f>
        <v>MRS</v>
      </c>
      <c r="Q1922" s="8" t="str">
        <f>IFERROR(VLOOKUP(L1922,#REF!,4,0),"0,00")</f>
        <v>0,00</v>
      </c>
      <c r="R1922" s="9" t="s">
        <v>42</v>
      </c>
      <c r="S1922" s="9">
        <f>COUNTIF(D1922,"*_SEG_*")</f>
        <v>0</v>
      </c>
      <c r="T1922" s="9">
        <f>COUNTIF(D1922,"*_MAN_*")</f>
        <v>0</v>
      </c>
      <c r="U1922" s="9">
        <f>(RIGHT(D1922,4))*1</f>
        <v>180</v>
      </c>
      <c r="V1922" s="9" t="str">
        <f>IFERROR(VLOOKUP(I1922,#REF!,2,0),"Sinalização")</f>
        <v>Sinalização</v>
      </c>
    </row>
    <row r="1923" spans="1:22" x14ac:dyDescent="0.25">
      <c r="A1923" s="3" t="s">
        <v>22</v>
      </c>
      <c r="B1923" s="4">
        <v>23460728</v>
      </c>
      <c r="C1923" s="5" t="s">
        <v>23</v>
      </c>
      <c r="D1923" s="6" t="s">
        <v>857</v>
      </c>
      <c r="E1923" s="6" t="s">
        <v>25</v>
      </c>
      <c r="F1923" s="11">
        <v>46143</v>
      </c>
      <c r="G1923" s="6" t="s">
        <v>1079</v>
      </c>
      <c r="H1923" s="7"/>
      <c r="I1923" s="7" t="s">
        <v>879</v>
      </c>
      <c r="J1923" s="7" t="s">
        <v>859</v>
      </c>
      <c r="K1923" s="7" t="s">
        <v>29</v>
      </c>
      <c r="L1923" s="3" t="str">
        <f>E1923&amp;D1923</f>
        <v>E.SP.IPAT_EE_INS_CONF_C_I_R AER TRA FIO CON_0180</v>
      </c>
      <c r="M1923" s="3" t="str">
        <f>IFERROR(MID(D1923,SEARCH("S_I_",D1923,1),3),"")</f>
        <v/>
      </c>
      <c r="N1923" s="3" t="str">
        <f>IFERROR(MID(D1923,SEARCH("C_I_",D1923,1),3),"")</f>
        <v>C_I</v>
      </c>
      <c r="O1923" s="3" t="str">
        <f>IF(AND(M1923="",N1923=""),"Extra","")</f>
        <v/>
      </c>
      <c r="P1923" s="3" t="str">
        <f>IF(Q1923=0,"TERCEIRO","MRS")</f>
        <v>MRS</v>
      </c>
      <c r="Q1923" s="8" t="str">
        <f>IFERROR(VLOOKUP(L1923,#REF!,4,0),"0,00")</f>
        <v>0,00</v>
      </c>
      <c r="R1923" s="9" t="s">
        <v>42</v>
      </c>
      <c r="S1923" s="9">
        <f>COUNTIF(D1923,"*_SEG_*")</f>
        <v>0</v>
      </c>
      <c r="T1923" s="9">
        <f>COUNTIF(D1923,"*_MAN_*")</f>
        <v>0</v>
      </c>
      <c r="U1923" s="9">
        <f>(RIGHT(D1923,4))*1</f>
        <v>180</v>
      </c>
      <c r="V1923" s="9" t="str">
        <f>IFERROR(VLOOKUP(I1923,#REF!,2,0),"Sinalização")</f>
        <v>Sinalização</v>
      </c>
    </row>
    <row r="1924" spans="1:22" x14ac:dyDescent="0.25">
      <c r="A1924" s="3" t="s">
        <v>22</v>
      </c>
      <c r="B1924" s="4">
        <v>23460729</v>
      </c>
      <c r="C1924" s="5" t="s">
        <v>23</v>
      </c>
      <c r="D1924" s="6" t="s">
        <v>857</v>
      </c>
      <c r="E1924" s="6" t="s">
        <v>25</v>
      </c>
      <c r="F1924" s="11">
        <v>46143</v>
      </c>
      <c r="G1924" s="6" t="s">
        <v>1079</v>
      </c>
      <c r="H1924" s="7"/>
      <c r="I1924" s="7" t="s">
        <v>880</v>
      </c>
      <c r="J1924" s="7" t="s">
        <v>859</v>
      </c>
      <c r="K1924" s="7" t="s">
        <v>29</v>
      </c>
      <c r="L1924" s="3" t="str">
        <f>E1924&amp;D1924</f>
        <v>E.SP.IPAT_EE_INS_CONF_C_I_R AER TRA FIO CON_0180</v>
      </c>
      <c r="M1924" s="3" t="str">
        <f>IFERROR(MID(D1924,SEARCH("S_I_",D1924,1),3),"")</f>
        <v/>
      </c>
      <c r="N1924" s="3" t="str">
        <f>IFERROR(MID(D1924,SEARCH("C_I_",D1924,1),3),"")</f>
        <v>C_I</v>
      </c>
      <c r="O1924" s="3" t="str">
        <f>IF(AND(M1924="",N1924=""),"Extra","")</f>
        <v/>
      </c>
      <c r="P1924" s="3" t="str">
        <f>IF(Q1924=0,"TERCEIRO","MRS")</f>
        <v>MRS</v>
      </c>
      <c r="Q1924" s="8" t="str">
        <f>IFERROR(VLOOKUP(L1924,#REF!,4,0),"0,00")</f>
        <v>0,00</v>
      </c>
      <c r="R1924" s="9" t="s">
        <v>42</v>
      </c>
      <c r="S1924" s="9">
        <f>COUNTIF(D1924,"*_SEG_*")</f>
        <v>0</v>
      </c>
      <c r="T1924" s="9">
        <f>COUNTIF(D1924,"*_MAN_*")</f>
        <v>0</v>
      </c>
      <c r="U1924" s="9">
        <f>(RIGHT(D1924,4))*1</f>
        <v>180</v>
      </c>
      <c r="V1924" s="9" t="str">
        <f>IFERROR(VLOOKUP(I1924,#REF!,2,0),"Sinalização")</f>
        <v>Sinalização</v>
      </c>
    </row>
    <row r="1925" spans="1:22" x14ac:dyDescent="0.25">
      <c r="A1925" s="3" t="s">
        <v>22</v>
      </c>
      <c r="B1925" s="4">
        <v>23460730</v>
      </c>
      <c r="C1925" s="5" t="s">
        <v>23</v>
      </c>
      <c r="D1925" s="6" t="s">
        <v>857</v>
      </c>
      <c r="E1925" s="6" t="s">
        <v>25</v>
      </c>
      <c r="F1925" s="11">
        <v>46143</v>
      </c>
      <c r="G1925" s="6" t="s">
        <v>1079</v>
      </c>
      <c r="H1925" s="7"/>
      <c r="I1925" s="7" t="s">
        <v>881</v>
      </c>
      <c r="J1925" s="7" t="s">
        <v>859</v>
      </c>
      <c r="K1925" s="7" t="s">
        <v>29</v>
      </c>
      <c r="L1925" s="3" t="str">
        <f>E1925&amp;D1925</f>
        <v>E.SP.IPAT_EE_INS_CONF_C_I_R AER TRA FIO CON_0180</v>
      </c>
      <c r="M1925" s="3" t="str">
        <f>IFERROR(MID(D1925,SEARCH("S_I_",D1925,1),3),"")</f>
        <v/>
      </c>
      <c r="N1925" s="3" t="str">
        <f>IFERROR(MID(D1925,SEARCH("C_I_",D1925,1),3),"")</f>
        <v>C_I</v>
      </c>
      <c r="O1925" s="3" t="str">
        <f>IF(AND(M1925="",N1925=""),"Extra","")</f>
        <v/>
      </c>
      <c r="P1925" s="3" t="str">
        <f>IF(Q1925=0,"TERCEIRO","MRS")</f>
        <v>MRS</v>
      </c>
      <c r="Q1925" s="8" t="str">
        <f>IFERROR(VLOOKUP(L1925,#REF!,4,0),"0,00")</f>
        <v>0,00</v>
      </c>
      <c r="R1925" s="9" t="s">
        <v>42</v>
      </c>
      <c r="S1925" s="9">
        <f>COUNTIF(D1925,"*_SEG_*")</f>
        <v>0</v>
      </c>
      <c r="T1925" s="9">
        <f>COUNTIF(D1925,"*_MAN_*")</f>
        <v>0</v>
      </c>
      <c r="U1925" s="9">
        <f>(RIGHT(D1925,4))*1</f>
        <v>180</v>
      </c>
      <c r="V1925" s="9" t="str">
        <f>IFERROR(VLOOKUP(I1925,#REF!,2,0),"Sinalização")</f>
        <v>Sinalização</v>
      </c>
    </row>
    <row r="1926" spans="1:22" x14ac:dyDescent="0.25">
      <c r="A1926" s="3" t="s">
        <v>22</v>
      </c>
      <c r="B1926" s="4">
        <v>23460731</v>
      </c>
      <c r="C1926" s="5" t="s">
        <v>23</v>
      </c>
      <c r="D1926" s="6" t="s">
        <v>857</v>
      </c>
      <c r="E1926" s="6" t="s">
        <v>25</v>
      </c>
      <c r="F1926" s="11">
        <v>46143</v>
      </c>
      <c r="G1926" s="6" t="s">
        <v>1079</v>
      </c>
      <c r="H1926" s="7"/>
      <c r="I1926" s="7" t="s">
        <v>882</v>
      </c>
      <c r="J1926" s="7" t="s">
        <v>859</v>
      </c>
      <c r="K1926" s="7" t="s">
        <v>29</v>
      </c>
      <c r="L1926" s="3" t="str">
        <f>E1926&amp;D1926</f>
        <v>E.SP.IPAT_EE_INS_CONF_C_I_R AER TRA FIO CON_0180</v>
      </c>
      <c r="M1926" s="3" t="str">
        <f>IFERROR(MID(D1926,SEARCH("S_I_",D1926,1),3),"")</f>
        <v/>
      </c>
      <c r="N1926" s="3" t="str">
        <f>IFERROR(MID(D1926,SEARCH("C_I_",D1926,1),3),"")</f>
        <v>C_I</v>
      </c>
      <c r="O1926" s="3" t="str">
        <f>IF(AND(M1926="",N1926=""),"Extra","")</f>
        <v/>
      </c>
      <c r="P1926" s="3" t="str">
        <f>IF(Q1926=0,"TERCEIRO","MRS")</f>
        <v>MRS</v>
      </c>
      <c r="Q1926" s="8" t="str">
        <f>IFERROR(VLOOKUP(L1926,#REF!,4,0),"0,00")</f>
        <v>0,00</v>
      </c>
      <c r="R1926" s="9" t="s">
        <v>42</v>
      </c>
      <c r="S1926" s="9">
        <f>COUNTIF(D1926,"*_SEG_*")</f>
        <v>0</v>
      </c>
      <c r="T1926" s="9">
        <f>COUNTIF(D1926,"*_MAN_*")</f>
        <v>0</v>
      </c>
      <c r="U1926" s="9">
        <f>(RIGHT(D1926,4))*1</f>
        <v>180</v>
      </c>
      <c r="V1926" s="9" t="str">
        <f>IFERROR(VLOOKUP(I1926,#REF!,2,0),"Sinalização")</f>
        <v>Sinalização</v>
      </c>
    </row>
    <row r="1927" spans="1:22" x14ac:dyDescent="0.25">
      <c r="A1927" s="3" t="s">
        <v>22</v>
      </c>
      <c r="B1927" s="4">
        <v>23460732</v>
      </c>
      <c r="C1927" s="5" t="s">
        <v>23</v>
      </c>
      <c r="D1927" s="6" t="s">
        <v>857</v>
      </c>
      <c r="E1927" s="6" t="s">
        <v>25</v>
      </c>
      <c r="F1927" s="11">
        <v>46143</v>
      </c>
      <c r="G1927" s="6" t="s">
        <v>1079</v>
      </c>
      <c r="H1927" s="7"/>
      <c r="I1927" s="7" t="s">
        <v>883</v>
      </c>
      <c r="J1927" s="7" t="s">
        <v>859</v>
      </c>
      <c r="K1927" s="7" t="s">
        <v>29</v>
      </c>
      <c r="L1927" s="3" t="str">
        <f>E1927&amp;D1927</f>
        <v>E.SP.IPAT_EE_INS_CONF_C_I_R AER TRA FIO CON_0180</v>
      </c>
      <c r="M1927" s="3" t="str">
        <f>IFERROR(MID(D1927,SEARCH("S_I_",D1927,1),3),"")</f>
        <v/>
      </c>
      <c r="N1927" s="3" t="str">
        <f>IFERROR(MID(D1927,SEARCH("C_I_",D1927,1),3),"")</f>
        <v>C_I</v>
      </c>
      <c r="O1927" s="3" t="str">
        <f>IF(AND(M1927="",N1927=""),"Extra","")</f>
        <v/>
      </c>
      <c r="P1927" s="3" t="str">
        <f>IF(Q1927=0,"TERCEIRO","MRS")</f>
        <v>MRS</v>
      </c>
      <c r="Q1927" s="8" t="str">
        <f>IFERROR(VLOOKUP(L1927,#REF!,4,0),"0,00")</f>
        <v>0,00</v>
      </c>
      <c r="R1927" s="9" t="s">
        <v>42</v>
      </c>
      <c r="S1927" s="9">
        <f>COUNTIF(D1927,"*_SEG_*")</f>
        <v>0</v>
      </c>
      <c r="T1927" s="9">
        <f>COUNTIF(D1927,"*_MAN_*")</f>
        <v>0</v>
      </c>
      <c r="U1927" s="9">
        <f>(RIGHT(D1927,4))*1</f>
        <v>180</v>
      </c>
      <c r="V1927" s="9" t="str">
        <f>IFERROR(VLOOKUP(I1927,#REF!,2,0),"Sinalização")</f>
        <v>Sinalização</v>
      </c>
    </row>
    <row r="1928" spans="1:22" x14ac:dyDescent="0.25">
      <c r="A1928" s="3" t="s">
        <v>22</v>
      </c>
      <c r="B1928" s="4">
        <v>23460802</v>
      </c>
      <c r="C1928" s="5" t="s">
        <v>23</v>
      </c>
      <c r="D1928" s="6" t="s">
        <v>884</v>
      </c>
      <c r="E1928" s="6" t="s">
        <v>25</v>
      </c>
      <c r="F1928" s="11">
        <v>46143</v>
      </c>
      <c r="G1928" s="6" t="s">
        <v>1079</v>
      </c>
      <c r="H1928" s="7"/>
      <c r="I1928" s="7" t="s">
        <v>885</v>
      </c>
      <c r="J1928" s="7" t="s">
        <v>886</v>
      </c>
      <c r="K1928" s="7" t="s">
        <v>29</v>
      </c>
      <c r="L1928" s="3" t="str">
        <f>E1928&amp;D1928</f>
        <v>E.SP.IPAT_EE_INS_CONF_C_I_R AER TRACAO CREM_0180</v>
      </c>
      <c r="M1928" s="3" t="str">
        <f>IFERROR(MID(D1928,SEARCH("S_I_",D1928,1),3),"")</f>
        <v/>
      </c>
      <c r="N1928" s="3" t="str">
        <f>IFERROR(MID(D1928,SEARCH("C_I_",D1928,1),3),"")</f>
        <v>C_I</v>
      </c>
      <c r="O1928" s="3" t="str">
        <f>IF(AND(M1928="",N1928=""),"Extra","")</f>
        <v/>
      </c>
      <c r="P1928" s="3" t="str">
        <f>IF(Q1928=0,"TERCEIRO","MRS")</f>
        <v>MRS</v>
      </c>
      <c r="Q1928" s="8" t="str">
        <f>IFERROR(VLOOKUP(L1928,#REF!,4,0),"0,00")</f>
        <v>0,00</v>
      </c>
      <c r="R1928" s="9" t="s">
        <v>42</v>
      </c>
      <c r="S1928" s="9">
        <f>COUNTIF(D1928,"*_SEG_*")</f>
        <v>0</v>
      </c>
      <c r="T1928" s="9">
        <f>COUNTIF(D1928,"*_MAN_*")</f>
        <v>0</v>
      </c>
      <c r="U1928" s="9">
        <f>(RIGHT(D1928,4))*1</f>
        <v>180</v>
      </c>
      <c r="V1928" s="9" t="str">
        <f>IFERROR(VLOOKUP(I1928,#REF!,2,0),"Sinalização")</f>
        <v>Sinalização</v>
      </c>
    </row>
    <row r="1929" spans="1:22" x14ac:dyDescent="0.25">
      <c r="A1929" s="3" t="s">
        <v>22</v>
      </c>
      <c r="B1929" s="4">
        <v>23460803</v>
      </c>
      <c r="C1929" s="5" t="s">
        <v>23</v>
      </c>
      <c r="D1929" s="6" t="s">
        <v>884</v>
      </c>
      <c r="E1929" s="6" t="s">
        <v>25</v>
      </c>
      <c r="F1929" s="11">
        <v>46143</v>
      </c>
      <c r="G1929" s="6" t="s">
        <v>1079</v>
      </c>
      <c r="H1929" s="7"/>
      <c r="I1929" s="7" t="s">
        <v>887</v>
      </c>
      <c r="J1929" s="7" t="s">
        <v>886</v>
      </c>
      <c r="K1929" s="7" t="s">
        <v>29</v>
      </c>
      <c r="L1929" s="3" t="str">
        <f>E1929&amp;D1929</f>
        <v>E.SP.IPAT_EE_INS_CONF_C_I_R AER TRACAO CREM_0180</v>
      </c>
      <c r="M1929" s="3" t="str">
        <f>IFERROR(MID(D1929,SEARCH("S_I_",D1929,1),3),"")</f>
        <v/>
      </c>
      <c r="N1929" s="3" t="str">
        <f>IFERROR(MID(D1929,SEARCH("C_I_",D1929,1),3),"")</f>
        <v>C_I</v>
      </c>
      <c r="O1929" s="3" t="str">
        <f>IF(AND(M1929="",N1929=""),"Extra","")</f>
        <v/>
      </c>
      <c r="P1929" s="3" t="str">
        <f>IF(Q1929=0,"TERCEIRO","MRS")</f>
        <v>MRS</v>
      </c>
      <c r="Q1929" s="8" t="str">
        <f>IFERROR(VLOOKUP(L1929,#REF!,4,0),"0,00")</f>
        <v>0,00</v>
      </c>
      <c r="R1929" s="9" t="s">
        <v>42</v>
      </c>
      <c r="S1929" s="9">
        <f>COUNTIF(D1929,"*_SEG_*")</f>
        <v>0</v>
      </c>
      <c r="T1929" s="9">
        <f>COUNTIF(D1929,"*_MAN_*")</f>
        <v>0</v>
      </c>
      <c r="U1929" s="9">
        <f>(RIGHT(D1929,4))*1</f>
        <v>180</v>
      </c>
      <c r="V1929" s="9" t="str">
        <f>IFERROR(VLOOKUP(I1929,#REF!,2,0),"Sinalização")</f>
        <v>Sinalização</v>
      </c>
    </row>
    <row r="1930" spans="1:22" x14ac:dyDescent="0.25">
      <c r="A1930" s="3" t="s">
        <v>22</v>
      </c>
      <c r="B1930" s="4">
        <v>23460804</v>
      </c>
      <c r="C1930" s="5" t="s">
        <v>23</v>
      </c>
      <c r="D1930" s="6" t="s">
        <v>884</v>
      </c>
      <c r="E1930" s="6" t="s">
        <v>25</v>
      </c>
      <c r="F1930" s="11">
        <v>46143</v>
      </c>
      <c r="G1930" s="6" t="s">
        <v>1079</v>
      </c>
      <c r="H1930" s="7"/>
      <c r="I1930" s="7" t="s">
        <v>888</v>
      </c>
      <c r="J1930" s="7" t="s">
        <v>886</v>
      </c>
      <c r="K1930" s="7" t="s">
        <v>29</v>
      </c>
      <c r="L1930" s="3" t="str">
        <f>E1930&amp;D1930</f>
        <v>E.SP.IPAT_EE_INS_CONF_C_I_R AER TRACAO CREM_0180</v>
      </c>
      <c r="M1930" s="3" t="str">
        <f>IFERROR(MID(D1930,SEARCH("S_I_",D1930,1),3),"")</f>
        <v/>
      </c>
      <c r="N1930" s="3" t="str">
        <f>IFERROR(MID(D1930,SEARCH("C_I_",D1930,1),3),"")</f>
        <v>C_I</v>
      </c>
      <c r="O1930" s="3" t="str">
        <f>IF(AND(M1930="",N1930=""),"Extra","")</f>
        <v/>
      </c>
      <c r="P1930" s="3" t="str">
        <f>IF(Q1930=0,"TERCEIRO","MRS")</f>
        <v>MRS</v>
      </c>
      <c r="Q1930" s="8" t="str">
        <f>IFERROR(VLOOKUP(L1930,#REF!,4,0),"0,00")</f>
        <v>0,00</v>
      </c>
      <c r="R1930" s="9" t="s">
        <v>42</v>
      </c>
      <c r="S1930" s="9">
        <f>COUNTIF(D1930,"*_SEG_*")</f>
        <v>0</v>
      </c>
      <c r="T1930" s="9">
        <f>COUNTIF(D1930,"*_MAN_*")</f>
        <v>0</v>
      </c>
      <c r="U1930" s="9">
        <f>(RIGHT(D1930,4))*1</f>
        <v>180</v>
      </c>
      <c r="V1930" s="9" t="str">
        <f>IFERROR(VLOOKUP(I1930,#REF!,2,0),"Sinalização")</f>
        <v>Sinalização</v>
      </c>
    </row>
    <row r="1931" spans="1:22" x14ac:dyDescent="0.25">
      <c r="A1931" s="3" t="s">
        <v>22</v>
      </c>
      <c r="B1931" s="4">
        <v>23460805</v>
      </c>
      <c r="C1931" s="5" t="s">
        <v>23</v>
      </c>
      <c r="D1931" s="6" t="s">
        <v>884</v>
      </c>
      <c r="E1931" s="6" t="s">
        <v>25</v>
      </c>
      <c r="F1931" s="11">
        <v>46143</v>
      </c>
      <c r="G1931" s="6" t="s">
        <v>1079</v>
      </c>
      <c r="H1931" s="7"/>
      <c r="I1931" s="7" t="s">
        <v>889</v>
      </c>
      <c r="J1931" s="7" t="s">
        <v>886</v>
      </c>
      <c r="K1931" s="7" t="s">
        <v>29</v>
      </c>
      <c r="L1931" s="3" t="str">
        <f>E1931&amp;D1931</f>
        <v>E.SP.IPAT_EE_INS_CONF_C_I_R AER TRACAO CREM_0180</v>
      </c>
      <c r="M1931" s="3" t="str">
        <f>IFERROR(MID(D1931,SEARCH("S_I_",D1931,1),3),"")</f>
        <v/>
      </c>
      <c r="N1931" s="3" t="str">
        <f>IFERROR(MID(D1931,SEARCH("C_I_",D1931,1),3),"")</f>
        <v>C_I</v>
      </c>
      <c r="O1931" s="3" t="str">
        <f>IF(AND(M1931="",N1931=""),"Extra","")</f>
        <v/>
      </c>
      <c r="P1931" s="3" t="str">
        <f>IF(Q1931=0,"TERCEIRO","MRS")</f>
        <v>MRS</v>
      </c>
      <c r="Q1931" s="8" t="str">
        <f>IFERROR(VLOOKUP(L1931,#REF!,4,0),"0,00")</f>
        <v>0,00</v>
      </c>
      <c r="R1931" s="9" t="s">
        <v>42</v>
      </c>
      <c r="S1931" s="9">
        <f>COUNTIF(D1931,"*_SEG_*")</f>
        <v>0</v>
      </c>
      <c r="T1931" s="9">
        <f>COUNTIF(D1931,"*_MAN_*")</f>
        <v>0</v>
      </c>
      <c r="U1931" s="9">
        <f>(RIGHT(D1931,4))*1</f>
        <v>180</v>
      </c>
      <c r="V1931" s="9" t="str">
        <f>IFERROR(VLOOKUP(I1931,#REF!,2,0),"Sinalização")</f>
        <v>Sinalização</v>
      </c>
    </row>
    <row r="1932" spans="1:22" x14ac:dyDescent="0.25">
      <c r="A1932" s="3" t="s">
        <v>22</v>
      </c>
      <c r="B1932" s="4">
        <v>23460806</v>
      </c>
      <c r="C1932" s="5" t="s">
        <v>23</v>
      </c>
      <c r="D1932" s="6" t="s">
        <v>884</v>
      </c>
      <c r="E1932" s="6" t="s">
        <v>25</v>
      </c>
      <c r="F1932" s="11">
        <v>46143</v>
      </c>
      <c r="G1932" s="6" t="s">
        <v>1079</v>
      </c>
      <c r="H1932" s="7"/>
      <c r="I1932" s="7" t="s">
        <v>890</v>
      </c>
      <c r="J1932" s="7" t="s">
        <v>886</v>
      </c>
      <c r="K1932" s="7" t="s">
        <v>29</v>
      </c>
      <c r="L1932" s="3" t="str">
        <f>E1932&amp;D1932</f>
        <v>E.SP.IPAT_EE_INS_CONF_C_I_R AER TRACAO CREM_0180</v>
      </c>
      <c r="M1932" s="3" t="str">
        <f>IFERROR(MID(D1932,SEARCH("S_I_",D1932,1),3),"")</f>
        <v/>
      </c>
      <c r="N1932" s="3" t="str">
        <f>IFERROR(MID(D1932,SEARCH("C_I_",D1932,1),3),"")</f>
        <v>C_I</v>
      </c>
      <c r="O1932" s="3" t="str">
        <f>IF(AND(M1932="",N1932=""),"Extra","")</f>
        <v/>
      </c>
      <c r="P1932" s="3" t="str">
        <f>IF(Q1932=0,"TERCEIRO","MRS")</f>
        <v>MRS</v>
      </c>
      <c r="Q1932" s="8" t="str">
        <f>IFERROR(VLOOKUP(L1932,#REF!,4,0),"0,00")</f>
        <v>0,00</v>
      </c>
      <c r="R1932" s="9" t="s">
        <v>42</v>
      </c>
      <c r="S1932" s="9">
        <f>COUNTIF(D1932,"*_SEG_*")</f>
        <v>0</v>
      </c>
      <c r="T1932" s="9">
        <f>COUNTIF(D1932,"*_MAN_*")</f>
        <v>0</v>
      </c>
      <c r="U1932" s="9">
        <f>(RIGHT(D1932,4))*1</f>
        <v>180</v>
      </c>
      <c r="V1932" s="9" t="str">
        <f>IFERROR(VLOOKUP(I1932,#REF!,2,0),"Sinalização")</f>
        <v>Sinalização</v>
      </c>
    </row>
    <row r="1933" spans="1:22" x14ac:dyDescent="0.25">
      <c r="A1933" s="3" t="s">
        <v>22</v>
      </c>
      <c r="B1933" s="4">
        <v>23460807</v>
      </c>
      <c r="C1933" s="5" t="s">
        <v>23</v>
      </c>
      <c r="D1933" s="6" t="s">
        <v>884</v>
      </c>
      <c r="E1933" s="6" t="s">
        <v>25</v>
      </c>
      <c r="F1933" s="11">
        <v>46143</v>
      </c>
      <c r="G1933" s="6" t="s">
        <v>1079</v>
      </c>
      <c r="H1933" s="7"/>
      <c r="I1933" s="7" t="s">
        <v>891</v>
      </c>
      <c r="J1933" s="7" t="s">
        <v>886</v>
      </c>
      <c r="K1933" s="7" t="s">
        <v>29</v>
      </c>
      <c r="L1933" s="3" t="str">
        <f>E1933&amp;D1933</f>
        <v>E.SP.IPAT_EE_INS_CONF_C_I_R AER TRACAO CREM_0180</v>
      </c>
      <c r="M1933" s="3" t="str">
        <f>IFERROR(MID(D1933,SEARCH("S_I_",D1933,1),3),"")</f>
        <v/>
      </c>
      <c r="N1933" s="3" t="str">
        <f>IFERROR(MID(D1933,SEARCH("C_I_",D1933,1),3),"")</f>
        <v>C_I</v>
      </c>
      <c r="O1933" s="3" t="str">
        <f>IF(AND(M1933="",N1933=""),"Extra","")</f>
        <v/>
      </c>
      <c r="P1933" s="3" t="str">
        <f>IF(Q1933=0,"TERCEIRO","MRS")</f>
        <v>MRS</v>
      </c>
      <c r="Q1933" s="8" t="str">
        <f>IFERROR(VLOOKUP(L1933,#REF!,4,0),"0,00")</f>
        <v>0,00</v>
      </c>
      <c r="R1933" s="9" t="s">
        <v>42</v>
      </c>
      <c r="S1933" s="9">
        <f>COUNTIF(D1933,"*_SEG_*")</f>
        <v>0</v>
      </c>
      <c r="T1933" s="9">
        <f>COUNTIF(D1933,"*_MAN_*")</f>
        <v>0</v>
      </c>
      <c r="U1933" s="9">
        <f>(RIGHT(D1933,4))*1</f>
        <v>180</v>
      </c>
      <c r="V1933" s="9" t="str">
        <f>IFERROR(VLOOKUP(I1933,#REF!,2,0),"Sinalização")</f>
        <v>Sinalização</v>
      </c>
    </row>
    <row r="1934" spans="1:22" x14ac:dyDescent="0.25">
      <c r="A1934" s="3" t="s">
        <v>22</v>
      </c>
      <c r="B1934" s="4">
        <v>23460808</v>
      </c>
      <c r="C1934" s="5" t="s">
        <v>23</v>
      </c>
      <c r="D1934" s="6" t="s">
        <v>884</v>
      </c>
      <c r="E1934" s="6" t="s">
        <v>25</v>
      </c>
      <c r="F1934" s="11">
        <v>46143</v>
      </c>
      <c r="G1934" s="6" t="s">
        <v>1079</v>
      </c>
      <c r="H1934" s="7"/>
      <c r="I1934" s="7" t="s">
        <v>892</v>
      </c>
      <c r="J1934" s="7" t="s">
        <v>886</v>
      </c>
      <c r="K1934" s="7" t="s">
        <v>29</v>
      </c>
      <c r="L1934" s="3" t="str">
        <f>E1934&amp;D1934</f>
        <v>E.SP.IPAT_EE_INS_CONF_C_I_R AER TRACAO CREM_0180</v>
      </c>
      <c r="M1934" s="3" t="str">
        <f>IFERROR(MID(D1934,SEARCH("S_I_",D1934,1),3),"")</f>
        <v/>
      </c>
      <c r="N1934" s="3" t="str">
        <f>IFERROR(MID(D1934,SEARCH("C_I_",D1934,1),3),"")</f>
        <v>C_I</v>
      </c>
      <c r="O1934" s="3" t="str">
        <f>IF(AND(M1934="",N1934=""),"Extra","")</f>
        <v/>
      </c>
      <c r="P1934" s="3" t="str">
        <f>IF(Q1934=0,"TERCEIRO","MRS")</f>
        <v>MRS</v>
      </c>
      <c r="Q1934" s="8" t="str">
        <f>IFERROR(VLOOKUP(L1934,#REF!,4,0),"0,00")</f>
        <v>0,00</v>
      </c>
      <c r="R1934" s="9" t="s">
        <v>42</v>
      </c>
      <c r="S1934" s="9">
        <f>COUNTIF(D1934,"*_SEG_*")</f>
        <v>0</v>
      </c>
      <c r="T1934" s="9">
        <f>COUNTIF(D1934,"*_MAN_*")</f>
        <v>0</v>
      </c>
      <c r="U1934" s="9">
        <f>(RIGHT(D1934,4))*1</f>
        <v>180</v>
      </c>
      <c r="V1934" s="9" t="str">
        <f>IFERROR(VLOOKUP(I1934,#REF!,2,0),"Sinalização")</f>
        <v>Sinalização</v>
      </c>
    </row>
    <row r="1935" spans="1:22" x14ac:dyDescent="0.25">
      <c r="A1935" s="3" t="s">
        <v>22</v>
      </c>
      <c r="B1935" s="4">
        <v>23460905</v>
      </c>
      <c r="C1935" s="5" t="s">
        <v>23</v>
      </c>
      <c r="D1935" s="6" t="s">
        <v>893</v>
      </c>
      <c r="E1935" s="6" t="s">
        <v>25</v>
      </c>
      <c r="F1935" s="11">
        <v>46143</v>
      </c>
      <c r="G1935" s="6" t="s">
        <v>1079</v>
      </c>
      <c r="H1935" s="7"/>
      <c r="I1935" s="7" t="s">
        <v>849</v>
      </c>
      <c r="J1935" s="7" t="s">
        <v>894</v>
      </c>
      <c r="K1935" s="7" t="s">
        <v>29</v>
      </c>
      <c r="L1935" s="3" t="str">
        <f>E1935&amp;D1935</f>
        <v>E.SP.IPAT_EE_INS_CONF_C_I_GRUPO MOTOR GERAD_0180</v>
      </c>
      <c r="M1935" s="3" t="str">
        <f>IFERROR(MID(D1935,SEARCH("S_I_",D1935,1),3),"")</f>
        <v/>
      </c>
      <c r="N1935" s="3" t="str">
        <f>IFERROR(MID(D1935,SEARCH("C_I_",D1935,1),3),"")</f>
        <v>C_I</v>
      </c>
      <c r="O1935" s="3" t="str">
        <f>IF(AND(M1935="",N1935=""),"Extra","")</f>
        <v/>
      </c>
      <c r="P1935" s="3" t="str">
        <f>IF(Q1935=0,"TERCEIRO","MRS")</f>
        <v>MRS</v>
      </c>
      <c r="Q1935" s="8" t="str">
        <f>IFERROR(VLOOKUP(L1935,#REF!,4,0),"0,00")</f>
        <v>0,00</v>
      </c>
      <c r="R1935" s="9" t="s">
        <v>42</v>
      </c>
      <c r="S1935" s="9">
        <f>COUNTIF(D1935,"*_SEG_*")</f>
        <v>0</v>
      </c>
      <c r="T1935" s="9">
        <f>COUNTIF(D1935,"*_MAN_*")</f>
        <v>0</v>
      </c>
      <c r="U1935" s="9">
        <f>(RIGHT(D1935,4))*1</f>
        <v>180</v>
      </c>
      <c r="V1935" s="9" t="str">
        <f>IFERROR(VLOOKUP(I1935,#REF!,2,0),"Sinalização")</f>
        <v>Sinalização</v>
      </c>
    </row>
    <row r="1936" spans="1:22" x14ac:dyDescent="0.25">
      <c r="A1936" s="3" t="s">
        <v>22</v>
      </c>
      <c r="B1936" s="4">
        <v>23461161</v>
      </c>
      <c r="C1936" s="5" t="s">
        <v>23</v>
      </c>
      <c r="D1936" s="6" t="s">
        <v>898</v>
      </c>
      <c r="E1936" s="6" t="s">
        <v>25</v>
      </c>
      <c r="F1936" s="11">
        <v>46143</v>
      </c>
      <c r="G1936" s="6" t="s">
        <v>1079</v>
      </c>
      <c r="H1936" s="7"/>
      <c r="I1936" s="7" t="s">
        <v>849</v>
      </c>
      <c r="J1936" s="7" t="s">
        <v>899</v>
      </c>
      <c r="K1936" s="7" t="s">
        <v>29</v>
      </c>
      <c r="L1936" s="3" t="str">
        <f>E1936&amp;D1936</f>
        <v>E.SP.IPAT_EE_MAN_CONF_C_I_GRUPO MOTOR GERAD_0180</v>
      </c>
      <c r="M1936" s="3" t="str">
        <f>IFERROR(MID(D1936,SEARCH("S_I_",D1936,1),3),"")</f>
        <v/>
      </c>
      <c r="N1936" s="3" t="str">
        <f>IFERROR(MID(D1936,SEARCH("C_I_",D1936,1),3),"")</f>
        <v>C_I</v>
      </c>
      <c r="O1936" s="3" t="str">
        <f>IF(AND(M1936="",N1936=""),"Extra","")</f>
        <v/>
      </c>
      <c r="P1936" s="3" t="str">
        <f>IF(Q1936=0,"TERCEIRO","MRS")</f>
        <v>MRS</v>
      </c>
      <c r="Q1936" s="8" t="str">
        <f>IFERROR(VLOOKUP(L1936,#REF!,4,0),"0,00")</f>
        <v>0,00</v>
      </c>
      <c r="R1936" s="9" t="s">
        <v>42</v>
      </c>
      <c r="S1936" s="9">
        <f>COUNTIF(D1936,"*_SEG_*")</f>
        <v>0</v>
      </c>
      <c r="T1936" s="9">
        <f>COUNTIF(D1936,"*_MAN_*")</f>
        <v>1</v>
      </c>
      <c r="U1936" s="9">
        <f>(RIGHT(D1936,4))*1</f>
        <v>180</v>
      </c>
      <c r="V1936" s="9" t="str">
        <f>IFERROR(VLOOKUP(I1936,#REF!,2,0),"Sinalização")</f>
        <v>Sinalização</v>
      </c>
    </row>
    <row r="1937" spans="1:22" x14ac:dyDescent="0.25">
      <c r="A1937" s="3" t="s">
        <v>22</v>
      </c>
      <c r="B1937" s="4">
        <v>23475227</v>
      </c>
      <c r="C1937" s="5" t="s">
        <v>23</v>
      </c>
      <c r="D1937" s="6" t="s">
        <v>900</v>
      </c>
      <c r="E1937" s="6" t="s">
        <v>25</v>
      </c>
      <c r="F1937" s="11">
        <v>46143</v>
      </c>
      <c r="G1937" s="6" t="s">
        <v>1079</v>
      </c>
      <c r="H1937" s="7"/>
      <c r="I1937" s="7" t="s">
        <v>123</v>
      </c>
      <c r="J1937" s="7" t="s">
        <v>636</v>
      </c>
      <c r="K1937" s="7" t="s">
        <v>29</v>
      </c>
      <c r="L1937" s="3" t="str">
        <f>E1937&amp;D1937</f>
        <v>E.SP.IPAEE_INS_SEG_S_I_MCH 110VCC GRS 5C_0090</v>
      </c>
      <c r="M1937" s="3" t="str">
        <f>IFERROR(MID(D1937,SEARCH("S_I_",D1937,1),3),"")</f>
        <v>S_I</v>
      </c>
      <c r="N1937" s="3" t="str">
        <f>IFERROR(MID(D1937,SEARCH("C_I_",D1937,1),3),"")</f>
        <v/>
      </c>
      <c r="O1937" s="3" t="str">
        <f>IF(AND(M1937="",N1937=""),"Extra","")</f>
        <v/>
      </c>
      <c r="P1937" s="3" t="str">
        <f>IF(Q1937=0,"TERCEIRO","MRS")</f>
        <v>MRS</v>
      </c>
      <c r="Q1937" s="8" t="str">
        <f>IFERROR(VLOOKUP(L1937,#REF!,4,0),"0,00")</f>
        <v>0,00</v>
      </c>
      <c r="R1937" s="9" t="s">
        <v>30</v>
      </c>
      <c r="S1937" s="9">
        <f>COUNTIF(D1937,"*_SEG_*")</f>
        <v>1</v>
      </c>
      <c r="T1937" s="9">
        <f>COUNTIF(D1937,"*_MAN_*")</f>
        <v>0</v>
      </c>
      <c r="U1937" s="9">
        <f>(RIGHT(D1937,4))*1</f>
        <v>90</v>
      </c>
      <c r="V1937" s="9" t="str">
        <f>IFERROR(VLOOKUP(I1937,#REF!,2,0),"Sinalização")</f>
        <v>Sinalização</v>
      </c>
    </row>
    <row r="1938" spans="1:22" x14ac:dyDescent="0.25">
      <c r="A1938" s="3" t="s">
        <v>22</v>
      </c>
      <c r="B1938" s="4">
        <v>23475298</v>
      </c>
      <c r="C1938" s="5" t="s">
        <v>23</v>
      </c>
      <c r="D1938" s="6" t="s">
        <v>901</v>
      </c>
      <c r="E1938" s="6" t="s">
        <v>25</v>
      </c>
      <c r="F1938" s="11">
        <v>46143</v>
      </c>
      <c r="G1938" s="6" t="s">
        <v>1079</v>
      </c>
      <c r="H1938" s="7"/>
      <c r="I1938" s="7" t="s">
        <v>902</v>
      </c>
      <c r="J1938" s="7" t="s">
        <v>68</v>
      </c>
      <c r="K1938" s="7" t="s">
        <v>29</v>
      </c>
      <c r="L1938" s="3" t="str">
        <f>E1938&amp;D1938</f>
        <v>E.SP.IPAEE_INS_CONF_S_I_SINAL L MULTI CONT_0360</v>
      </c>
      <c r="M1938" s="3" t="str">
        <f>IFERROR(MID(D1938,SEARCH("S_I_",D1938,1),3),"")</f>
        <v>S_I</v>
      </c>
      <c r="N1938" s="3" t="str">
        <f>IFERROR(MID(D1938,SEARCH("C_I_",D1938,1),3),"")</f>
        <v/>
      </c>
      <c r="O1938" s="3" t="str">
        <f>IF(AND(M1938="",N1938=""),"Extra","")</f>
        <v/>
      </c>
      <c r="P1938" s="3" t="str">
        <f>IF(Q1938=0,"TERCEIRO","MRS")</f>
        <v>MRS</v>
      </c>
      <c r="Q1938" s="8" t="str">
        <f>IFERROR(VLOOKUP(L1938,#REF!,4,0),"0,00")</f>
        <v>0,00</v>
      </c>
      <c r="R1938" s="9" t="s">
        <v>57</v>
      </c>
      <c r="S1938" s="9">
        <f>COUNTIF(D1938,"*_SEG_*")</f>
        <v>0</v>
      </c>
      <c r="T1938" s="9">
        <f>COUNTIF(D1938,"*_MAN_*")</f>
        <v>0</v>
      </c>
      <c r="U1938" s="9">
        <f>(RIGHT(D1938,4))*1</f>
        <v>360</v>
      </c>
      <c r="V1938" s="9" t="str">
        <f>IFERROR(VLOOKUP(I1938,#REF!,2,0),"Sinalização")</f>
        <v>Sinalização</v>
      </c>
    </row>
    <row r="1939" spans="1:22" x14ac:dyDescent="0.25">
      <c r="A1939" s="3" t="s">
        <v>22</v>
      </c>
      <c r="B1939" s="4">
        <v>23475299</v>
      </c>
      <c r="C1939" s="5" t="s">
        <v>23</v>
      </c>
      <c r="D1939" s="6" t="s">
        <v>901</v>
      </c>
      <c r="E1939" s="6" t="s">
        <v>25</v>
      </c>
      <c r="F1939" s="11">
        <v>46143</v>
      </c>
      <c r="G1939" s="6" t="s">
        <v>1079</v>
      </c>
      <c r="H1939" s="7"/>
      <c r="I1939" s="7" t="s">
        <v>903</v>
      </c>
      <c r="J1939" s="7" t="s">
        <v>68</v>
      </c>
      <c r="K1939" s="7" t="s">
        <v>29</v>
      </c>
      <c r="L1939" s="3" t="str">
        <f>E1939&amp;D1939</f>
        <v>E.SP.IPAEE_INS_CONF_S_I_SINAL L MULTI CONT_0360</v>
      </c>
      <c r="M1939" s="3" t="str">
        <f>IFERROR(MID(D1939,SEARCH("S_I_",D1939,1),3),"")</f>
        <v>S_I</v>
      </c>
      <c r="N1939" s="3" t="str">
        <f>IFERROR(MID(D1939,SEARCH("C_I_",D1939,1),3),"")</f>
        <v/>
      </c>
      <c r="O1939" s="3" t="str">
        <f>IF(AND(M1939="",N1939=""),"Extra","")</f>
        <v/>
      </c>
      <c r="P1939" s="3" t="str">
        <f>IF(Q1939=0,"TERCEIRO","MRS")</f>
        <v>MRS</v>
      </c>
      <c r="Q1939" s="8" t="str">
        <f>IFERROR(VLOOKUP(L1939,#REF!,4,0),"0,00")</f>
        <v>0,00</v>
      </c>
      <c r="R1939" s="9" t="s">
        <v>57</v>
      </c>
      <c r="S1939" s="9">
        <f>COUNTIF(D1939,"*_SEG_*")</f>
        <v>0</v>
      </c>
      <c r="T1939" s="9">
        <f>COUNTIF(D1939,"*_MAN_*")</f>
        <v>0</v>
      </c>
      <c r="U1939" s="9">
        <f>(RIGHT(D1939,4))*1</f>
        <v>360</v>
      </c>
      <c r="V1939" s="9" t="str">
        <f>IFERROR(VLOOKUP(I1939,#REF!,2,0),"Sinalização")</f>
        <v>Sinalização</v>
      </c>
    </row>
    <row r="1940" spans="1:22" x14ac:dyDescent="0.25">
      <c r="A1940" s="3" t="s">
        <v>22</v>
      </c>
      <c r="B1940" s="4">
        <v>23475441</v>
      </c>
      <c r="C1940" s="5" t="s">
        <v>23</v>
      </c>
      <c r="D1940" s="6" t="s">
        <v>900</v>
      </c>
      <c r="E1940" s="6" t="s">
        <v>25</v>
      </c>
      <c r="F1940" s="11">
        <v>46143</v>
      </c>
      <c r="G1940" s="6" t="s">
        <v>1079</v>
      </c>
      <c r="H1940" s="7"/>
      <c r="I1940" s="7" t="s">
        <v>450</v>
      </c>
      <c r="J1940" s="7" t="s">
        <v>636</v>
      </c>
      <c r="K1940" s="7" t="s">
        <v>29</v>
      </c>
      <c r="L1940" s="3" t="str">
        <f>E1940&amp;D1940</f>
        <v>E.SP.IPAEE_INS_SEG_S_I_MCH 110VCC GRS 5C_0090</v>
      </c>
      <c r="M1940" s="3" t="str">
        <f>IFERROR(MID(D1940,SEARCH("S_I_",D1940,1),3),"")</f>
        <v>S_I</v>
      </c>
      <c r="N1940" s="3" t="str">
        <f>IFERROR(MID(D1940,SEARCH("C_I_",D1940,1),3),"")</f>
        <v/>
      </c>
      <c r="O1940" s="3" t="str">
        <f>IF(AND(M1940="",N1940=""),"Extra","")</f>
        <v/>
      </c>
      <c r="P1940" s="3" t="str">
        <f>IF(Q1940=0,"TERCEIRO","MRS")</f>
        <v>MRS</v>
      </c>
      <c r="Q1940" s="8" t="str">
        <f>IFERROR(VLOOKUP(L1940,#REF!,4,0),"0,00")</f>
        <v>0,00</v>
      </c>
      <c r="R1940" s="9" t="s">
        <v>30</v>
      </c>
      <c r="S1940" s="9">
        <f>COUNTIF(D1940,"*_SEG_*")</f>
        <v>1</v>
      </c>
      <c r="T1940" s="9">
        <f>COUNTIF(D1940,"*_MAN_*")</f>
        <v>0</v>
      </c>
      <c r="U1940" s="9">
        <f>(RIGHT(D1940,4))*1</f>
        <v>90</v>
      </c>
      <c r="V1940" s="9" t="str">
        <f>IFERROR(VLOOKUP(I1940,#REF!,2,0),"Sinalização")</f>
        <v>Sinalização</v>
      </c>
    </row>
    <row r="1941" spans="1:22" x14ac:dyDescent="0.25">
      <c r="A1941" s="3" t="s">
        <v>22</v>
      </c>
      <c r="B1941" s="4">
        <v>23475442</v>
      </c>
      <c r="C1941" s="5" t="s">
        <v>23</v>
      </c>
      <c r="D1941" s="6" t="s">
        <v>900</v>
      </c>
      <c r="E1941" s="6" t="s">
        <v>25</v>
      </c>
      <c r="F1941" s="11">
        <v>46143</v>
      </c>
      <c r="G1941" s="6" t="s">
        <v>1079</v>
      </c>
      <c r="H1941" s="7"/>
      <c r="I1941" s="7" t="s">
        <v>449</v>
      </c>
      <c r="J1941" s="7" t="s">
        <v>636</v>
      </c>
      <c r="K1941" s="7" t="s">
        <v>29</v>
      </c>
      <c r="L1941" s="3" t="str">
        <f>E1941&amp;D1941</f>
        <v>E.SP.IPAEE_INS_SEG_S_I_MCH 110VCC GRS 5C_0090</v>
      </c>
      <c r="M1941" s="3" t="str">
        <f>IFERROR(MID(D1941,SEARCH("S_I_",D1941,1),3),"")</f>
        <v>S_I</v>
      </c>
      <c r="N1941" s="3" t="str">
        <f>IFERROR(MID(D1941,SEARCH("C_I_",D1941,1),3),"")</f>
        <v/>
      </c>
      <c r="O1941" s="3" t="str">
        <f>IF(AND(M1941="",N1941=""),"Extra","")</f>
        <v/>
      </c>
      <c r="P1941" s="3" t="str">
        <f>IF(Q1941=0,"TERCEIRO","MRS")</f>
        <v>MRS</v>
      </c>
      <c r="Q1941" s="8" t="str">
        <f>IFERROR(VLOOKUP(L1941,#REF!,4,0),"0,00")</f>
        <v>0,00</v>
      </c>
      <c r="R1941" s="9" t="s">
        <v>30</v>
      </c>
      <c r="S1941" s="9">
        <f>COUNTIF(D1941,"*_SEG_*")</f>
        <v>1</v>
      </c>
      <c r="T1941" s="9">
        <f>COUNTIF(D1941,"*_MAN_*")</f>
        <v>0</v>
      </c>
      <c r="U1941" s="9">
        <f>(RIGHT(D1941,4))*1</f>
        <v>90</v>
      </c>
      <c r="V1941" s="9" t="str">
        <f>IFERROR(VLOOKUP(I1941,#REF!,2,0),"Sinalização")</f>
        <v>Sinalização</v>
      </c>
    </row>
    <row r="1942" spans="1:22" x14ac:dyDescent="0.25">
      <c r="A1942" s="3" t="s">
        <v>22</v>
      </c>
      <c r="B1942" s="4">
        <v>23477007</v>
      </c>
      <c r="C1942" s="5" t="s">
        <v>23</v>
      </c>
      <c r="D1942" s="6" t="s">
        <v>904</v>
      </c>
      <c r="E1942" s="6" t="s">
        <v>25</v>
      </c>
      <c r="F1942" s="11">
        <v>46143</v>
      </c>
      <c r="G1942" s="6" t="s">
        <v>1079</v>
      </c>
      <c r="H1942" s="7"/>
      <c r="I1942" s="7" t="s">
        <v>152</v>
      </c>
      <c r="J1942" s="7" t="s">
        <v>905</v>
      </c>
      <c r="K1942" s="7" t="s">
        <v>29</v>
      </c>
      <c r="L1942" s="3" t="str">
        <f>E1942&amp;D1942</f>
        <v>E.SP.IPAEE_INS_CONF_S_I_LOG PR C.PROGR REM_0180</v>
      </c>
      <c r="M1942" s="3" t="str">
        <f>IFERROR(MID(D1942,SEARCH("S_I_",D1942,1),3),"")</f>
        <v>S_I</v>
      </c>
      <c r="N1942" s="3" t="str">
        <f>IFERROR(MID(D1942,SEARCH("C_I_",D1942,1),3),"")</f>
        <v/>
      </c>
      <c r="O1942" s="3" t="str">
        <f>IF(AND(M1942="",N1942=""),"Extra","")</f>
        <v/>
      </c>
      <c r="P1942" s="3" t="str">
        <f>IF(Q1942=0,"TERCEIRO","MRS")</f>
        <v>MRS</v>
      </c>
      <c r="Q1942" s="8" t="str">
        <f>IFERROR(VLOOKUP(L1942,#REF!,4,0),"0,00")</f>
        <v>0,00</v>
      </c>
      <c r="R1942" s="9" t="s">
        <v>57</v>
      </c>
      <c r="S1942" s="9">
        <f>COUNTIF(D1942,"*_SEG_*")</f>
        <v>0</v>
      </c>
      <c r="T1942" s="9">
        <f>COUNTIF(D1942,"*_MAN_*")</f>
        <v>0</v>
      </c>
      <c r="U1942" s="9">
        <f>(RIGHT(D1942,4))*1</f>
        <v>180</v>
      </c>
      <c r="V1942" s="9" t="str">
        <f>IFERROR(VLOOKUP(I1942,#REF!,2,0),"Sinalização")</f>
        <v>Sinalização</v>
      </c>
    </row>
    <row r="1943" spans="1:22" x14ac:dyDescent="0.25">
      <c r="A1943" s="3" t="s">
        <v>22</v>
      </c>
      <c r="B1943" s="4">
        <v>23477008</v>
      </c>
      <c r="C1943" s="5" t="s">
        <v>23</v>
      </c>
      <c r="D1943" s="6" t="s">
        <v>904</v>
      </c>
      <c r="E1943" s="6" t="s">
        <v>25</v>
      </c>
      <c r="F1943" s="11">
        <v>46143</v>
      </c>
      <c r="G1943" s="6" t="s">
        <v>1079</v>
      </c>
      <c r="H1943" s="7"/>
      <c r="I1943" s="7" t="s">
        <v>906</v>
      </c>
      <c r="J1943" s="7" t="s">
        <v>905</v>
      </c>
      <c r="K1943" s="7" t="s">
        <v>29</v>
      </c>
      <c r="L1943" s="3" t="str">
        <f>E1943&amp;D1943</f>
        <v>E.SP.IPAEE_INS_CONF_S_I_LOG PR C.PROGR REM_0180</v>
      </c>
      <c r="M1943" s="3" t="str">
        <f>IFERROR(MID(D1943,SEARCH("S_I_",D1943,1),3),"")</f>
        <v>S_I</v>
      </c>
      <c r="N1943" s="3" t="str">
        <f>IFERROR(MID(D1943,SEARCH("C_I_",D1943,1),3),"")</f>
        <v/>
      </c>
      <c r="O1943" s="3" t="str">
        <f>IF(AND(M1943="",N1943=""),"Extra","")</f>
        <v/>
      </c>
      <c r="P1943" s="3" t="str">
        <f>IF(Q1943=0,"TERCEIRO","MRS")</f>
        <v>MRS</v>
      </c>
      <c r="Q1943" s="8" t="str">
        <f>IFERROR(VLOOKUP(L1943,#REF!,4,0),"0,00")</f>
        <v>0,00</v>
      </c>
      <c r="R1943" s="9" t="s">
        <v>57</v>
      </c>
      <c r="S1943" s="9">
        <f>COUNTIF(D1943,"*_SEG_*")</f>
        <v>0</v>
      </c>
      <c r="T1943" s="9">
        <f>COUNTIF(D1943,"*_MAN_*")</f>
        <v>0</v>
      </c>
      <c r="U1943" s="9">
        <f>(RIGHT(D1943,4))*1</f>
        <v>180</v>
      </c>
      <c r="V1943" s="9" t="str">
        <f>IFERROR(VLOOKUP(I1943,#REF!,2,0),"Sinalização")</f>
        <v>Sinalização</v>
      </c>
    </row>
    <row r="1944" spans="1:22" x14ac:dyDescent="0.25">
      <c r="A1944" s="3" t="s">
        <v>22</v>
      </c>
      <c r="B1944" s="4">
        <v>23477009</v>
      </c>
      <c r="C1944" s="5" t="s">
        <v>23</v>
      </c>
      <c r="D1944" s="6" t="s">
        <v>904</v>
      </c>
      <c r="E1944" s="6" t="s">
        <v>25</v>
      </c>
      <c r="F1944" s="11">
        <v>46143</v>
      </c>
      <c r="G1944" s="6" t="s">
        <v>1079</v>
      </c>
      <c r="H1944" s="7"/>
      <c r="I1944" s="7" t="s">
        <v>106</v>
      </c>
      <c r="J1944" s="7" t="s">
        <v>905</v>
      </c>
      <c r="K1944" s="7" t="s">
        <v>29</v>
      </c>
      <c r="L1944" s="3" t="str">
        <f>E1944&amp;D1944</f>
        <v>E.SP.IPAEE_INS_CONF_S_I_LOG PR C.PROGR REM_0180</v>
      </c>
      <c r="M1944" s="3" t="str">
        <f>IFERROR(MID(D1944,SEARCH("S_I_",D1944,1),3),"")</f>
        <v>S_I</v>
      </c>
      <c r="N1944" s="3" t="str">
        <f>IFERROR(MID(D1944,SEARCH("C_I_",D1944,1),3),"")</f>
        <v/>
      </c>
      <c r="O1944" s="3" t="str">
        <f>IF(AND(M1944="",N1944=""),"Extra","")</f>
        <v/>
      </c>
      <c r="P1944" s="3" t="str">
        <f>IF(Q1944=0,"TERCEIRO","MRS")</f>
        <v>MRS</v>
      </c>
      <c r="Q1944" s="8" t="str">
        <f>IFERROR(VLOOKUP(L1944,#REF!,4,0),"0,00")</f>
        <v>0,00</v>
      </c>
      <c r="R1944" s="9" t="s">
        <v>57</v>
      </c>
      <c r="S1944" s="9">
        <f>COUNTIF(D1944,"*_SEG_*")</f>
        <v>0</v>
      </c>
      <c r="T1944" s="9">
        <f>COUNTIF(D1944,"*_MAN_*")</f>
        <v>0</v>
      </c>
      <c r="U1944" s="9">
        <f>(RIGHT(D1944,4))*1</f>
        <v>180</v>
      </c>
      <c r="V1944" s="9" t="str">
        <f>IFERROR(VLOOKUP(I1944,#REF!,2,0),"Sinalização")</f>
        <v>Sinalização</v>
      </c>
    </row>
    <row r="1945" spans="1:22" x14ac:dyDescent="0.25">
      <c r="A1945" s="3" t="s">
        <v>22</v>
      </c>
      <c r="B1945" s="4">
        <v>23477010</v>
      </c>
      <c r="C1945" s="5" t="s">
        <v>23</v>
      </c>
      <c r="D1945" s="6" t="s">
        <v>904</v>
      </c>
      <c r="E1945" s="6" t="s">
        <v>25</v>
      </c>
      <c r="F1945" s="11">
        <v>46143</v>
      </c>
      <c r="G1945" s="6" t="s">
        <v>1079</v>
      </c>
      <c r="H1945" s="7"/>
      <c r="I1945" s="7" t="s">
        <v>128</v>
      </c>
      <c r="J1945" s="7" t="s">
        <v>905</v>
      </c>
      <c r="K1945" s="7" t="s">
        <v>29</v>
      </c>
      <c r="L1945" s="3" t="str">
        <f>E1945&amp;D1945</f>
        <v>E.SP.IPAEE_INS_CONF_S_I_LOG PR C.PROGR REM_0180</v>
      </c>
      <c r="M1945" s="3" t="str">
        <f>IFERROR(MID(D1945,SEARCH("S_I_",D1945,1),3),"")</f>
        <v>S_I</v>
      </c>
      <c r="N1945" s="3" t="str">
        <f>IFERROR(MID(D1945,SEARCH("C_I_",D1945,1),3),"")</f>
        <v/>
      </c>
      <c r="O1945" s="3" t="str">
        <f>IF(AND(M1945="",N1945=""),"Extra","")</f>
        <v/>
      </c>
      <c r="P1945" s="3" t="str">
        <f>IF(Q1945=0,"TERCEIRO","MRS")</f>
        <v>MRS</v>
      </c>
      <c r="Q1945" s="8" t="str">
        <f>IFERROR(VLOOKUP(L1945,#REF!,4,0),"0,00")</f>
        <v>0,00</v>
      </c>
      <c r="R1945" s="9" t="s">
        <v>57</v>
      </c>
      <c r="S1945" s="9">
        <f>COUNTIF(D1945,"*_SEG_*")</f>
        <v>0</v>
      </c>
      <c r="T1945" s="9">
        <f>COUNTIF(D1945,"*_MAN_*")</f>
        <v>0</v>
      </c>
      <c r="U1945" s="9">
        <f>(RIGHT(D1945,4))*1</f>
        <v>180</v>
      </c>
      <c r="V1945" s="9" t="str">
        <f>IFERROR(VLOOKUP(I1945,#REF!,2,0),"Sinalização")</f>
        <v>Sinalização</v>
      </c>
    </row>
    <row r="1946" spans="1:22" x14ac:dyDescent="0.25">
      <c r="A1946" s="3" t="s">
        <v>22</v>
      </c>
      <c r="B1946" s="4">
        <v>23477011</v>
      </c>
      <c r="C1946" s="5" t="s">
        <v>23</v>
      </c>
      <c r="D1946" s="6" t="s">
        <v>904</v>
      </c>
      <c r="E1946" s="6" t="s">
        <v>25</v>
      </c>
      <c r="F1946" s="11">
        <v>46143</v>
      </c>
      <c r="G1946" s="6" t="s">
        <v>1079</v>
      </c>
      <c r="H1946" s="7"/>
      <c r="I1946" s="7" t="s">
        <v>176</v>
      </c>
      <c r="J1946" s="7" t="s">
        <v>905</v>
      </c>
      <c r="K1946" s="7" t="s">
        <v>29</v>
      </c>
      <c r="L1946" s="3" t="str">
        <f>E1946&amp;D1946</f>
        <v>E.SP.IPAEE_INS_CONF_S_I_LOG PR C.PROGR REM_0180</v>
      </c>
      <c r="M1946" s="3" t="str">
        <f>IFERROR(MID(D1946,SEARCH("S_I_",D1946,1),3),"")</f>
        <v>S_I</v>
      </c>
      <c r="N1946" s="3" t="str">
        <f>IFERROR(MID(D1946,SEARCH("C_I_",D1946,1),3),"")</f>
        <v/>
      </c>
      <c r="O1946" s="3" t="str">
        <f>IF(AND(M1946="",N1946=""),"Extra","")</f>
        <v/>
      </c>
      <c r="P1946" s="3" t="str">
        <f>IF(Q1946=0,"TERCEIRO","MRS")</f>
        <v>MRS</v>
      </c>
      <c r="Q1946" s="8" t="str">
        <f>IFERROR(VLOOKUP(L1946,#REF!,4,0),"0,00")</f>
        <v>0,00</v>
      </c>
      <c r="R1946" s="9" t="s">
        <v>57</v>
      </c>
      <c r="S1946" s="9">
        <f>COUNTIF(D1946,"*_SEG_*")</f>
        <v>0</v>
      </c>
      <c r="T1946" s="9">
        <f>COUNTIF(D1946,"*_MAN_*")</f>
        <v>0</v>
      </c>
      <c r="U1946" s="9">
        <f>(RIGHT(D1946,4))*1</f>
        <v>180</v>
      </c>
      <c r="V1946" s="9" t="str">
        <f>IFERROR(VLOOKUP(I1946,#REF!,2,0),"Sinalização")</f>
        <v>Sinalização</v>
      </c>
    </row>
    <row r="1947" spans="1:22" x14ac:dyDescent="0.25">
      <c r="A1947" s="3" t="s">
        <v>22</v>
      </c>
      <c r="B1947" s="4">
        <v>23475291</v>
      </c>
      <c r="C1947" s="5" t="s">
        <v>23</v>
      </c>
      <c r="D1947" s="6" t="s">
        <v>907</v>
      </c>
      <c r="E1947" s="6" t="s">
        <v>25</v>
      </c>
      <c r="F1947" s="11">
        <v>46143</v>
      </c>
      <c r="G1947" s="6" t="s">
        <v>1079</v>
      </c>
      <c r="H1947" s="7"/>
      <c r="I1947" s="7" t="s">
        <v>902</v>
      </c>
      <c r="J1947" s="7" t="s">
        <v>701</v>
      </c>
      <c r="K1947" s="7" t="s">
        <v>29</v>
      </c>
      <c r="L1947" s="3" t="str">
        <f>E1947&amp;D1947</f>
        <v>E.SP.IPAEE_INS_CONF_S_I_SINAL L MULTI CONT_0090</v>
      </c>
      <c r="M1947" s="3" t="str">
        <f>IFERROR(MID(D1947,SEARCH("S_I_",D1947,1),3),"")</f>
        <v>S_I</v>
      </c>
      <c r="N1947" s="3" t="str">
        <f>IFERROR(MID(D1947,SEARCH("C_I_",D1947,1),3),"")</f>
        <v/>
      </c>
      <c r="O1947" s="3" t="str">
        <f>IF(AND(M1947="",N1947=""),"Extra","")</f>
        <v/>
      </c>
      <c r="P1947" s="3" t="str">
        <f>IF(Q1947=0,"TERCEIRO","MRS")</f>
        <v>MRS</v>
      </c>
      <c r="Q1947" s="8" t="str">
        <f>IFERROR(VLOOKUP(L1947,#REF!,4,0),"0,00")</f>
        <v>0,00</v>
      </c>
      <c r="R1947" s="9" t="s">
        <v>42</v>
      </c>
      <c r="S1947" s="9">
        <f>COUNTIF(D1947,"*_SEG_*")</f>
        <v>0</v>
      </c>
      <c r="T1947" s="9">
        <f>COUNTIF(D1947,"*_MAN_*")</f>
        <v>0</v>
      </c>
      <c r="U1947" s="9">
        <f>(RIGHT(D1947,4))*1</f>
        <v>90</v>
      </c>
      <c r="V1947" s="9" t="str">
        <f>IFERROR(VLOOKUP(I1947,#REF!,2,0),"Sinalização")</f>
        <v>Sinalização</v>
      </c>
    </row>
    <row r="1948" spans="1:22" x14ac:dyDescent="0.25">
      <c r="A1948" s="3" t="s">
        <v>22</v>
      </c>
      <c r="B1948" s="4">
        <v>23477535</v>
      </c>
      <c r="C1948" s="5" t="s">
        <v>23</v>
      </c>
      <c r="D1948" s="6" t="s">
        <v>908</v>
      </c>
      <c r="E1948" s="6" t="s">
        <v>25</v>
      </c>
      <c r="F1948" s="11">
        <v>46143</v>
      </c>
      <c r="G1948" s="6" t="s">
        <v>1079</v>
      </c>
      <c r="H1948" s="7"/>
      <c r="I1948" s="7" t="s">
        <v>902</v>
      </c>
      <c r="J1948" s="7" t="s">
        <v>373</v>
      </c>
      <c r="K1948" s="7" t="s">
        <v>29</v>
      </c>
      <c r="L1948" s="3" t="str">
        <f>E1948&amp;D1948</f>
        <v>E.SP.IPAEE_INS_SEG_S_I_SINAL L MULTI CONT_0180</v>
      </c>
      <c r="M1948" s="3" t="str">
        <f>IFERROR(MID(D1948,SEARCH("S_I_",D1948,1),3),"")</f>
        <v>S_I</v>
      </c>
      <c r="N1948" s="3" t="str">
        <f>IFERROR(MID(D1948,SEARCH("C_I_",D1948,1),3),"")</f>
        <v/>
      </c>
      <c r="O1948" s="3" t="str">
        <f>IF(AND(M1948="",N1948=""),"Extra","")</f>
        <v/>
      </c>
      <c r="P1948" s="3" t="str">
        <f>IF(Q1948=0,"TERCEIRO","MRS")</f>
        <v>MRS</v>
      </c>
      <c r="Q1948" s="8" t="str">
        <f>IFERROR(VLOOKUP(L1948,#REF!,4,0),"0,00")</f>
        <v>0,00</v>
      </c>
      <c r="R1948" s="9" t="s">
        <v>30</v>
      </c>
      <c r="S1948" s="9">
        <f>COUNTIF(D1948,"*_SEG_*")</f>
        <v>1</v>
      </c>
      <c r="T1948" s="9">
        <f>COUNTIF(D1948,"*_MAN_*")</f>
        <v>0</v>
      </c>
      <c r="U1948" s="9">
        <f>(RIGHT(D1948,4))*1</f>
        <v>180</v>
      </c>
      <c r="V1948" s="9" t="str">
        <f>IFERROR(VLOOKUP(I1948,#REF!,2,0),"Sinalização")</f>
        <v>Sinalização</v>
      </c>
    </row>
    <row r="1949" spans="1:22" x14ac:dyDescent="0.25">
      <c r="A1949" s="3" t="s">
        <v>22</v>
      </c>
      <c r="B1949" s="4">
        <v>23475296</v>
      </c>
      <c r="C1949" s="5" t="s">
        <v>23</v>
      </c>
      <c r="D1949" s="6" t="s">
        <v>911</v>
      </c>
      <c r="E1949" s="6" t="s">
        <v>25</v>
      </c>
      <c r="F1949" s="11">
        <v>46143</v>
      </c>
      <c r="G1949" s="6" t="s">
        <v>1079</v>
      </c>
      <c r="H1949" s="7"/>
      <c r="I1949" s="7" t="s">
        <v>902</v>
      </c>
      <c r="J1949" s="7" t="s">
        <v>525</v>
      </c>
      <c r="K1949" s="7" t="s">
        <v>29</v>
      </c>
      <c r="L1949" s="3" t="str">
        <f>E1949&amp;D1949</f>
        <v>E.SP.IPAEE_MAN_CONF_S_I_SINAL L MULTI CONT_0090</v>
      </c>
      <c r="M1949" s="3" t="str">
        <f>IFERROR(MID(D1949,SEARCH("S_I_",D1949,1),3),"")</f>
        <v>S_I</v>
      </c>
      <c r="N1949" s="3" t="str">
        <f>IFERROR(MID(D1949,SEARCH("C_I_",D1949,1),3),"")</f>
        <v/>
      </c>
      <c r="O1949" s="3" t="str">
        <f>IF(AND(M1949="",N1949=""),"Extra","")</f>
        <v/>
      </c>
      <c r="P1949" s="3" t="str">
        <f>IF(Q1949=0,"TERCEIRO","MRS")</f>
        <v>MRS</v>
      </c>
      <c r="Q1949" s="8" t="str">
        <f>IFERROR(VLOOKUP(L1949,#REF!,4,0),"0,00")</f>
        <v>0,00</v>
      </c>
      <c r="R1949" s="9" t="s">
        <v>57</v>
      </c>
      <c r="S1949" s="9">
        <f>COUNTIF(D1949,"*_SEG_*")</f>
        <v>0</v>
      </c>
      <c r="T1949" s="9">
        <f>COUNTIF(D1949,"*_MAN_*")</f>
        <v>1</v>
      </c>
      <c r="U1949" s="9">
        <f>(RIGHT(D1949,4))*1</f>
        <v>90</v>
      </c>
      <c r="V1949" s="9" t="str">
        <f>IFERROR(VLOOKUP(I1949,#REF!,2,0),"Sinalização")</f>
        <v>Sinalização</v>
      </c>
    </row>
    <row r="1950" spans="1:22" x14ac:dyDescent="0.25">
      <c r="A1950" s="3" t="s">
        <v>22</v>
      </c>
      <c r="B1950" s="4">
        <v>23475292</v>
      </c>
      <c r="C1950" s="5" t="s">
        <v>23</v>
      </c>
      <c r="D1950" s="6" t="s">
        <v>907</v>
      </c>
      <c r="E1950" s="6" t="s">
        <v>25</v>
      </c>
      <c r="F1950" s="11">
        <v>46143</v>
      </c>
      <c r="G1950" s="6" t="s">
        <v>1079</v>
      </c>
      <c r="H1950" s="7"/>
      <c r="I1950" s="7" t="s">
        <v>903</v>
      </c>
      <c r="J1950" s="7" t="s">
        <v>701</v>
      </c>
      <c r="K1950" s="7" t="s">
        <v>29</v>
      </c>
      <c r="L1950" s="3" t="str">
        <f>E1950&amp;D1950</f>
        <v>E.SP.IPAEE_INS_CONF_S_I_SINAL L MULTI CONT_0090</v>
      </c>
      <c r="M1950" s="3" t="str">
        <f>IFERROR(MID(D1950,SEARCH("S_I_",D1950,1),3),"")</f>
        <v>S_I</v>
      </c>
      <c r="N1950" s="3" t="str">
        <f>IFERROR(MID(D1950,SEARCH("C_I_",D1950,1),3),"")</f>
        <v/>
      </c>
      <c r="O1950" s="3" t="str">
        <f>IF(AND(M1950="",N1950=""),"Extra","")</f>
        <v/>
      </c>
      <c r="P1950" s="3" t="str">
        <f>IF(Q1950=0,"TERCEIRO","MRS")</f>
        <v>MRS</v>
      </c>
      <c r="Q1950" s="8" t="str">
        <f>IFERROR(VLOOKUP(L1950,#REF!,4,0),"0,00")</f>
        <v>0,00</v>
      </c>
      <c r="R1950" s="9" t="s">
        <v>42</v>
      </c>
      <c r="S1950" s="9">
        <f>COUNTIF(D1950,"*_SEG_*")</f>
        <v>0</v>
      </c>
      <c r="T1950" s="9">
        <f>COUNTIF(D1950,"*_MAN_*")</f>
        <v>0</v>
      </c>
      <c r="U1950" s="9">
        <f>(RIGHT(D1950,4))*1</f>
        <v>90</v>
      </c>
      <c r="V1950" s="9" t="str">
        <f>IFERROR(VLOOKUP(I1950,#REF!,2,0),"Sinalização")</f>
        <v>Sinalização</v>
      </c>
    </row>
    <row r="1951" spans="1:22" x14ac:dyDescent="0.25">
      <c r="A1951" s="3" t="s">
        <v>22</v>
      </c>
      <c r="B1951" s="4">
        <v>23477536</v>
      </c>
      <c r="C1951" s="5" t="s">
        <v>23</v>
      </c>
      <c r="D1951" s="6" t="s">
        <v>908</v>
      </c>
      <c r="E1951" s="6" t="s">
        <v>25</v>
      </c>
      <c r="F1951" s="11">
        <v>46143</v>
      </c>
      <c r="G1951" s="6" t="s">
        <v>1079</v>
      </c>
      <c r="H1951" s="7"/>
      <c r="I1951" s="7" t="s">
        <v>903</v>
      </c>
      <c r="J1951" s="7" t="s">
        <v>373</v>
      </c>
      <c r="K1951" s="7" t="s">
        <v>29</v>
      </c>
      <c r="L1951" s="3" t="str">
        <f>E1951&amp;D1951</f>
        <v>E.SP.IPAEE_INS_SEG_S_I_SINAL L MULTI CONT_0180</v>
      </c>
      <c r="M1951" s="3" t="str">
        <f>IFERROR(MID(D1951,SEARCH("S_I_",D1951,1),3),"")</f>
        <v>S_I</v>
      </c>
      <c r="N1951" s="3" t="str">
        <f>IFERROR(MID(D1951,SEARCH("C_I_",D1951,1),3),"")</f>
        <v/>
      </c>
      <c r="O1951" s="3" t="str">
        <f>IF(AND(M1951="",N1951=""),"Extra","")</f>
        <v/>
      </c>
      <c r="P1951" s="3" t="str">
        <f>IF(Q1951=0,"TERCEIRO","MRS")</f>
        <v>MRS</v>
      </c>
      <c r="Q1951" s="8" t="str">
        <f>IFERROR(VLOOKUP(L1951,#REF!,4,0),"0,00")</f>
        <v>0,00</v>
      </c>
      <c r="R1951" s="9" t="s">
        <v>30</v>
      </c>
      <c r="S1951" s="9">
        <f>COUNTIF(D1951,"*_SEG_*")</f>
        <v>1</v>
      </c>
      <c r="T1951" s="9">
        <f>COUNTIF(D1951,"*_MAN_*")</f>
        <v>0</v>
      </c>
      <c r="U1951" s="9">
        <f>(RIGHT(D1951,4))*1</f>
        <v>180</v>
      </c>
      <c r="V1951" s="9" t="str">
        <f>IFERROR(VLOOKUP(I1951,#REF!,2,0),"Sinalização")</f>
        <v>Sinalização</v>
      </c>
    </row>
    <row r="1952" spans="1:22" x14ac:dyDescent="0.25">
      <c r="A1952" s="3" t="s">
        <v>22</v>
      </c>
      <c r="B1952" s="4">
        <v>23475297</v>
      </c>
      <c r="C1952" s="5" t="s">
        <v>23</v>
      </c>
      <c r="D1952" s="6" t="s">
        <v>911</v>
      </c>
      <c r="E1952" s="6" t="s">
        <v>25</v>
      </c>
      <c r="F1952" s="11">
        <v>46143</v>
      </c>
      <c r="G1952" s="6" t="s">
        <v>1079</v>
      </c>
      <c r="H1952" s="7"/>
      <c r="I1952" s="7" t="s">
        <v>903</v>
      </c>
      <c r="J1952" s="7" t="s">
        <v>525</v>
      </c>
      <c r="K1952" s="7" t="s">
        <v>29</v>
      </c>
      <c r="L1952" s="3" t="str">
        <f>E1952&amp;D1952</f>
        <v>E.SP.IPAEE_MAN_CONF_S_I_SINAL L MULTI CONT_0090</v>
      </c>
      <c r="M1952" s="3" t="str">
        <f>IFERROR(MID(D1952,SEARCH("S_I_",D1952,1),3),"")</f>
        <v>S_I</v>
      </c>
      <c r="N1952" s="3" t="str">
        <f>IFERROR(MID(D1952,SEARCH("C_I_",D1952,1),3),"")</f>
        <v/>
      </c>
      <c r="O1952" s="3" t="str">
        <f>IF(AND(M1952="",N1952=""),"Extra","")</f>
        <v/>
      </c>
      <c r="P1952" s="3" t="str">
        <f>IF(Q1952=0,"TERCEIRO","MRS")</f>
        <v>MRS</v>
      </c>
      <c r="Q1952" s="8" t="str">
        <f>IFERROR(VLOOKUP(L1952,#REF!,4,0),"0,00")</f>
        <v>0,00</v>
      </c>
      <c r="R1952" s="9" t="s">
        <v>57</v>
      </c>
      <c r="S1952" s="9">
        <f>COUNTIF(D1952,"*_SEG_*")</f>
        <v>0</v>
      </c>
      <c r="T1952" s="9">
        <f>COUNTIF(D1952,"*_MAN_*")</f>
        <v>1</v>
      </c>
      <c r="U1952" s="9">
        <f>(RIGHT(D1952,4))*1</f>
        <v>90</v>
      </c>
      <c r="V1952" s="9" t="str">
        <f>IFERROR(VLOOKUP(I1952,#REF!,2,0),"Sinalização")</f>
        <v>Sinalização</v>
      </c>
    </row>
    <row r="1953" spans="1:22" x14ac:dyDescent="0.25">
      <c r="A1953" s="3" t="s">
        <v>22</v>
      </c>
      <c r="B1953" s="4">
        <v>23475438</v>
      </c>
      <c r="C1953" s="5" t="s">
        <v>23</v>
      </c>
      <c r="D1953" s="6" t="s">
        <v>900</v>
      </c>
      <c r="E1953" s="6" t="s">
        <v>25</v>
      </c>
      <c r="F1953" s="11">
        <v>46143</v>
      </c>
      <c r="G1953" s="6" t="s">
        <v>1079</v>
      </c>
      <c r="H1953" s="7"/>
      <c r="I1953" s="7" t="s">
        <v>258</v>
      </c>
      <c r="J1953" s="7" t="s">
        <v>636</v>
      </c>
      <c r="K1953" s="7" t="s">
        <v>29</v>
      </c>
      <c r="L1953" s="3" t="str">
        <f>E1953&amp;D1953</f>
        <v>E.SP.IPAEE_INS_SEG_S_I_MCH 110VCC GRS 5C_0090</v>
      </c>
      <c r="M1953" s="3" t="str">
        <f>IFERROR(MID(D1953,SEARCH("S_I_",D1953,1),3),"")</f>
        <v>S_I</v>
      </c>
      <c r="N1953" s="3" t="str">
        <f>IFERROR(MID(D1953,SEARCH("C_I_",D1953,1),3),"")</f>
        <v/>
      </c>
      <c r="O1953" s="3" t="str">
        <f>IF(AND(M1953="",N1953=""),"Extra","")</f>
        <v/>
      </c>
      <c r="P1953" s="3" t="str">
        <f>IF(Q1953=0,"TERCEIRO","MRS")</f>
        <v>MRS</v>
      </c>
      <c r="Q1953" s="8" t="str">
        <f>IFERROR(VLOOKUP(L1953,#REF!,4,0),"0,00")</f>
        <v>0,00</v>
      </c>
      <c r="R1953" s="9" t="s">
        <v>30</v>
      </c>
      <c r="S1953" s="9">
        <f>COUNTIF(D1953,"*_SEG_*")</f>
        <v>1</v>
      </c>
      <c r="T1953" s="9">
        <f>COUNTIF(D1953,"*_MAN_*")</f>
        <v>0</v>
      </c>
      <c r="U1953" s="9">
        <f>(RIGHT(D1953,4))*1</f>
        <v>90</v>
      </c>
      <c r="V1953" s="9" t="str">
        <f>IFERROR(VLOOKUP(I1953,#REF!,2,0),"Sinalização")</f>
        <v>Sinalização</v>
      </c>
    </row>
    <row r="1954" spans="1:22" x14ac:dyDescent="0.25">
      <c r="A1954" s="3" t="s">
        <v>22</v>
      </c>
      <c r="B1954" s="4">
        <v>23475439</v>
      </c>
      <c r="C1954" s="5" t="s">
        <v>23</v>
      </c>
      <c r="D1954" s="6" t="s">
        <v>900</v>
      </c>
      <c r="E1954" s="6" t="s">
        <v>25</v>
      </c>
      <c r="F1954" s="11">
        <v>46143</v>
      </c>
      <c r="G1954" s="6" t="s">
        <v>1079</v>
      </c>
      <c r="H1954" s="7"/>
      <c r="I1954" s="7" t="s">
        <v>741</v>
      </c>
      <c r="J1954" s="7" t="s">
        <v>636</v>
      </c>
      <c r="K1954" s="7" t="s">
        <v>29</v>
      </c>
      <c r="L1954" s="3" t="str">
        <f>E1954&amp;D1954</f>
        <v>E.SP.IPAEE_INS_SEG_S_I_MCH 110VCC GRS 5C_0090</v>
      </c>
      <c r="M1954" s="3" t="str">
        <f>IFERROR(MID(D1954,SEARCH("S_I_",D1954,1),3),"")</f>
        <v>S_I</v>
      </c>
      <c r="N1954" s="3" t="str">
        <f>IFERROR(MID(D1954,SEARCH("C_I_",D1954,1),3),"")</f>
        <v/>
      </c>
      <c r="O1954" s="3" t="str">
        <f>IF(AND(M1954="",N1954=""),"Extra","")</f>
        <v/>
      </c>
      <c r="P1954" s="3" t="str">
        <f>IF(Q1954=0,"TERCEIRO","MRS")</f>
        <v>MRS</v>
      </c>
      <c r="Q1954" s="8" t="str">
        <f>IFERROR(VLOOKUP(L1954,#REF!,4,0),"0,00")</f>
        <v>0,00</v>
      </c>
      <c r="R1954" s="9" t="s">
        <v>30</v>
      </c>
      <c r="S1954" s="9">
        <f>COUNTIF(D1954,"*_SEG_*")</f>
        <v>1</v>
      </c>
      <c r="T1954" s="9">
        <f>COUNTIF(D1954,"*_MAN_*")</f>
        <v>0</v>
      </c>
      <c r="U1954" s="9">
        <f>(RIGHT(D1954,4))*1</f>
        <v>90</v>
      </c>
      <c r="V1954" s="9" t="str">
        <f>IFERROR(VLOOKUP(I1954,#REF!,2,0),"Sinalização")</f>
        <v>Sinalização</v>
      </c>
    </row>
    <row r="1955" spans="1:22" x14ac:dyDescent="0.25">
      <c r="A1955" s="3" t="s">
        <v>22</v>
      </c>
      <c r="B1955" s="4">
        <v>23475440</v>
      </c>
      <c r="C1955" s="5" t="s">
        <v>23</v>
      </c>
      <c r="D1955" s="6" t="s">
        <v>900</v>
      </c>
      <c r="E1955" s="6" t="s">
        <v>25</v>
      </c>
      <c r="F1955" s="11">
        <v>46143</v>
      </c>
      <c r="G1955" s="6" t="s">
        <v>1079</v>
      </c>
      <c r="H1955" s="7"/>
      <c r="I1955" s="7" t="s">
        <v>256</v>
      </c>
      <c r="J1955" s="7" t="s">
        <v>636</v>
      </c>
      <c r="K1955" s="7" t="s">
        <v>29</v>
      </c>
      <c r="L1955" s="3" t="str">
        <f>E1955&amp;D1955</f>
        <v>E.SP.IPAEE_INS_SEG_S_I_MCH 110VCC GRS 5C_0090</v>
      </c>
      <c r="M1955" s="3" t="str">
        <f>IFERROR(MID(D1955,SEARCH("S_I_",D1955,1),3),"")</f>
        <v>S_I</v>
      </c>
      <c r="N1955" s="3" t="str">
        <f>IFERROR(MID(D1955,SEARCH("C_I_",D1955,1),3),"")</f>
        <v/>
      </c>
      <c r="O1955" s="3" t="str">
        <f>IF(AND(M1955="",N1955=""),"Extra","")</f>
        <v/>
      </c>
      <c r="P1955" s="3" t="str">
        <f>IF(Q1955=0,"TERCEIRO","MRS")</f>
        <v>MRS</v>
      </c>
      <c r="Q1955" s="8" t="str">
        <f>IFERROR(VLOOKUP(L1955,#REF!,4,0),"0,00")</f>
        <v>0,00</v>
      </c>
      <c r="R1955" s="9" t="s">
        <v>30</v>
      </c>
      <c r="S1955" s="9">
        <f>COUNTIF(D1955,"*_SEG_*")</f>
        <v>1</v>
      </c>
      <c r="T1955" s="9">
        <f>COUNTIF(D1955,"*_MAN_*")</f>
        <v>0</v>
      </c>
      <c r="U1955" s="9">
        <f>(RIGHT(D1955,4))*1</f>
        <v>90</v>
      </c>
      <c r="V1955" s="9" t="str">
        <f>IFERROR(VLOOKUP(I1955,#REF!,2,0),"Sinalização")</f>
        <v>Sinalização</v>
      </c>
    </row>
    <row r="1956" spans="1:22" x14ac:dyDescent="0.25">
      <c r="A1956" s="3" t="s">
        <v>22</v>
      </c>
      <c r="B1956" s="4">
        <v>23475443</v>
      </c>
      <c r="C1956" s="5" t="s">
        <v>23</v>
      </c>
      <c r="D1956" s="6" t="s">
        <v>900</v>
      </c>
      <c r="E1956" s="6" t="s">
        <v>25</v>
      </c>
      <c r="F1956" s="11">
        <v>46143</v>
      </c>
      <c r="G1956" s="6" t="s">
        <v>1079</v>
      </c>
      <c r="H1956" s="7"/>
      <c r="I1956" s="7" t="s">
        <v>607</v>
      </c>
      <c r="J1956" s="7" t="s">
        <v>636</v>
      </c>
      <c r="K1956" s="7" t="s">
        <v>29</v>
      </c>
      <c r="L1956" s="3" t="str">
        <f>E1956&amp;D1956</f>
        <v>E.SP.IPAEE_INS_SEG_S_I_MCH 110VCC GRS 5C_0090</v>
      </c>
      <c r="M1956" s="3" t="str">
        <f>IFERROR(MID(D1956,SEARCH("S_I_",D1956,1),3),"")</f>
        <v>S_I</v>
      </c>
      <c r="N1956" s="3" t="str">
        <f>IFERROR(MID(D1956,SEARCH("C_I_",D1956,1),3),"")</f>
        <v/>
      </c>
      <c r="O1956" s="3" t="str">
        <f>IF(AND(M1956="",N1956=""),"Extra","")</f>
        <v/>
      </c>
      <c r="P1956" s="3" t="str">
        <f>IF(Q1956=0,"TERCEIRO","MRS")</f>
        <v>MRS</v>
      </c>
      <c r="Q1956" s="8" t="str">
        <f>IFERROR(VLOOKUP(L1956,#REF!,4,0),"0,00")</f>
        <v>0,00</v>
      </c>
      <c r="R1956" s="9" t="s">
        <v>30</v>
      </c>
      <c r="S1956" s="9">
        <f>COUNTIF(D1956,"*_SEG_*")</f>
        <v>1</v>
      </c>
      <c r="T1956" s="9">
        <f>COUNTIF(D1956,"*_MAN_*")</f>
        <v>0</v>
      </c>
      <c r="U1956" s="9">
        <f>(RIGHT(D1956,4))*1</f>
        <v>90</v>
      </c>
      <c r="V1956" s="9" t="str">
        <f>IFERROR(VLOOKUP(I1956,#REF!,2,0),"Sinalização")</f>
        <v>Sinalização</v>
      </c>
    </row>
    <row r="1957" spans="1:22" x14ac:dyDescent="0.25">
      <c r="A1957" s="3" t="s">
        <v>22</v>
      </c>
      <c r="B1957" s="4">
        <v>23475444</v>
      </c>
      <c r="C1957" s="5" t="s">
        <v>23</v>
      </c>
      <c r="D1957" s="6" t="s">
        <v>900</v>
      </c>
      <c r="E1957" s="6" t="s">
        <v>25</v>
      </c>
      <c r="F1957" s="11">
        <v>46143</v>
      </c>
      <c r="G1957" s="6" t="s">
        <v>1079</v>
      </c>
      <c r="H1957" s="7"/>
      <c r="I1957" s="7" t="s">
        <v>40</v>
      </c>
      <c r="J1957" s="7" t="s">
        <v>636</v>
      </c>
      <c r="K1957" s="7" t="s">
        <v>29</v>
      </c>
      <c r="L1957" s="3" t="str">
        <f>E1957&amp;D1957</f>
        <v>E.SP.IPAEE_INS_SEG_S_I_MCH 110VCC GRS 5C_0090</v>
      </c>
      <c r="M1957" s="3" t="str">
        <f>IFERROR(MID(D1957,SEARCH("S_I_",D1957,1),3),"")</f>
        <v>S_I</v>
      </c>
      <c r="N1957" s="3" t="str">
        <f>IFERROR(MID(D1957,SEARCH("C_I_",D1957,1),3),"")</f>
        <v/>
      </c>
      <c r="O1957" s="3" t="str">
        <f>IF(AND(M1957="",N1957=""),"Extra","")</f>
        <v/>
      </c>
      <c r="P1957" s="3" t="str">
        <f>IF(Q1957=0,"TERCEIRO","MRS")</f>
        <v>MRS</v>
      </c>
      <c r="Q1957" s="8" t="str">
        <f>IFERROR(VLOOKUP(L1957,#REF!,4,0),"0,00")</f>
        <v>0,00</v>
      </c>
      <c r="R1957" s="9" t="s">
        <v>30</v>
      </c>
      <c r="S1957" s="9">
        <f>COUNTIF(D1957,"*_SEG_*")</f>
        <v>1</v>
      </c>
      <c r="T1957" s="9">
        <f>COUNTIF(D1957,"*_MAN_*")</f>
        <v>0</v>
      </c>
      <c r="U1957" s="9">
        <f>(RIGHT(D1957,4))*1</f>
        <v>90</v>
      </c>
      <c r="V1957" s="9" t="str">
        <f>IFERROR(VLOOKUP(I1957,#REF!,2,0),"Sinalização")</f>
        <v>Sinalização</v>
      </c>
    </row>
  </sheetData>
  <autoFilter ref="A1:V1" xr:uid="{2908A929-7DF7-487F-A217-4EF8FA346799}">
    <sortState xmlns:xlrd2="http://schemas.microsoft.com/office/spreadsheetml/2017/richdata2" ref="A2:V1957">
      <sortCondition descending="1" ref="F1"/>
    </sortState>
  </autoFilter>
  <dataValidations count="1">
    <dataValidation type="list" allowBlank="1" showInputMessage="1" showErrorMessage="1" sqref="A2:A1957" xr:uid="{C754A678-3CD2-4E65-8316-74499CC9EF22}">
      <formula1>"PLANO, APOIO, COR PROG"</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Paz</dc:creator>
  <cp:lastModifiedBy>Julio Paz</cp:lastModifiedBy>
  <dcterms:created xsi:type="dcterms:W3CDTF">2026-05-29T13:41:42Z</dcterms:created>
  <dcterms:modified xsi:type="dcterms:W3CDTF">2026-05-29T20:04:22Z</dcterms:modified>
</cp:coreProperties>
</file>